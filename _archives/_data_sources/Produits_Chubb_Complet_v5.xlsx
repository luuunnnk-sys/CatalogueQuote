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ongueni\Desktop\Chubb produits code\"/>
    </mc:Choice>
  </mc:AlternateContent>
  <xr:revisionPtr revIDLastSave="0" documentId="13_ncr:1_{0E7D3630-61B6-43F1-9780-7224E28ABA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10" i="1" l="1"/>
  <c r="F1009" i="1"/>
  <c r="F1008" i="1"/>
  <c r="F1007" i="1"/>
  <c r="F1006" i="1"/>
  <c r="F1005" i="1"/>
  <c r="F1004" i="1"/>
  <c r="F1003" i="1"/>
  <c r="F1002" i="1"/>
  <c r="F1001" i="1"/>
  <c r="F1000" i="1"/>
  <c r="F999" i="1"/>
  <c r="F998" i="1"/>
  <c r="F997" i="1"/>
  <c r="F996" i="1"/>
  <c r="F995" i="1"/>
  <c r="F994" i="1"/>
  <c r="F993" i="1"/>
  <c r="F992" i="1"/>
  <c r="F991" i="1"/>
  <c r="F990" i="1"/>
  <c r="F989" i="1"/>
  <c r="F988" i="1"/>
  <c r="F987" i="1"/>
  <c r="F986" i="1"/>
  <c r="F985" i="1"/>
  <c r="F984" i="1"/>
  <c r="F983" i="1"/>
  <c r="F982" i="1"/>
  <c r="F981" i="1"/>
  <c r="F980" i="1"/>
  <c r="F979" i="1"/>
  <c r="F978" i="1"/>
  <c r="F977" i="1"/>
  <c r="F976" i="1"/>
  <c r="F975" i="1"/>
  <c r="F974" i="1"/>
  <c r="F973" i="1"/>
  <c r="F972" i="1"/>
  <c r="F971" i="1"/>
  <c r="F970" i="1"/>
  <c r="F969" i="1"/>
  <c r="F968" i="1"/>
  <c r="F967" i="1"/>
  <c r="F966" i="1"/>
  <c r="F965" i="1"/>
  <c r="F964" i="1"/>
  <c r="F963" i="1"/>
  <c r="F962" i="1"/>
  <c r="F961" i="1"/>
  <c r="F960" i="1"/>
  <c r="F959" i="1"/>
  <c r="F958" i="1"/>
  <c r="F957" i="1"/>
  <c r="F956" i="1"/>
  <c r="F955" i="1"/>
  <c r="F954" i="1"/>
  <c r="F953" i="1"/>
  <c r="F952" i="1"/>
  <c r="F951" i="1"/>
  <c r="F950" i="1"/>
  <c r="F949" i="1"/>
  <c r="F948" i="1"/>
  <c r="F947" i="1"/>
  <c r="F946" i="1"/>
  <c r="F945" i="1"/>
  <c r="F944" i="1"/>
  <c r="F943" i="1"/>
  <c r="F942" i="1"/>
  <c r="F941" i="1"/>
  <c r="F940" i="1"/>
  <c r="F939" i="1"/>
  <c r="F938" i="1"/>
  <c r="F937" i="1"/>
  <c r="F936" i="1"/>
  <c r="F935" i="1"/>
  <c r="F934" i="1"/>
  <c r="F933" i="1"/>
  <c r="F932" i="1"/>
  <c r="F931" i="1"/>
  <c r="F930" i="1"/>
  <c r="F929" i="1"/>
  <c r="F928" i="1"/>
  <c r="F927" i="1"/>
  <c r="F926" i="1"/>
  <c r="F925" i="1"/>
  <c r="F924" i="1"/>
  <c r="F923" i="1"/>
  <c r="F922" i="1"/>
  <c r="F921" i="1"/>
  <c r="F920" i="1"/>
  <c r="F919" i="1"/>
  <c r="F918" i="1"/>
  <c r="F917" i="1"/>
  <c r="F916" i="1"/>
  <c r="F915" i="1"/>
  <c r="F914" i="1"/>
  <c r="F913" i="1"/>
  <c r="F912" i="1"/>
  <c r="F911" i="1"/>
  <c r="F910" i="1"/>
  <c r="F909" i="1"/>
  <c r="F908" i="1"/>
  <c r="F907" i="1"/>
  <c r="F906" i="1"/>
  <c r="F905" i="1"/>
  <c r="F904" i="1"/>
  <c r="F903" i="1"/>
  <c r="F902" i="1"/>
  <c r="F901" i="1"/>
  <c r="F900" i="1"/>
  <c r="F899" i="1"/>
  <c r="F898" i="1"/>
  <c r="F897" i="1"/>
  <c r="F896" i="1"/>
  <c r="F895" i="1"/>
  <c r="F894" i="1"/>
  <c r="F893" i="1"/>
  <c r="F892" i="1"/>
  <c r="F891" i="1"/>
  <c r="F890" i="1"/>
  <c r="F889" i="1"/>
  <c r="F888" i="1"/>
  <c r="F887" i="1"/>
  <c r="F886" i="1"/>
  <c r="F885" i="1"/>
  <c r="F884" i="1"/>
  <c r="F883" i="1"/>
  <c r="F882" i="1"/>
  <c r="F881" i="1"/>
  <c r="F880" i="1"/>
  <c r="F879" i="1"/>
  <c r="F878" i="1"/>
  <c r="F877" i="1"/>
  <c r="F876" i="1"/>
  <c r="F875" i="1"/>
  <c r="F874" i="1"/>
  <c r="F873" i="1"/>
  <c r="F872" i="1"/>
  <c r="F871" i="1"/>
  <c r="F870" i="1"/>
  <c r="F869" i="1"/>
  <c r="F868" i="1"/>
  <c r="F867" i="1"/>
  <c r="F866" i="1"/>
  <c r="F865" i="1"/>
  <c r="F864" i="1"/>
  <c r="F863" i="1"/>
  <c r="F862" i="1"/>
  <c r="F861" i="1"/>
  <c r="F860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<sst xmlns="http://schemas.openxmlformats.org/spreadsheetml/2006/main" count="5051" uniqueCount="1901">
  <si>
    <t>Famille</t>
  </si>
  <si>
    <t>Catégorie</t>
  </si>
  <si>
    <t>Sous-Catégorie</t>
  </si>
  <si>
    <t>Code Produit</t>
  </si>
  <si>
    <t>Désignation</t>
  </si>
  <si>
    <t>Fiche Technique (Lien)</t>
  </si>
  <si>
    <t>Catalogue Général Chubb</t>
  </si>
  <si>
    <t>Gamme INfluence</t>
  </si>
  <si>
    <t>Alimentation &amp; Énergie</t>
  </si>
  <si>
    <t>Autre / Accessoires</t>
  </si>
  <si>
    <t>Avertisseurs</t>
  </si>
  <si>
    <t>Centrales &amp; Coffrets</t>
  </si>
  <si>
    <t>Déclencheurs Manuels</t>
  </si>
  <si>
    <t>Détection</t>
  </si>
  <si>
    <t>Extinction</t>
  </si>
  <si>
    <t>Standard</t>
  </si>
  <si>
    <t>Standard (Adressable)</t>
  </si>
  <si>
    <t>640000108</t>
  </si>
  <si>
    <t>660000003</t>
  </si>
  <si>
    <t>660000001</t>
  </si>
  <si>
    <t>660000004</t>
  </si>
  <si>
    <t>510000038</t>
  </si>
  <si>
    <t>510000004</t>
  </si>
  <si>
    <t>660000107</t>
  </si>
  <si>
    <t>660000017</t>
  </si>
  <si>
    <t>660000016</t>
  </si>
  <si>
    <t>510000405</t>
  </si>
  <si>
    <t>640000103</t>
  </si>
  <si>
    <t>640000104</t>
  </si>
  <si>
    <t>640000102</t>
  </si>
  <si>
    <t>640000965</t>
  </si>
  <si>
    <t>118242490</t>
  </si>
  <si>
    <t>112226453</t>
  </si>
  <si>
    <t>415002030</t>
  </si>
  <si>
    <t>680000022</t>
  </si>
  <si>
    <t>P720000001</t>
  </si>
  <si>
    <t>627100008</t>
  </si>
  <si>
    <t>627100007</t>
  </si>
  <si>
    <t>627100010</t>
  </si>
  <si>
    <t>640400012</t>
  </si>
  <si>
    <t>660000007</t>
  </si>
  <si>
    <t>600000001</t>
  </si>
  <si>
    <t>600000002</t>
  </si>
  <si>
    <t>640400001</t>
  </si>
  <si>
    <t>440100077</t>
  </si>
  <si>
    <t>440100076</t>
  </si>
  <si>
    <t>630000004</t>
  </si>
  <si>
    <t>650000007</t>
  </si>
  <si>
    <t>650000005</t>
  </si>
  <si>
    <t>660000002</t>
  </si>
  <si>
    <t>440100174</t>
  </si>
  <si>
    <t>P710000001</t>
  </si>
  <si>
    <t>211323438</t>
  </si>
  <si>
    <t>228349473</t>
  </si>
  <si>
    <t>680000031</t>
  </si>
  <si>
    <t>446300035CS</t>
  </si>
  <si>
    <t>446300035</t>
  </si>
  <si>
    <t>630000023</t>
  </si>
  <si>
    <t>620000005</t>
  </si>
  <si>
    <t>510000010</t>
  </si>
  <si>
    <t>620000002</t>
  </si>
  <si>
    <t>440100122</t>
  </si>
  <si>
    <t>440100120</t>
  </si>
  <si>
    <t>640200058</t>
  </si>
  <si>
    <t>640000045</t>
  </si>
  <si>
    <t>640000054</t>
  </si>
  <si>
    <t>640000042</t>
  </si>
  <si>
    <t>640000056</t>
  </si>
  <si>
    <t>640000055</t>
  </si>
  <si>
    <t>640000047</t>
  </si>
  <si>
    <t>443200015</t>
  </si>
  <si>
    <t>600200018</t>
  </si>
  <si>
    <t>510000005</t>
  </si>
  <si>
    <t>650000002</t>
  </si>
  <si>
    <t>440100123</t>
  </si>
  <si>
    <t>610000015</t>
  </si>
  <si>
    <t>641000024</t>
  </si>
  <si>
    <t>641000026</t>
  </si>
  <si>
    <t>641000025</t>
  </si>
  <si>
    <t>432000028</t>
  </si>
  <si>
    <t>610000005</t>
  </si>
  <si>
    <t>650000003</t>
  </si>
  <si>
    <t>427630097</t>
  </si>
  <si>
    <t>427630095</t>
  </si>
  <si>
    <t>640000052</t>
  </si>
  <si>
    <t>640000046</t>
  </si>
  <si>
    <t>640100023</t>
  </si>
  <si>
    <t>690200031</t>
  </si>
  <si>
    <t>690200004</t>
  </si>
  <si>
    <t>640000053</t>
  </si>
  <si>
    <t>640000044</t>
  </si>
  <si>
    <t>640000041</t>
  </si>
  <si>
    <t>640000051</t>
  </si>
  <si>
    <t>640000043</t>
  </si>
  <si>
    <t>640000087</t>
  </si>
  <si>
    <t>640000089</t>
  </si>
  <si>
    <t>443000010</t>
  </si>
  <si>
    <t>005200075</t>
  </si>
  <si>
    <t>005200078</t>
  </si>
  <si>
    <t>005200076</t>
  </si>
  <si>
    <t>005200079</t>
  </si>
  <si>
    <t>005200080</t>
  </si>
  <si>
    <t>512000038</t>
  </si>
  <si>
    <t>512000301</t>
  </si>
  <si>
    <t>443600101</t>
  </si>
  <si>
    <t>443600102</t>
  </si>
  <si>
    <t>430140057</t>
  </si>
  <si>
    <t>430140054</t>
  </si>
  <si>
    <t>430140051</t>
  </si>
  <si>
    <t>430140056</t>
  </si>
  <si>
    <t>443400100</t>
  </si>
  <si>
    <t>743400098</t>
  </si>
  <si>
    <t>743400074</t>
  </si>
  <si>
    <t>443409678</t>
  </si>
  <si>
    <t>443400678</t>
  </si>
  <si>
    <t>420120109</t>
  </si>
  <si>
    <t>430140024CS</t>
  </si>
  <si>
    <t>430140025CS</t>
  </si>
  <si>
    <t>430140034CS</t>
  </si>
  <si>
    <t>430110003</t>
  </si>
  <si>
    <t>440103924</t>
  </si>
  <si>
    <t>680000050</t>
  </si>
  <si>
    <t>443400756</t>
  </si>
  <si>
    <t>743400036</t>
  </si>
  <si>
    <t>743600076</t>
  </si>
  <si>
    <t>028000102</t>
  </si>
  <si>
    <t>443400794</t>
  </si>
  <si>
    <t>743600079</t>
  </si>
  <si>
    <t>640000064</t>
  </si>
  <si>
    <t>743600053</t>
  </si>
  <si>
    <t>743600052</t>
  </si>
  <si>
    <t>640300013</t>
  </si>
  <si>
    <t>640100004</t>
  </si>
  <si>
    <t>005200030</t>
  </si>
  <si>
    <t>640100024</t>
  </si>
  <si>
    <t>640100019</t>
  </si>
  <si>
    <t>640100021</t>
  </si>
  <si>
    <t>690200019</t>
  </si>
  <si>
    <t>640300031</t>
  </si>
  <si>
    <t>640300033</t>
  </si>
  <si>
    <t>640300015</t>
  </si>
  <si>
    <t>444000012</t>
  </si>
  <si>
    <t>440100154</t>
  </si>
  <si>
    <t>440190002CS</t>
  </si>
  <si>
    <t>440190008CS</t>
  </si>
  <si>
    <t>640400019</t>
  </si>
  <si>
    <t>430250910</t>
  </si>
  <si>
    <t>443200023</t>
  </si>
  <si>
    <t>430250920</t>
  </si>
  <si>
    <t>440100116</t>
  </si>
  <si>
    <t>400200004</t>
  </si>
  <si>
    <t>443200024</t>
  </si>
  <si>
    <t>430200023</t>
  </si>
  <si>
    <t>640000007CS</t>
  </si>
  <si>
    <t>640000008CS</t>
  </si>
  <si>
    <t>640000009CS</t>
  </si>
  <si>
    <t>640000010CS</t>
  </si>
  <si>
    <t>440190008</t>
  </si>
  <si>
    <t>640000001</t>
  </si>
  <si>
    <t>640000001CS</t>
  </si>
  <si>
    <t>640000002</t>
  </si>
  <si>
    <t>640000002CS</t>
  </si>
  <si>
    <t>640000003CS</t>
  </si>
  <si>
    <t>640000004CS</t>
  </si>
  <si>
    <t>640000005CS</t>
  </si>
  <si>
    <t>660000014</t>
  </si>
  <si>
    <t>600000329</t>
  </si>
  <si>
    <t>600000335</t>
  </si>
  <si>
    <t>600000328</t>
  </si>
  <si>
    <t>600000334</t>
  </si>
  <si>
    <t>640000182</t>
  </si>
  <si>
    <t>443600008</t>
  </si>
  <si>
    <t>600000087</t>
  </si>
  <si>
    <t>600000088</t>
  </si>
  <si>
    <t>600000330</t>
  </si>
  <si>
    <t>440190009</t>
  </si>
  <si>
    <t>600000333</t>
  </si>
  <si>
    <t>600000331</t>
  </si>
  <si>
    <t>600000324</t>
  </si>
  <si>
    <t>600000332</t>
  </si>
  <si>
    <t>630000014</t>
  </si>
  <si>
    <t>630000018</t>
  </si>
  <si>
    <t>630000015</t>
  </si>
  <si>
    <t>630000016</t>
  </si>
  <si>
    <t>430140014CS</t>
  </si>
  <si>
    <t>430140014</t>
  </si>
  <si>
    <t>430140013CS</t>
  </si>
  <si>
    <t>443200025</t>
  </si>
  <si>
    <t>430200024</t>
  </si>
  <si>
    <t>430200025</t>
  </si>
  <si>
    <t>743600036</t>
  </si>
  <si>
    <t>512000155</t>
  </si>
  <si>
    <t>512000154</t>
  </si>
  <si>
    <t>512000150</t>
  </si>
  <si>
    <t>512000156</t>
  </si>
  <si>
    <t>512000157</t>
  </si>
  <si>
    <t>512000152</t>
  </si>
  <si>
    <t>512000200</t>
  </si>
  <si>
    <t>512000168</t>
  </si>
  <si>
    <t>512000151</t>
  </si>
  <si>
    <t>512000201</t>
  </si>
  <si>
    <t>512000205</t>
  </si>
  <si>
    <t>512000204</t>
  </si>
  <si>
    <t>512000202</t>
  </si>
  <si>
    <t>512000203</t>
  </si>
  <si>
    <t>443600103</t>
  </si>
  <si>
    <t>610000011</t>
  </si>
  <si>
    <t>443600005</t>
  </si>
  <si>
    <t>443600009</t>
  </si>
  <si>
    <t>640200025</t>
  </si>
  <si>
    <t>440100970</t>
  </si>
  <si>
    <t>440100164</t>
  </si>
  <si>
    <t>427300910</t>
  </si>
  <si>
    <t>640100017</t>
  </si>
  <si>
    <t>640000019</t>
  </si>
  <si>
    <t>402120109</t>
  </si>
  <si>
    <t>640000011</t>
  </si>
  <si>
    <t>512000302</t>
  </si>
  <si>
    <t>690000027</t>
  </si>
  <si>
    <t>430140041</t>
  </si>
  <si>
    <t>430140045</t>
  </si>
  <si>
    <t>430140050</t>
  </si>
  <si>
    <t>446300036CS</t>
  </si>
  <si>
    <t>640100009</t>
  </si>
  <si>
    <t>443600911</t>
  </si>
  <si>
    <t>440190003CS</t>
  </si>
  <si>
    <t>440190009CS</t>
  </si>
  <si>
    <t>440100157</t>
  </si>
  <si>
    <t>400100131</t>
  </si>
  <si>
    <t>640300027</t>
  </si>
  <si>
    <t>640300028</t>
  </si>
  <si>
    <t>640300029</t>
  </si>
  <si>
    <t>640300030</t>
  </si>
  <si>
    <t>640300002</t>
  </si>
  <si>
    <t>640300001</t>
  </si>
  <si>
    <t>640300003</t>
  </si>
  <si>
    <t>640300004</t>
  </si>
  <si>
    <t>640300005</t>
  </si>
  <si>
    <t>640300026</t>
  </si>
  <si>
    <t>640000040</t>
  </si>
  <si>
    <t>510000008</t>
  </si>
  <si>
    <t>430250900</t>
  </si>
  <si>
    <t>400100985</t>
  </si>
  <si>
    <t>640400014</t>
  </si>
  <si>
    <t>443600105</t>
  </si>
  <si>
    <t>440100004</t>
  </si>
  <si>
    <t>440100024</t>
  </si>
  <si>
    <t>440100034</t>
  </si>
  <si>
    <t>640000135</t>
  </si>
  <si>
    <t>640000136</t>
  </si>
  <si>
    <t>444000028</t>
  </si>
  <si>
    <t>640000907</t>
  </si>
  <si>
    <t>640000181</t>
  </si>
  <si>
    <t>690200025</t>
  </si>
  <si>
    <t>690200027</t>
  </si>
  <si>
    <t>690200029</t>
  </si>
  <si>
    <t>443200901</t>
  </si>
  <si>
    <t>443200018</t>
  </si>
  <si>
    <t>443200019</t>
  </si>
  <si>
    <t>443200902</t>
  </si>
  <si>
    <t>443200001</t>
  </si>
  <si>
    <t>443200020</t>
  </si>
  <si>
    <t>640100130</t>
  </si>
  <si>
    <t>640000127</t>
  </si>
  <si>
    <t>640100126</t>
  </si>
  <si>
    <t>640100127</t>
  </si>
  <si>
    <t>690200021</t>
  </si>
  <si>
    <t>690200023</t>
  </si>
  <si>
    <t>690200016</t>
  </si>
  <si>
    <t>400690200</t>
  </si>
  <si>
    <t>640200065</t>
  </si>
  <si>
    <t>627000122</t>
  </si>
  <si>
    <t>627000123</t>
  </si>
  <si>
    <t>627000124</t>
  </si>
  <si>
    <t>627000125</t>
  </si>
  <si>
    <t>690000003</t>
  </si>
  <si>
    <t>690000001</t>
  </si>
  <si>
    <t>443411030</t>
  </si>
  <si>
    <t>443411039</t>
  </si>
  <si>
    <t>443411040</t>
  </si>
  <si>
    <t>640000093</t>
  </si>
  <si>
    <t>640000032</t>
  </si>
  <si>
    <t>483681864</t>
  </si>
  <si>
    <t>476706952</t>
  </si>
  <si>
    <t>650000004</t>
  </si>
  <si>
    <t>650000006</t>
  </si>
  <si>
    <t>640000059</t>
  </si>
  <si>
    <t>640000060</t>
  </si>
  <si>
    <t>640000030</t>
  </si>
  <si>
    <t>110114130</t>
  </si>
  <si>
    <t>640000987</t>
  </si>
  <si>
    <t>640200048</t>
  </si>
  <si>
    <t>640200049</t>
  </si>
  <si>
    <t>640200051</t>
  </si>
  <si>
    <t>640200055</t>
  </si>
  <si>
    <t>640200054</t>
  </si>
  <si>
    <t>440100254</t>
  </si>
  <si>
    <t>440100253</t>
  </si>
  <si>
    <t>440100255</t>
  </si>
  <si>
    <t>440100256</t>
  </si>
  <si>
    <t>690200015</t>
  </si>
  <si>
    <t>690200022</t>
  </si>
  <si>
    <t>690200024</t>
  </si>
  <si>
    <t>690200028</t>
  </si>
  <si>
    <t>690200026</t>
  </si>
  <si>
    <t>690200030</t>
  </si>
  <si>
    <t>690200020</t>
  </si>
  <si>
    <t>440100201CS</t>
  </si>
  <si>
    <t>440100250CS</t>
  </si>
  <si>
    <t>440100159</t>
  </si>
  <si>
    <t>440100172</t>
  </si>
  <si>
    <t>440100160</t>
  </si>
  <si>
    <t>440100161</t>
  </si>
  <si>
    <t>640300022</t>
  </si>
  <si>
    <t>640000092</t>
  </si>
  <si>
    <t>680000005</t>
  </si>
  <si>
    <t>100125129</t>
  </si>
  <si>
    <t>640000180</t>
  </si>
  <si>
    <t>690000010</t>
  </si>
  <si>
    <t>443600107</t>
  </si>
  <si>
    <t>440100078CS</t>
  </si>
  <si>
    <t>443600010</t>
  </si>
  <si>
    <t>640300017</t>
  </si>
  <si>
    <t>640300019</t>
  </si>
  <si>
    <t>640000140</t>
  </si>
  <si>
    <t>690000130</t>
  </si>
  <si>
    <t>P760000057</t>
  </si>
  <si>
    <t>005200077</t>
  </si>
  <si>
    <t>690000134</t>
  </si>
  <si>
    <t>690000015</t>
  </si>
  <si>
    <t>690000035</t>
  </si>
  <si>
    <t>640100020</t>
  </si>
  <si>
    <t>640000031</t>
  </si>
  <si>
    <t>640000033</t>
  </si>
  <si>
    <t>444000029</t>
  </si>
  <si>
    <t>640400016</t>
  </si>
  <si>
    <t>450020036CS</t>
  </si>
  <si>
    <t>440102936</t>
  </si>
  <si>
    <t>600200016</t>
  </si>
  <si>
    <t>800700203</t>
  </si>
  <si>
    <t>115140144</t>
  </si>
  <si>
    <t>427100008</t>
  </si>
  <si>
    <t>047871095</t>
  </si>
  <si>
    <t>047871082</t>
  </si>
  <si>
    <t>047871072</t>
  </si>
  <si>
    <t>640400013</t>
  </si>
  <si>
    <t>440100095CS</t>
  </si>
  <si>
    <t>640100026</t>
  </si>
  <si>
    <t>430140029</t>
  </si>
  <si>
    <t>433447583</t>
  </si>
  <si>
    <t>444000026CS</t>
  </si>
  <si>
    <t>444000027CS</t>
  </si>
  <si>
    <t>640000155</t>
  </si>
  <si>
    <t>640000091</t>
  </si>
  <si>
    <t>444000025CS</t>
  </si>
  <si>
    <t>640000048</t>
  </si>
  <si>
    <t>643200002</t>
  </si>
  <si>
    <t>690000023</t>
  </si>
  <si>
    <t>P710000002</t>
  </si>
  <si>
    <t>640000166</t>
  </si>
  <si>
    <t>P720000003</t>
  </si>
  <si>
    <t>P720000002</t>
  </si>
  <si>
    <t>430140044</t>
  </si>
  <si>
    <t>640000164</t>
  </si>
  <si>
    <t>643200004</t>
  </si>
  <si>
    <t>690000013</t>
  </si>
  <si>
    <t>690000026</t>
  </si>
  <si>
    <t>011444000</t>
  </si>
  <si>
    <t>013444000</t>
  </si>
  <si>
    <t>070443200</t>
  </si>
  <si>
    <t>444000015</t>
  </si>
  <si>
    <t>444000027</t>
  </si>
  <si>
    <t>444000026</t>
  </si>
  <si>
    <t>444000025</t>
  </si>
  <si>
    <t>743600078</t>
  </si>
  <si>
    <t>690000936</t>
  </si>
  <si>
    <t>440100129</t>
  </si>
  <si>
    <t>690300005</t>
  </si>
  <si>
    <t>650100001</t>
  </si>
  <si>
    <t>641000027</t>
  </si>
  <si>
    <t>743400064</t>
  </si>
  <si>
    <t>440100076CS</t>
  </si>
  <si>
    <t>440100075CS</t>
  </si>
  <si>
    <t>440100175</t>
  </si>
  <si>
    <t>440100165</t>
  </si>
  <si>
    <t>690000935</t>
  </si>
  <si>
    <t>630000027</t>
  </si>
  <si>
    <t>640400007</t>
  </si>
  <si>
    <t>640000985</t>
  </si>
  <si>
    <t>640000038</t>
  </si>
  <si>
    <t>690000932</t>
  </si>
  <si>
    <t>443200032</t>
  </si>
  <si>
    <t>100118224</t>
  </si>
  <si>
    <t>440100130</t>
  </si>
  <si>
    <t>670000005</t>
  </si>
  <si>
    <t>670000006</t>
  </si>
  <si>
    <t>209221221</t>
  </si>
  <si>
    <t>113130140</t>
  </si>
  <si>
    <t>450100001</t>
  </si>
  <si>
    <t>510000136</t>
  </si>
  <si>
    <t>510000135</t>
  </si>
  <si>
    <t>443600100</t>
  </si>
  <si>
    <t>510000130</t>
  </si>
  <si>
    <t>510000128</t>
  </si>
  <si>
    <t>510000131</t>
  </si>
  <si>
    <t>510000129</t>
  </si>
  <si>
    <t>510000124</t>
  </si>
  <si>
    <t>510000125</t>
  </si>
  <si>
    <t>650000001</t>
  </si>
  <si>
    <t>600200011</t>
  </si>
  <si>
    <t>430110020</t>
  </si>
  <si>
    <t>430110002</t>
  </si>
  <si>
    <t>430110028</t>
  </si>
  <si>
    <t>430110017</t>
  </si>
  <si>
    <t>440100982</t>
  </si>
  <si>
    <t>640300016</t>
  </si>
  <si>
    <t>443400677</t>
  </si>
  <si>
    <t>427300909</t>
  </si>
  <si>
    <t>640300014</t>
  </si>
  <si>
    <t>690100314</t>
  </si>
  <si>
    <t>P790000016</t>
  </si>
  <si>
    <t>600200026</t>
  </si>
  <si>
    <t>600200024</t>
  </si>
  <si>
    <t>600200022</t>
  </si>
  <si>
    <t>680000034</t>
  </si>
  <si>
    <t>510000121</t>
  </si>
  <si>
    <t>600200009</t>
  </si>
  <si>
    <t>640300006</t>
  </si>
  <si>
    <t>600200001CS</t>
  </si>
  <si>
    <t>600200028CS</t>
  </si>
  <si>
    <t>690300001CS</t>
  </si>
  <si>
    <t>600200014</t>
  </si>
  <si>
    <t>450040013CS</t>
  </si>
  <si>
    <t>300520000</t>
  </si>
  <si>
    <t>520000009</t>
  </si>
  <si>
    <t>690000005</t>
  </si>
  <si>
    <t>430140061</t>
  </si>
  <si>
    <t>600200017</t>
  </si>
  <si>
    <t>670000001</t>
  </si>
  <si>
    <t>670000007CS</t>
  </si>
  <si>
    <t>680000083</t>
  </si>
  <si>
    <t>440100121</t>
  </si>
  <si>
    <t>440100118</t>
  </si>
  <si>
    <t>440100117</t>
  </si>
  <si>
    <t>440100125</t>
  </si>
  <si>
    <t>440100124</t>
  </si>
  <si>
    <t>440100128</t>
  </si>
  <si>
    <t>640000156</t>
  </si>
  <si>
    <t>440100080</t>
  </si>
  <si>
    <t>440100081</t>
  </si>
  <si>
    <t>440100077CS</t>
  </si>
  <si>
    <t>680000063</t>
  </si>
  <si>
    <t>440100096</t>
  </si>
  <si>
    <t>640000162</t>
  </si>
  <si>
    <t>640000068</t>
  </si>
  <si>
    <t>640000077</t>
  </si>
  <si>
    <t>640000067</t>
  </si>
  <si>
    <t>640000073</t>
  </si>
  <si>
    <t>640000075</t>
  </si>
  <si>
    <t>690000002</t>
  </si>
  <si>
    <t>680000075</t>
  </si>
  <si>
    <t>680000074</t>
  </si>
  <si>
    <t>680000073</t>
  </si>
  <si>
    <t>680000051</t>
  </si>
  <si>
    <t>680000054</t>
  </si>
  <si>
    <t>680000055</t>
  </si>
  <si>
    <t>680000052</t>
  </si>
  <si>
    <t>680000053</t>
  </si>
  <si>
    <t>680000056</t>
  </si>
  <si>
    <t>680000071</t>
  </si>
  <si>
    <t>680000072</t>
  </si>
  <si>
    <t>680000077</t>
  </si>
  <si>
    <t>680000067</t>
  </si>
  <si>
    <t>680000070</t>
  </si>
  <si>
    <t>680000064</t>
  </si>
  <si>
    <t>680000068</t>
  </si>
  <si>
    <t>680000065</t>
  </si>
  <si>
    <t>680000066</t>
  </si>
  <si>
    <t>680000069</t>
  </si>
  <si>
    <t>680000076</t>
  </si>
  <si>
    <t>440100079CS</t>
  </si>
  <si>
    <t>440300033</t>
  </si>
  <si>
    <t>640400015</t>
  </si>
  <si>
    <t>640100010</t>
  </si>
  <si>
    <t>440103921</t>
  </si>
  <si>
    <t>440103922</t>
  </si>
  <si>
    <t>440103923</t>
  </si>
  <si>
    <t>440103928</t>
  </si>
  <si>
    <t>440103927</t>
  </si>
  <si>
    <t>440103925</t>
  </si>
  <si>
    <t>440103926</t>
  </si>
  <si>
    <t>680000080</t>
  </si>
  <si>
    <t>640200028</t>
  </si>
  <si>
    <t>640200027</t>
  </si>
  <si>
    <t>430140055</t>
  </si>
  <si>
    <t>430140052</t>
  </si>
  <si>
    <t>427200216</t>
  </si>
  <si>
    <t>640000109</t>
  </si>
  <si>
    <t>600200301</t>
  </si>
  <si>
    <t>640000084</t>
  </si>
  <si>
    <t>440103920</t>
  </si>
  <si>
    <t>512000300</t>
  </si>
  <si>
    <t>690000004</t>
  </si>
  <si>
    <t>640000152</t>
  </si>
  <si>
    <t>640100001</t>
  </si>
  <si>
    <t>743600062</t>
  </si>
  <si>
    <t>640000057</t>
  </si>
  <si>
    <t>640100026CS</t>
  </si>
  <si>
    <t>640000167</t>
  </si>
  <si>
    <t>640000036</t>
  </si>
  <si>
    <t>640000039</t>
  </si>
  <si>
    <t>640100006</t>
  </si>
  <si>
    <t>680000058</t>
  </si>
  <si>
    <t>510000009</t>
  </si>
  <si>
    <t>640100014</t>
  </si>
  <si>
    <t>640100008</t>
  </si>
  <si>
    <t>680000059</t>
  </si>
  <si>
    <t>680000061</t>
  </si>
  <si>
    <t>630140015CS</t>
  </si>
  <si>
    <t>640100002</t>
  </si>
  <si>
    <t>680000062</t>
  </si>
  <si>
    <t>690000008</t>
  </si>
  <si>
    <t>680000060</t>
  </si>
  <si>
    <t>640100013</t>
  </si>
  <si>
    <t>443600007</t>
  </si>
  <si>
    <t>440100096CS</t>
  </si>
  <si>
    <t>640000137</t>
  </si>
  <si>
    <t>512000163</t>
  </si>
  <si>
    <t>512000169</t>
  </si>
  <si>
    <t>512000162</t>
  </si>
  <si>
    <t>512000164</t>
  </si>
  <si>
    <t>443510040</t>
  </si>
  <si>
    <t>743600074</t>
  </si>
  <si>
    <t>443400757</t>
  </si>
  <si>
    <t>440100071CS</t>
  </si>
  <si>
    <t>440100148</t>
  </si>
  <si>
    <t>440100148CS</t>
  </si>
  <si>
    <t>440100147CS</t>
  </si>
  <si>
    <t>690000037</t>
  </si>
  <si>
    <t>430140036</t>
  </si>
  <si>
    <t>670000008</t>
  </si>
  <si>
    <t>670000009</t>
  </si>
  <si>
    <t>640200059</t>
  </si>
  <si>
    <t>640200060</t>
  </si>
  <si>
    <t>640200061</t>
  </si>
  <si>
    <t>640200062</t>
  </si>
  <si>
    <t>640100025</t>
  </si>
  <si>
    <t>490190012</t>
  </si>
  <si>
    <t>660000108</t>
  </si>
  <si>
    <t>440100079</t>
  </si>
  <si>
    <t>690000906</t>
  </si>
  <si>
    <t>690000052</t>
  </si>
  <si>
    <t>630000020</t>
  </si>
  <si>
    <t>640400003</t>
  </si>
  <si>
    <t>640400002</t>
  </si>
  <si>
    <t>630000011</t>
  </si>
  <si>
    <t>690300003</t>
  </si>
  <si>
    <t>670000010</t>
  </si>
  <si>
    <t>630000009</t>
  </si>
  <si>
    <t>630000012</t>
  </si>
  <si>
    <t>630000010</t>
  </si>
  <si>
    <t>690100001</t>
  </si>
  <si>
    <t>690000011</t>
  </si>
  <si>
    <t>630000019</t>
  </si>
  <si>
    <t>630000021</t>
  </si>
  <si>
    <t>630000022</t>
  </si>
  <si>
    <t>630000003</t>
  </si>
  <si>
    <t>630000005</t>
  </si>
  <si>
    <t>640200008</t>
  </si>
  <si>
    <t>640200007</t>
  </si>
  <si>
    <t>640200006</t>
  </si>
  <si>
    <t>680000035</t>
  </si>
  <si>
    <t>640100107</t>
  </si>
  <si>
    <t>650100003</t>
  </si>
  <si>
    <t>640200064</t>
  </si>
  <si>
    <t>440100013</t>
  </si>
  <si>
    <t>440100023</t>
  </si>
  <si>
    <t>440100003</t>
  </si>
  <si>
    <t>440100033</t>
  </si>
  <si>
    <t>640000124</t>
  </si>
  <si>
    <t>640000125</t>
  </si>
  <si>
    <t>640000122</t>
  </si>
  <si>
    <t>640000123</t>
  </si>
  <si>
    <t>630140016CS</t>
  </si>
  <si>
    <t>630140022CS</t>
  </si>
  <si>
    <t>630140020CS</t>
  </si>
  <si>
    <t>630140031CS</t>
  </si>
  <si>
    <t>630140030CS</t>
  </si>
  <si>
    <t>630140032CS</t>
  </si>
  <si>
    <t>630140021CS</t>
  </si>
  <si>
    <t>630140023CS</t>
  </si>
  <si>
    <t>630140018CS</t>
  </si>
  <si>
    <t>640200021</t>
  </si>
  <si>
    <t>640200022CS</t>
  </si>
  <si>
    <t>640200022</t>
  </si>
  <si>
    <t>640200024</t>
  </si>
  <si>
    <t>640200063</t>
  </si>
  <si>
    <t>440100250</t>
  </si>
  <si>
    <t>440100095</t>
  </si>
  <si>
    <t>512000166</t>
  </si>
  <si>
    <t>512000165</t>
  </si>
  <si>
    <t>512000167</t>
  </si>
  <si>
    <t>510640200</t>
  </si>
  <si>
    <t>680000001</t>
  </si>
  <si>
    <t>680000057</t>
  </si>
  <si>
    <t>640200010</t>
  </si>
  <si>
    <t>640000088</t>
  </si>
  <si>
    <t>680000021</t>
  </si>
  <si>
    <t>640100033</t>
  </si>
  <si>
    <t>702000522</t>
  </si>
  <si>
    <t>200443200</t>
  </si>
  <si>
    <t>640000011CS</t>
  </si>
  <si>
    <t>640000006</t>
  </si>
  <si>
    <t>640000006CS</t>
  </si>
  <si>
    <t>640000165</t>
  </si>
  <si>
    <t>640000099</t>
  </si>
  <si>
    <t>640000179</t>
  </si>
  <si>
    <t>640000037</t>
  </si>
  <si>
    <t>640000037CS</t>
  </si>
  <si>
    <t>640000158</t>
  </si>
  <si>
    <t>440100035</t>
  </si>
  <si>
    <t>640000150</t>
  </si>
  <si>
    <t>440100078</t>
  </si>
  <si>
    <t>458443200</t>
  </si>
  <si>
    <t>680000004</t>
  </si>
  <si>
    <t>430140043</t>
  </si>
  <si>
    <t>430140019CS</t>
  </si>
  <si>
    <t>430140018CS</t>
  </si>
  <si>
    <t>690100313</t>
  </si>
  <si>
    <t>690100309</t>
  </si>
  <si>
    <t>610000013</t>
  </si>
  <si>
    <t>443200031</t>
  </si>
  <si>
    <t>005200070</t>
  </si>
  <si>
    <t>005200037</t>
  </si>
  <si>
    <t>640000157</t>
  </si>
  <si>
    <t>670000102</t>
  </si>
  <si>
    <t>670000101</t>
  </si>
  <si>
    <t>670000104</t>
  </si>
  <si>
    <t>670000103</t>
  </si>
  <si>
    <t>640300025</t>
  </si>
  <si>
    <t>680000002</t>
  </si>
  <si>
    <t>690100016</t>
  </si>
  <si>
    <t>670000011</t>
  </si>
  <si>
    <t>680000030</t>
  </si>
  <si>
    <t>440100981</t>
  </si>
  <si>
    <t>440190204</t>
  </si>
  <si>
    <t>440190205</t>
  </si>
  <si>
    <t>440190206</t>
  </si>
  <si>
    <t>440190207</t>
  </si>
  <si>
    <t>440100158</t>
  </si>
  <si>
    <t>430140059</t>
  </si>
  <si>
    <t>610000006</t>
  </si>
  <si>
    <t>610000003</t>
  </si>
  <si>
    <t>610000004</t>
  </si>
  <si>
    <t>610000001</t>
  </si>
  <si>
    <t>610000010</t>
  </si>
  <si>
    <t>610000014</t>
  </si>
  <si>
    <t>620000003</t>
  </si>
  <si>
    <t>620000001</t>
  </si>
  <si>
    <t>620000006</t>
  </si>
  <si>
    <t>620000004</t>
  </si>
  <si>
    <t>600000210</t>
  </si>
  <si>
    <t>600000270</t>
  </si>
  <si>
    <t>600000271</t>
  </si>
  <si>
    <t>600000272</t>
  </si>
  <si>
    <t>600000212</t>
  </si>
  <si>
    <t>600000241</t>
  </si>
  <si>
    <t>600000209</t>
  </si>
  <si>
    <t>600000206</t>
  </si>
  <si>
    <t>600000215</t>
  </si>
  <si>
    <t>600000289</t>
  </si>
  <si>
    <t>600000290</t>
  </si>
  <si>
    <t>600000084</t>
  </si>
  <si>
    <t>600000085</t>
  </si>
  <si>
    <t>600000100</t>
  </si>
  <si>
    <t>600000102</t>
  </si>
  <si>
    <t>600000101</t>
  </si>
  <si>
    <t>600000104</t>
  </si>
  <si>
    <t>600000103</t>
  </si>
  <si>
    <t>600000105</t>
  </si>
  <si>
    <t>600000027</t>
  </si>
  <si>
    <t>600100206</t>
  </si>
  <si>
    <t>600100213</t>
  </si>
  <si>
    <t>600100205</t>
  </si>
  <si>
    <t>600100212</t>
  </si>
  <si>
    <t>600100204</t>
  </si>
  <si>
    <t>600100211</t>
  </si>
  <si>
    <t>600100207</t>
  </si>
  <si>
    <t>600100214</t>
  </si>
  <si>
    <t>600100202</t>
  </si>
  <si>
    <t>600100203</t>
  </si>
  <si>
    <t>643200003</t>
  </si>
  <si>
    <t>600000379</t>
  </si>
  <si>
    <t>600000380</t>
  </si>
  <si>
    <t>600000381</t>
  </si>
  <si>
    <t>600000377</t>
  </si>
  <si>
    <t>600000320</t>
  </si>
  <si>
    <t>600000376</t>
  </si>
  <si>
    <t>600000319</t>
  </si>
  <si>
    <t>600000375</t>
  </si>
  <si>
    <t>600000316</t>
  </si>
  <si>
    <t>600000378</t>
  </si>
  <si>
    <t>600000321</t>
  </si>
  <si>
    <t>600000359</t>
  </si>
  <si>
    <t>600000360</t>
  </si>
  <si>
    <t>600000361</t>
  </si>
  <si>
    <t>600000343</t>
  </si>
  <si>
    <t>512000159</t>
  </si>
  <si>
    <t>512000161</t>
  </si>
  <si>
    <t>512000160</t>
  </si>
  <si>
    <t>440100166</t>
  </si>
  <si>
    <t>440100252</t>
  </si>
  <si>
    <t>440100168</t>
  </si>
  <si>
    <t>640000035</t>
  </si>
  <si>
    <t>640000035CS</t>
  </si>
  <si>
    <t>640000988</t>
  </si>
  <si>
    <t>400100132</t>
  </si>
  <si>
    <t>400100133</t>
  </si>
  <si>
    <t>512000158</t>
  </si>
  <si>
    <t>440100137</t>
  </si>
  <si>
    <t>440100138</t>
  </si>
  <si>
    <t>440100152</t>
  </si>
  <si>
    <t>640000090</t>
  </si>
  <si>
    <t>690000034</t>
  </si>
  <si>
    <t>430140047</t>
  </si>
  <si>
    <t>430140042</t>
  </si>
  <si>
    <t>430140048</t>
  </si>
  <si>
    <t>430140040</t>
  </si>
  <si>
    <t>680000081</t>
  </si>
  <si>
    <t>640400004</t>
  </si>
  <si>
    <t>640400006</t>
  </si>
  <si>
    <t>640400005</t>
  </si>
  <si>
    <t>443510039</t>
  </si>
  <si>
    <t>743600077</t>
  </si>
  <si>
    <t>443510037</t>
  </si>
  <si>
    <t>743400083</t>
  </si>
  <si>
    <t>443400795</t>
  </si>
  <si>
    <t>443400793</t>
  </si>
  <si>
    <t>443400796</t>
  </si>
  <si>
    <t>743600064</t>
  </si>
  <si>
    <t>443510038</t>
  </si>
  <si>
    <t>743400082</t>
  </si>
  <si>
    <t>443400797</t>
  </si>
  <si>
    <t>640000026</t>
  </si>
  <si>
    <t>627100005</t>
  </si>
  <si>
    <t>640000013</t>
  </si>
  <si>
    <t>640000016</t>
  </si>
  <si>
    <t>640000015</t>
  </si>
  <si>
    <t>640000012</t>
  </si>
  <si>
    <t>640000014</t>
  </si>
  <si>
    <t>640000007</t>
  </si>
  <si>
    <t>640000010</t>
  </si>
  <si>
    <t>640000009</t>
  </si>
  <si>
    <t>640000008</t>
  </si>
  <si>
    <t>627000013</t>
  </si>
  <si>
    <t>627000027</t>
  </si>
  <si>
    <t>627000026</t>
  </si>
  <si>
    <t>610000002</t>
  </si>
  <si>
    <t>690000016</t>
  </si>
  <si>
    <t>640200023</t>
  </si>
  <si>
    <t>640200029</t>
  </si>
  <si>
    <t>690100312</t>
  </si>
  <si>
    <t>630000025</t>
  </si>
  <si>
    <t>430110013</t>
  </si>
  <si>
    <t>430110012</t>
  </si>
  <si>
    <t>005200072</t>
  </si>
  <si>
    <t>643200001</t>
  </si>
  <si>
    <t>640200053</t>
  </si>
  <si>
    <t>640000178</t>
  </si>
  <si>
    <t>640000177</t>
  </si>
  <si>
    <t>640000130</t>
  </si>
  <si>
    <t>640000126</t>
  </si>
  <si>
    <t>640200052</t>
  </si>
  <si>
    <t>630140017CS</t>
  </si>
  <si>
    <t>690000017</t>
  </si>
  <si>
    <t>640200005</t>
  </si>
  <si>
    <t>432140919</t>
  </si>
  <si>
    <t>690100018</t>
  </si>
  <si>
    <t>690000933</t>
  </si>
  <si>
    <t>443600013</t>
  </si>
  <si>
    <t>440100251</t>
  </si>
  <si>
    <t>430110005</t>
  </si>
  <si>
    <t>430110946</t>
  </si>
  <si>
    <t>430110001</t>
  </si>
  <si>
    <t>430110925</t>
  </si>
  <si>
    <t>430110004</t>
  </si>
  <si>
    <t>430110937</t>
  </si>
  <si>
    <t>430110962</t>
  </si>
  <si>
    <t>430140009</t>
  </si>
  <si>
    <t>690000012</t>
  </si>
  <si>
    <t>640000023</t>
  </si>
  <si>
    <t>440100071</t>
  </si>
  <si>
    <t>640200047</t>
  </si>
  <si>
    <t>640000133</t>
  </si>
  <si>
    <t>627000004</t>
  </si>
  <si>
    <t>627000011</t>
  </si>
  <si>
    <t>627000002</t>
  </si>
  <si>
    <t>627000012</t>
  </si>
  <si>
    <t>627000003</t>
  </si>
  <si>
    <t>627000001</t>
  </si>
  <si>
    <t>627000009</t>
  </si>
  <si>
    <t>627000008</t>
  </si>
  <si>
    <t>440100987</t>
  </si>
  <si>
    <t>440100156</t>
  </si>
  <si>
    <t>440101005</t>
  </si>
  <si>
    <t>440100985</t>
  </si>
  <si>
    <t>440100988</t>
  </si>
  <si>
    <t>443600106</t>
  </si>
  <si>
    <t>440100170</t>
  </si>
  <si>
    <t>640000022</t>
  </si>
  <si>
    <t>627000014</t>
  </si>
  <si>
    <t>627000017</t>
  </si>
  <si>
    <t>627000021</t>
  </si>
  <si>
    <t>627000019</t>
  </si>
  <si>
    <t>680000085</t>
  </si>
  <si>
    <t>005200071</t>
  </si>
  <si>
    <t>440100173</t>
  </si>
  <si>
    <t>440100171</t>
  </si>
  <si>
    <t>440100169</t>
  </si>
  <si>
    <t>640200026</t>
  </si>
  <si>
    <t>640100034</t>
  </si>
  <si>
    <t>690100017</t>
  </si>
  <si>
    <t>430140053</t>
  </si>
  <si>
    <t>430140049</t>
  </si>
  <si>
    <t>440100147</t>
  </si>
  <si>
    <t>440100075</t>
  </si>
  <si>
    <t>640000029</t>
  </si>
  <si>
    <t>443200111</t>
  </si>
  <si>
    <t>743400088</t>
  </si>
  <si>
    <t>443600004</t>
  </si>
  <si>
    <t>443600003</t>
  </si>
  <si>
    <t>443600012</t>
  </si>
  <si>
    <t>430140062</t>
  </si>
  <si>
    <t>430140058</t>
  </si>
  <si>
    <t>430140010</t>
  </si>
  <si>
    <t>430140012</t>
  </si>
  <si>
    <t>690000006</t>
  </si>
  <si>
    <t>690000007</t>
  </si>
  <si>
    <t>630000024</t>
  </si>
  <si>
    <t>630001024</t>
  </si>
  <si>
    <t>660000015</t>
  </si>
  <si>
    <t>600100208</t>
  </si>
  <si>
    <t>600100210</t>
  </si>
  <si>
    <t>440000016</t>
  </si>
  <si>
    <t>640400010</t>
  </si>
  <si>
    <t>640400011</t>
  </si>
  <si>
    <t>512000153</t>
  </si>
  <si>
    <t>660000013</t>
  </si>
  <si>
    <t>640400017</t>
  </si>
  <si>
    <t>600200021</t>
  </si>
  <si>
    <t>600200005</t>
  </si>
  <si>
    <t>600200004</t>
  </si>
  <si>
    <t>600200025</t>
  </si>
  <si>
    <t>600200023</t>
  </si>
  <si>
    <t>600200027</t>
  </si>
  <si>
    <t>600000093</t>
  </si>
  <si>
    <t>600000095</t>
  </si>
  <si>
    <t>640200057</t>
  </si>
  <si>
    <t>650100004</t>
  </si>
  <si>
    <t>627000025</t>
  </si>
  <si>
    <t>627000024</t>
  </si>
  <si>
    <t>430140046</t>
  </si>
  <si>
    <t>627100004</t>
  </si>
  <si>
    <t>427200203</t>
  </si>
  <si>
    <t>427200211</t>
  </si>
  <si>
    <t>427200204</t>
  </si>
  <si>
    <t>427200205</t>
  </si>
  <si>
    <t>427100216</t>
  </si>
  <si>
    <t>627000007</t>
  </si>
  <si>
    <t>427100203</t>
  </si>
  <si>
    <t>627000005</t>
  </si>
  <si>
    <t>627000005CS</t>
  </si>
  <si>
    <t>627000006</t>
  </si>
  <si>
    <t>627000006CS</t>
  </si>
  <si>
    <t>627000010</t>
  </si>
  <si>
    <t>627000015</t>
  </si>
  <si>
    <t>627000016</t>
  </si>
  <si>
    <t>627000020</t>
  </si>
  <si>
    <t>427200215</t>
  </si>
  <si>
    <t>427200212</t>
  </si>
  <si>
    <t>427200218</t>
  </si>
  <si>
    <t>427200214</t>
  </si>
  <si>
    <t>427200213</t>
  </si>
  <si>
    <t>427000003</t>
  </si>
  <si>
    <t>427100015</t>
  </si>
  <si>
    <t>427200002</t>
  </si>
  <si>
    <t>427200001</t>
  </si>
  <si>
    <t>427100011</t>
  </si>
  <si>
    <t>427100013</t>
  </si>
  <si>
    <t>627000011CS</t>
  </si>
  <si>
    <t>627000012CS</t>
  </si>
  <si>
    <t>627000008CS</t>
  </si>
  <si>
    <t>627000009CS</t>
  </si>
  <si>
    <t>743400054</t>
  </si>
  <si>
    <t>743400052</t>
  </si>
  <si>
    <t>443600061</t>
  </si>
  <si>
    <t>446300037CS</t>
  </si>
  <si>
    <t>627100001</t>
  </si>
  <si>
    <t>627100002</t>
  </si>
  <si>
    <t>627000025CS</t>
  </si>
  <si>
    <t>627000026CS</t>
  </si>
  <si>
    <t>627000024CS</t>
  </si>
  <si>
    <t>627000027CS</t>
  </si>
  <si>
    <t>640000058</t>
  </si>
  <si>
    <t>627100003</t>
  </si>
  <si>
    <t>440100132</t>
  </si>
  <si>
    <t>440100131</t>
  </si>
  <si>
    <t>440190003</t>
  </si>
  <si>
    <t>440100201</t>
  </si>
  <si>
    <t>440100167</t>
  </si>
  <si>
    <t>640000151</t>
  </si>
  <si>
    <t>432000031</t>
  </si>
  <si>
    <t>640000171</t>
  </si>
  <si>
    <t>640000134</t>
  </si>
  <si>
    <t>443200016</t>
  </si>
  <si>
    <t>443200017</t>
  </si>
  <si>
    <t>440100093CS</t>
  </si>
  <si>
    <t>440100294</t>
  </si>
  <si>
    <t>440100293</t>
  </si>
  <si>
    <t>440100293CS</t>
  </si>
  <si>
    <t>640000083</t>
  </si>
  <si>
    <t>640000003</t>
  </si>
  <si>
    <t>640000004</t>
  </si>
  <si>
    <t>640000005</t>
  </si>
  <si>
    <t>640100105</t>
  </si>
  <si>
    <t>640000062</t>
  </si>
  <si>
    <t>640000066</t>
  </si>
  <si>
    <t>640000063</t>
  </si>
  <si>
    <t>640000027</t>
  </si>
  <si>
    <t>640000020</t>
  </si>
  <si>
    <t>640000028</t>
  </si>
  <si>
    <t>640000163</t>
  </si>
  <si>
    <t>640100007</t>
  </si>
  <si>
    <t>640100005</t>
  </si>
  <si>
    <t>640100003</t>
  </si>
  <si>
    <t>640000984</t>
  </si>
  <si>
    <t>448020001</t>
  </si>
  <si>
    <t>640000079</t>
  </si>
  <si>
    <t>640000085</t>
  </si>
  <si>
    <t>610000007</t>
  </si>
  <si>
    <t>610000008</t>
  </si>
  <si>
    <t>440100133</t>
  </si>
  <si>
    <t>690100010</t>
  </si>
  <si>
    <t>690100015</t>
  </si>
  <si>
    <t>640000986</t>
  </si>
  <si>
    <t>640000983</t>
  </si>
  <si>
    <t>640000021</t>
  </si>
  <si>
    <t>627000029</t>
  </si>
  <si>
    <t>600200013</t>
  </si>
  <si>
    <t>600200012</t>
  </si>
  <si>
    <t>P76000021</t>
  </si>
  <si>
    <t>P760000022</t>
  </si>
  <si>
    <t>P76000018</t>
  </si>
  <si>
    <t>P7900000018</t>
  </si>
  <si>
    <t>P790000017</t>
  </si>
  <si>
    <t>670000007</t>
  </si>
  <si>
    <t>P770000002</t>
  </si>
  <si>
    <t>690000009</t>
  </si>
  <si>
    <t>P760000035</t>
  </si>
  <si>
    <t>P760000040</t>
  </si>
  <si>
    <t>P760000135</t>
  </si>
  <si>
    <t>P760000142</t>
  </si>
  <si>
    <t>P760000144</t>
  </si>
  <si>
    <t>P760000003</t>
  </si>
  <si>
    <t>P760000128</t>
  </si>
  <si>
    <t>P760000007</t>
  </si>
  <si>
    <t>P760000008</t>
  </si>
  <si>
    <t>P760000017</t>
  </si>
  <si>
    <t>P760000028</t>
  </si>
  <si>
    <t>P760000034</t>
  </si>
  <si>
    <t>P760000006</t>
  </si>
  <si>
    <t>P760000041</t>
  </si>
  <si>
    <t>408503265</t>
  </si>
  <si>
    <t>P760000042</t>
  </si>
  <si>
    <t>P760000033</t>
  </si>
  <si>
    <t>P760000044</t>
  </si>
  <si>
    <t>450020036</t>
  </si>
  <si>
    <t>P740000009</t>
  </si>
  <si>
    <t>P740000004</t>
  </si>
  <si>
    <t>P740000002</t>
  </si>
  <si>
    <t>P740000003</t>
  </si>
  <si>
    <t>P740000008</t>
  </si>
  <si>
    <t>P740000007</t>
  </si>
  <si>
    <t>P740000011</t>
  </si>
  <si>
    <t>P740000006</t>
  </si>
  <si>
    <t>P740000010</t>
  </si>
  <si>
    <t>P750000003</t>
  </si>
  <si>
    <t>P750000002</t>
  </si>
  <si>
    <t>P760000055</t>
  </si>
  <si>
    <t>450040006</t>
  </si>
  <si>
    <t>P780000010</t>
  </si>
  <si>
    <t>P760000005</t>
  </si>
  <si>
    <t>P760000002</t>
  </si>
  <si>
    <t>P790000018</t>
  </si>
  <si>
    <t>600200300</t>
  </si>
  <si>
    <t>P760000023</t>
  </si>
  <si>
    <t>P760000024</t>
  </si>
  <si>
    <t>600200001</t>
  </si>
  <si>
    <t>600200028</t>
  </si>
  <si>
    <t>450040013</t>
  </si>
  <si>
    <t>P790000004</t>
  </si>
  <si>
    <t>P760000127</t>
  </si>
  <si>
    <t>P760000018</t>
  </si>
  <si>
    <t>P740000005</t>
  </si>
  <si>
    <t>P750000001</t>
  </si>
  <si>
    <t>P740000001</t>
  </si>
  <si>
    <t>P760000032</t>
  </si>
  <si>
    <t>P760000031</t>
  </si>
  <si>
    <t>P76000031</t>
  </si>
  <si>
    <t>P760000030</t>
  </si>
  <si>
    <t>P760000130</t>
  </si>
  <si>
    <t>P760000029</t>
  </si>
  <si>
    <t>P780000012</t>
  </si>
  <si>
    <t>P760000027</t>
  </si>
  <si>
    <t>P76000032</t>
  </si>
  <si>
    <t>690000115</t>
  </si>
  <si>
    <t>415002049</t>
  </si>
  <si>
    <t>P770000001</t>
  </si>
  <si>
    <t>P770000006</t>
  </si>
  <si>
    <t>P760000021</t>
  </si>
  <si>
    <t>P780000011</t>
  </si>
  <si>
    <t>P780000007</t>
  </si>
  <si>
    <t>P760000056</t>
  </si>
  <si>
    <t>P770000005</t>
  </si>
  <si>
    <t>P780000009</t>
  </si>
  <si>
    <t>P780000008</t>
  </si>
  <si>
    <t>10Y29  Pile Lithium 10 ans - bouton HUSH</t>
  </si>
  <si>
    <t>Alim 24 V déport Lon LPT</t>
  </si>
  <si>
    <t>Alim 24 V déport Lon LPT Rack</t>
  </si>
  <si>
    <t>Alim 940 48V 8A Rack ss batterie</t>
  </si>
  <si>
    <t>Alimentation Variation</t>
  </si>
  <si>
    <t>Carte alim 1 20W Réson. V2</t>
  </si>
  <si>
    <t>Carte alim 60W Réson. V2</t>
  </si>
  <si>
    <t>Compatible avec les batteries (4x12V, 7 Ah), (4x12V, 10 Ah), (4x12V, 17 Ah).</t>
  </si>
  <si>
    <t>DAAF 29 H-FR  Pile Alcaline 1 an - bouton HUSH</t>
  </si>
  <si>
    <t>DAAF 29 HLD-FR  Pile Lithium 5 ans - bouton HUSH</t>
  </si>
  <si>
    <t>DAAF 29 LD-FR  Pile Lithium 5 ans</t>
  </si>
  <si>
    <t>DAAF 29-FR  Pile Alcaline 1 an</t>
  </si>
  <si>
    <t>Ibatterie (46 V) mA  739 987 1361 1615 1990 2241 2620 3897 5197</t>
  </si>
  <si>
    <t>Ibatterie (50 V) mA  680 908 1254 1482 1832 2060 2406 3572 4752</t>
  </si>
  <si>
    <t>Kit 2 batteries 24 Ah, 12 V</t>
  </si>
  <si>
    <t>Module Alim. Vision.Com</t>
  </si>
  <si>
    <t>Note : Prévoir une Alim. 150W IN dédiée à la gestion</t>
  </si>
  <si>
    <t>Pile CR 2032A</t>
  </si>
  <si>
    <t>Pile CR123A</t>
  </si>
  <si>
    <t>Pile Duracell Ultra 123 ou Panasonic Industrial 123 (x25)</t>
  </si>
  <si>
    <t>Pile pour émetteur OSID</t>
  </si>
  <si>
    <t>US alimentation déportée</t>
  </si>
  <si>
    <t>UTC Pack 2 Evac  2 zones de détection collectives, 1 UGA avec 1 zone de diffusion d’alarme et 1 alimentation</t>
  </si>
  <si>
    <t>UTC Pack 4 Evac  4 zones de détection collectives, 1 UGA avec 1 zone de diffusion d’alarme et 1 alimentation</t>
  </si>
  <si>
    <t>•  Version pile : durée de vie de 5 ans.</t>
  </si>
  <si>
    <t>• Alimentation : 24 VDC +/- 4V, 420 mA</t>
  </si>
  <si>
    <t>• Alimentation : 24 VDC +/-4 V, 105 mA</t>
  </si>
  <si>
    <t>*	 Prévoir une ligne pour la télécommande et une pour le</t>
  </si>
  <si>
    <t>-	 15	mA	sous	48	V .</t>
  </si>
  <si>
    <t>-	 25	mA	sous	48	VCC.</t>
  </si>
  <si>
    <t>-	 40	mA	sous	48	V	(+10 mA par SATC Lon LPT).</t>
  </si>
  <si>
    <t>- 1 x .</t>
  </si>
  <si>
    <t>- 128 zones de détection / 128 points</t>
  </si>
  <si>
    <t>- AES 28 V / 8 A :</t>
  </si>
  <si>
    <t>- AES 56 V / 4 A :</t>
  </si>
  <si>
    <t>- Consommation électrique : 100 mA (en communication)</t>
  </si>
  <si>
    <t>- Longueur : 200 m au maximum.</t>
  </si>
  <si>
    <t>/4 MOD DAS</t>
  </si>
  <si>
    <t>1	RTC	/	2A	/	48	V</t>
  </si>
  <si>
    <t>1 DC/DC 57,3V/3A OU 28,5V/6A (EATON (ou MARTEK POWER)) (Négoce)</t>
  </si>
  <si>
    <t>1 RT/2A/ 48 V (NO en veille)</t>
  </si>
  <si>
    <t>1 aff/ 1 prog/ 2 caches 19'' VLP</t>
  </si>
  <si>
    <t>1 aff/ 3 caches 19'' VLP</t>
  </si>
  <si>
    <t>1 paire 8/10e, 500 m maxi.</t>
  </si>
  <si>
    <t>10-/70M MIA T</t>
  </si>
  <si>
    <t>10/70M</t>
  </si>
  <si>
    <t>10/70M MIA T</t>
  </si>
  <si>
    <t>10/70M RTS</t>
  </si>
  <si>
    <t>10/70M RTS KEY</t>
  </si>
  <si>
    <t>10/70M RTS-KEY</t>
  </si>
  <si>
    <t>105 °C-EPC, et 121 °C - XCR)</t>
  </si>
  <si>
    <t>1RTC</t>
  </si>
  <si>
    <t>2 DC/DC 57,3V 1,4A (MASCOT) (Négoce)</t>
  </si>
  <si>
    <t>2 VOIES LON FTT DIRECTES</t>
  </si>
  <si>
    <t>2 aff/ 1 prog/ 1 cache 19'' VLP</t>
  </si>
  <si>
    <t>2 x 1,5 mm2 2000 m</t>
  </si>
  <si>
    <t>20S M20</t>
  </si>
  <si>
    <t>20S M20 ARMÉ</t>
  </si>
  <si>
    <t>20S M20 NON ARMÉ</t>
  </si>
  <si>
    <t>2A	/	48V ,	NO	en	veille,	NF	en	alarme</t>
  </si>
  <si>
    <t>4 VOIES LON FTT DIRECTES</t>
  </si>
  <si>
    <t>5 colliers Rilsan (pour capot)  -</t>
  </si>
  <si>
    <t>5 verres de rechange  -</t>
  </si>
  <si>
    <t>6500 F / FS</t>
  </si>
  <si>
    <t>6500 R / RS</t>
  </si>
  <si>
    <t>6500 R / RS / F / FS (ACCESSOIRES)</t>
  </si>
  <si>
    <t>690 200 004 690 200 016 690 200 021 690 200 023 690 200 025</t>
  </si>
  <si>
    <t>690 200 016 690 200 021 690 200 023 690 200 025 690 200 031</t>
  </si>
  <si>
    <t>70/100M</t>
  </si>
  <si>
    <t>70/100M MIA</t>
  </si>
  <si>
    <t>70/100M MIA T</t>
  </si>
  <si>
    <t>70/100M RTS KEY</t>
  </si>
  <si>
    <t>70/100M RTS-KEY</t>
  </si>
  <si>
    <t>&lt; 93 % sans condensation.</t>
  </si>
  <si>
    <t>&gt; DISPOSITIFS MANUELS</t>
  </si>
  <si>
    <t>A TS carte vocale sans ACQ</t>
  </si>
  <si>
    <t>A TS1 210LE</t>
  </si>
  <si>
    <t>A TS1 500A IP-MM</t>
  </si>
  <si>
    <t>A TS7341</t>
  </si>
  <si>
    <t>A TS7341-SIM</t>
  </si>
  <si>
    <t>AES 230V C85 SB</t>
  </si>
  <si>
    <t>AES 28V 8A C85 SB C</t>
  </si>
  <si>
    <t>AFF MINI</t>
  </si>
  <si>
    <t>AFFICH ECRAN</t>
  </si>
  <si>
    <t>ALARME PPMS RADIO</t>
  </si>
  <si>
    <t>ARGO</t>
  </si>
  <si>
    <t>ARGO55</t>
  </si>
  <si>
    <t>ARGO55 300 B</t>
  </si>
  <si>
    <t>ARGO55 Plénitude</t>
  </si>
  <si>
    <t>AT 16</t>
  </si>
  <si>
    <t>AT 4</t>
  </si>
  <si>
    <t>AT 8</t>
  </si>
  <si>
    <t>Accessoire Code article Description</t>
  </si>
  <si>
    <t>Accessoires</t>
  </si>
  <si>
    <t>Architecture redondante</t>
  </si>
  <si>
    <t>Article Aperçu Description</t>
  </si>
  <si>
    <t>Article Code article Fiche technique</t>
  </si>
  <si>
    <t>Article Description Fiche</t>
  </si>
  <si>
    <t>Articles Description</t>
  </si>
  <si>
    <t>Aérosol pour Bol Test</t>
  </si>
  <si>
    <t>BATT 18Ah 12V BS131NS3 NF A2P</t>
  </si>
  <si>
    <t>BEAM HRK</t>
  </si>
  <si>
    <t>BEAM LRK réflecteurs 6500</t>
  </si>
  <si>
    <t>BEAM SMK embase 6500</t>
  </si>
  <si>
    <t>Basse Tension</t>
  </si>
  <si>
    <t>Bombe à froid (x1)</t>
  </si>
  <si>
    <t>Boîtier Epissure IP 67</t>
  </si>
  <si>
    <t>Boîtier Report/AGS BZ1L</t>
  </si>
  <si>
    <t>Boîtier afficheur pour VLP</t>
  </si>
  <si>
    <t>Boîtier de montage en saillie BMS3 /04/16-01</t>
  </si>
  <si>
    <t>Boîtier de montage en saillie BMS3+ /04/16-01</t>
  </si>
  <si>
    <t>Boîtier de réarmement 6500RTS key</t>
  </si>
  <si>
    <t>Boîtier début de ligne</t>
  </si>
  <si>
    <t>Boîtier fin de ligne</t>
  </si>
  <si>
    <t>Boîtier intermédiaire</t>
  </si>
  <si>
    <t>Boîtier programmateur pour VLP</t>
  </si>
  <si>
    <t>Boîtier test "DAS Contrôle"</t>
  </si>
  <si>
    <t>Bride fixation DLD 2000</t>
  </si>
  <si>
    <t>C.Scan M /04/56-01</t>
  </si>
  <si>
    <t>C.Scan O /04/57-01</t>
  </si>
  <si>
    <t>C.Scan T /04/59-01</t>
  </si>
  <si>
    <t>C.Scan TV /04/58-01</t>
  </si>
  <si>
    <t>C.Scan+</t>
  </si>
  <si>
    <t>C.Scan+ I</t>
  </si>
  <si>
    <t>C.Scan+ I /04/50-01</t>
  </si>
  <si>
    <t>C.Scan+ M</t>
  </si>
  <si>
    <t>C.Scan+ M /04/51-01</t>
  </si>
  <si>
    <t>C.Scan+ O /04/52-01</t>
  </si>
  <si>
    <t>C.Scan+ T /04/53-01</t>
  </si>
  <si>
    <t>C.Scan+ TV /04/54-01</t>
  </si>
  <si>
    <t>CAB S V2</t>
  </si>
  <si>
    <t>CAB-L  CF16 V3</t>
  </si>
  <si>
    <t>CAB-L non équipé V3</t>
  </si>
  <si>
    <t>CAB-M CF16 V3</t>
  </si>
  <si>
    <t>CAB-M non équipé V3</t>
  </si>
  <si>
    <t>CAPOTS POUR DIFF. SQG3 (X5)  Capot pour fermer le socle SQG3</t>
  </si>
  <si>
    <t>CAT-108</t>
  </si>
  <si>
    <t>CATB  4 zones de détection collectives, 1 zone de diffusion d’alarme, 2 fonctions de mise en sécurité et</t>
  </si>
  <si>
    <t>CATB  4 zones de détection collectives, 1 zone de diffusion d’alarme, 4 fonctions de mise en sécurité et</t>
  </si>
  <si>
    <t>CENTRALISATEUR DE MISE EN SECURITE INCENDIE.COM</t>
  </si>
  <si>
    <t>CES3</t>
  </si>
  <si>
    <t>CF V3</t>
  </si>
  <si>
    <t>CFC 2F directe</t>
  </si>
  <si>
    <t>CFC 3F directe</t>
  </si>
  <si>
    <t>CFC 7F directe</t>
  </si>
  <si>
    <t>CHORUS S3 Me</t>
  </si>
  <si>
    <t>CHORUS S3 Me Anglais</t>
  </si>
  <si>
    <t>CHORUS S3 NFS</t>
  </si>
  <si>
    <t>CLIP DLD 2000</t>
  </si>
  <si>
    <t>CLIP chemin de câble DLD 2000</t>
  </si>
  <si>
    <t>CO2 Plénitude</t>
  </si>
  <si>
    <t>COF. 1 7 V2</t>
  </si>
  <si>
    <t>COF.38 V2</t>
  </si>
  <si>
    <t>COF.90 V2</t>
  </si>
  <si>
    <t>COF38 1 DCDC 2,8A</t>
  </si>
  <si>
    <t>COF38 2 DCDC 2,8A</t>
  </si>
  <si>
    <t>COF38 2 DCDC 6A</t>
  </si>
  <si>
    <t>COF90 2 DCDC 3A</t>
  </si>
  <si>
    <t>COF90 2 DCDC 6A</t>
  </si>
  <si>
    <t>COMMANDE</t>
  </si>
  <si>
    <t>CS/01/72-04.</t>
  </si>
  <si>
    <t>CS/N/10-05</t>
  </si>
  <si>
    <t>CS07-25-01F - Édition du 23/09/19</t>
  </si>
  <si>
    <t>Capillaire 8 mm (100 m)  Tube capillaire</t>
  </si>
  <si>
    <t>Capillaire 8 mm (2 m)  Tube capillaire</t>
  </si>
  <si>
    <t>Capot BG double action (nouveau)  -</t>
  </si>
  <si>
    <t>Capsules pour Testifire</t>
  </si>
  <si>
    <t>Caractéristiques</t>
  </si>
  <si>
    <t>Caractéristiques techniques</t>
  </si>
  <si>
    <t>Carte 5 départs fusiblés AES</t>
  </si>
  <si>
    <t>Carte Lon PCLTA-21 pour PC</t>
  </si>
  <si>
    <t>Chubb</t>
  </si>
  <si>
    <t>Chubb Sécurité</t>
  </si>
  <si>
    <t>Chubb.Sat</t>
  </si>
  <si>
    <t>Clé réarmement extinction (x10)  Lot de 10 clés de réarmement.</t>
  </si>
  <si>
    <t>Collerette d'encastrement CES3 /04/16-01</t>
  </si>
  <si>
    <t>Collerette d'encastrement CES3+ /04/16-01</t>
  </si>
  <si>
    <t>Collier</t>
  </si>
  <si>
    <t>Constitution du système certifié Vesda Laser Plus</t>
  </si>
  <si>
    <t>Contrôleur ATEX N4387A (1 km)</t>
  </si>
  <si>
    <t>Contrôleur ATEX N4387A (2 km)</t>
  </si>
  <si>
    <t>Contrôleur ATEX N4387A (3 km)</t>
  </si>
  <si>
    <t>Contrôleur ATEX N4387A (4 km)</t>
  </si>
  <si>
    <t>Contrôleur N4387A (1 km)</t>
  </si>
  <si>
    <t>Contrôleur N4387A (2 km)</t>
  </si>
  <si>
    <t>Contrôleur N4387A (3 km)</t>
  </si>
  <si>
    <t>Contrôleur N4387A (4 km)</t>
  </si>
  <si>
    <t>Contrôleur N4387A (8 km)</t>
  </si>
  <si>
    <t>Conv 70/100M MIAT</t>
  </si>
  <si>
    <t>Convertisseur type DC/DC 28.5V 6A VARIATION</t>
  </si>
  <si>
    <t>Conçu pour être fixé sur les chemins de câbles.</t>
  </si>
  <si>
    <t>Coude 90 o 25 mm - Grand rayon  Coude 90 o : permet de raccorder des tubes ABS</t>
  </si>
  <si>
    <t>Câble FTDI 1,5 m OSID</t>
  </si>
  <si>
    <t>D'AIR</t>
  </si>
  <si>
    <t>DA 04  4/17 - 01/A</t>
  </si>
  <si>
    <t>DA 24  4/19 - 01/A</t>
  </si>
  <si>
    <t>DA 34  4/20 - 01/A</t>
  </si>
  <si>
    <t>DAACO 10 LLCO</t>
  </si>
  <si>
    <t>DAACO 10 LLDCO</t>
  </si>
  <si>
    <t>DAGS BZ1L</t>
  </si>
  <si>
    <t>DET . MODULASER</t>
  </si>
  <si>
    <t>DISP. MODULASER</t>
  </si>
  <si>
    <t>DLAHWM-24D3  Module amovible de remplacement du parafoudre</t>
  </si>
  <si>
    <t>DLAWM-24D3  Module amovible de remplacement du parafoudre</t>
  </si>
  <si>
    <t>DLAWM-48D3  Module amovible de remplacement du parafoudre</t>
  </si>
  <si>
    <t>DLD 2000 1 38 °C EPC</t>
  </si>
  <si>
    <t>DLD 2000 1 80 °C EPC</t>
  </si>
  <si>
    <t>DLD 2000 68 °C EPC</t>
  </si>
  <si>
    <t>DLD 2000 88 °C EPC</t>
  </si>
  <si>
    <t>DS / DL ROLP VAD</t>
  </si>
  <si>
    <t>DS ROLP AB socle bas</t>
  </si>
  <si>
    <t>DS ROLP AB socle bas / DS ROLP AB socle haut  / 640 100 127</t>
  </si>
  <si>
    <t>DS ROLP AB socle bas / DS ROLP AB socle haut 640 100 126 /</t>
  </si>
  <si>
    <t>DSM210 - 48DC/SCL  Module amovible de remplacement du parafoudre</t>
  </si>
  <si>
    <t>DSM210 - 75DC/SCL  Module amovible de remplacement du parafoudre</t>
  </si>
  <si>
    <t>DSM210 24DC/EN  Module amovible de remplacement du parafoudre</t>
  </si>
  <si>
    <t>DSM215- 031 Module amovible de remplacement du parafoudre</t>
  </si>
  <si>
    <t>DSP 15-EExmN(T)  CS07/20-02</t>
  </si>
  <si>
    <t>DVAF Solista rouge mur socle bas</t>
  </si>
  <si>
    <t>DVAF Solista rouge mur socle haut</t>
  </si>
  <si>
    <t>DVAF Solista rouge plafond socle bas</t>
  </si>
  <si>
    <t>DVAF Solista rouge plafond socle haut</t>
  </si>
  <si>
    <t>Dimension (L x H) : 196 x 152 mm</t>
  </si>
  <si>
    <t>Dimension (L x H) : 98 x 152 mm</t>
  </si>
  <si>
    <t>Dispositif de sécurité à la pression  -</t>
  </si>
  <si>
    <t>Distributeur pneumatique 3/2 - 24VCC (Système directionnel)</t>
  </si>
  <si>
    <t>Distributeur pneumatique 5/2 - 24VCC (Système directionnel)</t>
  </si>
  <si>
    <t>Dongle USB radio ME200WRFE</t>
  </si>
  <si>
    <t>DÉTEC. 6500F ADRESSÉ</t>
  </si>
  <si>
    <t>Dégagement calorifique annuel (MJ)  1072</t>
  </si>
  <si>
    <t>Dégagement calorifique annuel (MJ)  1258</t>
  </si>
  <si>
    <t>Déport Lon FTT</t>
  </si>
  <si>
    <t>Déport Lon LPT</t>
  </si>
  <si>
    <t>Dét. A310E</t>
  </si>
  <si>
    <t>Dét. A320E</t>
  </si>
  <si>
    <t>Détec. 6500R conv</t>
  </si>
  <si>
    <t>E 85</t>
  </si>
  <si>
    <t>ECRAN D AIR DET-TRONICS Ecran d’air</t>
  </si>
  <si>
    <t>EN54-23 Couverture : W-2.4-7.5</t>
  </si>
  <si>
    <t>ENDA2000</t>
  </si>
  <si>
    <t>ESDA1000W mur socle haut</t>
  </si>
  <si>
    <t>ESJA1000W mur socle haut</t>
  </si>
  <si>
    <t>ESJA2000W plafond socle bas</t>
  </si>
  <si>
    <t>ETBU-100 (1 tube)</t>
  </si>
  <si>
    <t>ETBU-200 (2 tubes)</t>
  </si>
  <si>
    <t>ETBU-300 (3 tubes)</t>
  </si>
  <si>
    <t>Edition du 29/07/16 Accessoires</t>
  </si>
  <si>
    <t>Embase anti-ruissellement /04/16-01</t>
  </si>
  <si>
    <t>Embout capillaire prélèvement  Embout de capillaire 8 mm avec point de prélèvement (ne comprend pas le tube capillaire)</t>
  </si>
  <si>
    <t>Embout capillaire prélèvement (x1)</t>
  </si>
  <si>
    <t>Embout conique 8 mm  Embout conique pour tube capillaire de 8 mm avec écrou</t>
  </si>
  <si>
    <t>Embout plat 8 mm avec écrou  Embout plat pour tube capillaire de 8 mm avec écrou</t>
  </si>
  <si>
    <t>Enrouleur câble</t>
  </si>
  <si>
    <t>Essai fonctionnel</t>
  </si>
  <si>
    <t>Extension 512 m pour Vision.Com</t>
  </si>
  <si>
    <t>F  145</t>
  </si>
  <si>
    <t>F. A V ANT SEULE</t>
  </si>
  <si>
    <t>FAV Résonance ()</t>
  </si>
  <si>
    <t>FIL TRE EXT .</t>
  </si>
  <si>
    <t>FILTRASOL filtre pour essais (Atténuation : 35 %) /04/38-01</t>
  </si>
  <si>
    <t>FONCTION EXTINCTION</t>
  </si>
  <si>
    <t>Fibre standard (1 m)</t>
  </si>
  <si>
    <t>Fiche CAT-025-D - Édition du 09/10/18</t>
  </si>
  <si>
    <t>Fiche CAT-104-A - Édition du 18/07/18</t>
  </si>
  <si>
    <t>Fiche CAT-107-B- Édition du 20/10/22</t>
  </si>
  <si>
    <t>Fiche CAT-161-B - Édition du 22/10/24</t>
  </si>
  <si>
    <t>Fiche CAT-228-A - Édition du 04/03/24</t>
  </si>
  <si>
    <t>Fiche CS/02-46-01F - Édition du 09/01/17</t>
  </si>
  <si>
    <t>Fiche CS/02-65-01C- Édition du 24/04/25</t>
  </si>
  <si>
    <t>Fiche CS/04-81-01D - Édition du 18/04/17</t>
  </si>
  <si>
    <t>Fiche CS/04-83-01F - Édition du 27/04/17</t>
  </si>
  <si>
    <t>Fiche CS/04-83-02F - Édition du 27/04/17</t>
  </si>
  <si>
    <t>Fiche CS/09/02-02B - Édition du 03/10/23</t>
  </si>
  <si>
    <t>Films anticondensation émetteur OSID (X10)</t>
  </si>
  <si>
    <t>Filtre DAS /06/07-01</t>
  </si>
  <si>
    <t>Filtre en Ligne</t>
  </si>
  <si>
    <t>Fin de Ligne Sans objet 2 KOhms - 1/2 W - 5 %</t>
  </si>
  <si>
    <t>Freecall 1</t>
  </si>
  <si>
    <t>G  160</t>
  </si>
  <si>
    <t>G1-910</t>
  </si>
  <si>
    <t>GENCOD :  810</t>
  </si>
  <si>
    <t>GENCOD : 0  445</t>
  </si>
  <si>
    <t>GENCOD : 0  699</t>
  </si>
  <si>
    <t>Grille de protection OSID</t>
  </si>
  <si>
    <t>Grille de protection mécanique /04/16-01</t>
  </si>
  <si>
    <t>Grille protection</t>
  </si>
  <si>
    <t>HATARI NFS IP 54</t>
  </si>
  <si>
    <t>Hauteur 371,5 ,5 600</t>
  </si>
  <si>
    <t>IA 2000 /04/26-01</t>
  </si>
  <si>
    <t>IA 2000B /04/27-01</t>
  </si>
  <si>
    <t>IA Radio</t>
  </si>
  <si>
    <t>IA013 /04/25-01</t>
  </si>
  <si>
    <t>ICC UAI AD1000</t>
  </si>
  <si>
    <t>IE 3000</t>
  </si>
  <si>
    <t>IInterface I.Lon 10</t>
  </si>
  <si>
    <t>IN ITIUM - I</t>
  </si>
  <si>
    <t>IND05 (disponible uniquement avec la gamme UTI.Com)</t>
  </si>
  <si>
    <t>INitium-S 8F CAB-L</t>
  </si>
  <si>
    <t>INitium-S 8F CAB-M</t>
  </si>
  <si>
    <t>IP65 Chubb</t>
  </si>
  <si>
    <t>IRY2</t>
  </si>
  <si>
    <t>IT 3000</t>
  </si>
  <si>
    <t>Imprimante IPP144</t>
  </si>
  <si>
    <t>Imprimante KYORACK thermique</t>
  </si>
  <si>
    <t>Indicateur d'action visuel encastré IA  015 CS/04/30-01</t>
  </si>
  <si>
    <t>Indicateur d'action visuel étanche IA  025 CS/04/25-01</t>
  </si>
  <si>
    <t>Indicateur d’action 53832- 114</t>
  </si>
  <si>
    <t>Indicateur d’action visuel encastré IA 011  CS/04/30-01</t>
  </si>
  <si>
    <t>Indicateur d’action visuel et sonore IA 2000-B  CS/04/27-01</t>
  </si>
  <si>
    <t>Indicateur d’action visuel standard IA 2000  CS/04/26-01</t>
  </si>
  <si>
    <t>Indicateur d’action visuel étanche IA 013  CS/04/25-01</t>
  </si>
  <si>
    <t>Instruction déc manuel</t>
  </si>
  <si>
    <t>Interface EDW-100</t>
  </si>
  <si>
    <t>Interface PC avec cordon VLP</t>
  </si>
  <si>
    <t>Interface SI V2  CS/04/79-01</t>
  </si>
  <si>
    <t>Interface radio ME 500 RFE</t>
  </si>
  <si>
    <t>Joint nylon blanc pour PE</t>
  </si>
  <si>
    <t>KD1 230</t>
  </si>
  <si>
    <t>KIT REFL-C kit chauffage du réflecteur /04/38-01</t>
  </si>
  <si>
    <t>KIT SOL-C kit chauffage du boîtier /04/38-01</t>
  </si>
  <si>
    <t>Kit conique 10 mm</t>
  </si>
  <si>
    <t>Kit conique 8 mm  Kit conique 8 mm</t>
  </si>
  <si>
    <t>Kit connectique 2 jarretières</t>
  </si>
  <si>
    <t>Kit filtre déport Lon LPT/MD8V</t>
  </si>
  <si>
    <t>Kit installation OSID</t>
  </si>
  <si>
    <t>Kit standard PE + BOUCH NA Kit de Presse-étoupes + bouchon</t>
  </si>
  <si>
    <t>LASER.Scan</t>
  </si>
  <si>
    <t>LRW-102PP-MM-LC2</t>
  </si>
  <si>
    <t>Lampe test UV ou IR</t>
  </si>
  <si>
    <t>Largeur 58  240</t>
  </si>
  <si>
    <t>Logiciel de config. PC pour VLP</t>
  </si>
  <si>
    <t>Lon.Rep Evac</t>
  </si>
  <si>
    <t>Lon.Rep Evac / Mes</t>
  </si>
  <si>
    <t>Longueur</t>
  </si>
  <si>
    <t>M 503 Me</t>
  </si>
  <si>
    <t>MOD 1DC/DC 57,3V/3A-28,5V/6A C (EATON (ou MARTEK POWER)) (FAB)</t>
  </si>
  <si>
    <t>MOD 2DC/DC 57,3V/3A-28,5V/6A R (EATON (ou MARTEK POWER)) (FAB)</t>
  </si>
  <si>
    <t>MODULASER MOD.</t>
  </si>
  <si>
    <t>MODULE 1 DC/DC 28,5V 2,8A COF (MASCOT) (FAB)</t>
  </si>
  <si>
    <t>MODULE 1 DC/DC 28,5V 2,8A RACK (MASCOT) (FAB)</t>
  </si>
  <si>
    <t>MODULE 1 DC/DC 57,3V 1,4A COF (MASCOT) (FAB)</t>
  </si>
  <si>
    <t>MODULE 1 DC/DC 57,3V 1,4A RACK (MASCOT) (FAB)</t>
  </si>
  <si>
    <t>MODULE 2 DC/DC 28,5V 2,8A RACK (MASCOT) (FAB)</t>
  </si>
  <si>
    <t>MODULE 2 DC/DC 57,3V 1,4A RACK (MASCOT) (FAB)</t>
  </si>
  <si>
    <t>MODULE COMMUNICATION UTC PACK</t>
  </si>
  <si>
    <t>MODULE PUISSANCE IMAGE/S200 V2</t>
  </si>
  <si>
    <t>Maintien magnétique</t>
  </si>
  <si>
    <t>Manchon 25 mm</t>
  </si>
  <si>
    <t>Matériel compatible Code article</t>
  </si>
  <si>
    <t>Matériel raccordable Code article</t>
  </si>
  <si>
    <t>Membrane déformable (nouveau)  -</t>
  </si>
  <si>
    <t>Mise en oeuvre</t>
  </si>
  <si>
    <t>Mise en œuvre</t>
  </si>
  <si>
    <t>Mod CFL IN V ARIA TION rack</t>
  </si>
  <si>
    <t>Mod DIR 10 Voies V2 UTEX Com Rack  Carte 10 voies UTEX Com. Montage en rack.</t>
  </si>
  <si>
    <t>Mod DIR 20 Voies V2 UTEX Com Rack  Carte 20 voies UTEX Com. Montage en rack.</t>
  </si>
  <si>
    <t>Mod Extension V2 UTEX Com Rack  Carte extension UTEX Com. Montage en rack.</t>
  </si>
  <si>
    <t>Modem RTC transmetteur RSE</t>
  </si>
  <si>
    <t>Module 1 DC/DC 28,9V 2,8A COF</t>
  </si>
  <si>
    <t>Module 1Zone EXT UTEX Com Rack  Carte affichage et chantier une zone UTEX Com. Montage en rack.</t>
  </si>
  <si>
    <t>Module 2 canaux</t>
  </si>
  <si>
    <t>Module DAS Résonance /06/06-01</t>
  </si>
  <si>
    <t>Module DAS SATC identifiable /02/06-02</t>
  </si>
  <si>
    <t>Module Interface SI /04/79-01</t>
  </si>
  <si>
    <t>Module de protection IT</t>
  </si>
  <si>
    <t>Module de protection SATC /02/37-02</t>
  </si>
  <si>
    <t>Module de télécommande TMS  009</t>
  </si>
  <si>
    <t>Module de télécommande TMS 300  -</t>
  </si>
  <si>
    <t>Module extension baie face avant Résonance  -</t>
  </si>
  <si>
    <t>Module relais PPMS RF</t>
  </si>
  <si>
    <t>Module10 relais UTI.Micro Pack</t>
  </si>
  <si>
    <t>Mono.Rep</t>
  </si>
  <si>
    <t>Mono.Rep /09/01-01</t>
  </si>
  <si>
    <t>NIC709-USB100</t>
  </si>
  <si>
    <t>Non certifié NF.	1	afficheur	déporté	et	3	caches	en	version	rack	19''.</t>
  </si>
  <si>
    <t>Non certifié NF.	Version	déportée	de	l'afficheur .</t>
  </si>
  <si>
    <t>Non certifié NF.	Version	déportée	du	programmateur	LCD.</t>
  </si>
  <si>
    <t>Non certifié NF. 3	afficheurs	déportés	+	1	prise	Vesdanet	en	version	rack	19''.</t>
  </si>
  <si>
    <t>Non certifié NF. 3	afficheurs	déportés	+	1	programmateur	en	version	rack	19''.</t>
  </si>
  <si>
    <t>Non certifié NF. 4	afficheurs	déportés	en	version	rack	19''.</t>
  </si>
  <si>
    <t>OCØ5FEX</t>
  </si>
  <si>
    <t>OLFAR</t>
  </si>
  <si>
    <t>OLFAR -  OLFAR R</t>
  </si>
  <si>
    <t>OPTIMA VISION UAE 150 PTS</t>
  </si>
  <si>
    <t>Obturateur de socle</t>
  </si>
  <si>
    <t>Obturateur de socle 2711290 CS/04/16-01</t>
  </si>
  <si>
    <t>Obturateur ¼ Résonance</t>
  </si>
  <si>
    <t>Optima Vision Backup</t>
  </si>
  <si>
    <t>Optima Vision Main courante</t>
  </si>
  <si>
    <t>Optima Vision Protocole</t>
  </si>
  <si>
    <t>Optima Vision UAE 1 50 pts</t>
  </si>
  <si>
    <t>Optima Vision UAE 1000 pts</t>
  </si>
  <si>
    <t>Optima Vision UAE 2500 pts</t>
  </si>
  <si>
    <t>Optima Vision UAE 300 pts</t>
  </si>
  <si>
    <t>Optima Vision UAE 500 pts</t>
  </si>
  <si>
    <t>Optima Vision UAE 5000 pts</t>
  </si>
  <si>
    <t>Optima Vision Viewer (x1)</t>
  </si>
  <si>
    <t>Optima Vision Viewer (x5)</t>
  </si>
  <si>
    <t>Option ESPA 4.4.4.</t>
  </si>
  <si>
    <t>Option Optima Vision 1000 pts</t>
  </si>
  <si>
    <t>Option Optima Vision 10000 pts</t>
  </si>
  <si>
    <t>Option Optima Vision 150 pts</t>
  </si>
  <si>
    <t>Option Optima Vision 2500 pts</t>
  </si>
  <si>
    <t>Option Optima Vision 300 pts</t>
  </si>
  <si>
    <t>Option Optima Vision 500 pts</t>
  </si>
  <si>
    <t>Option Optima Vision 5000 pts</t>
  </si>
  <si>
    <t>Option serveur de Mail ou SMS</t>
  </si>
  <si>
    <t>Options Code article Fiche</t>
  </si>
  <si>
    <t>Outil chauffant fibre optique</t>
  </si>
  <si>
    <t>Outil laser d'alignement OSID</t>
  </si>
  <si>
    <t>Outil universel de démontage</t>
  </si>
  <si>
    <t>PAC 1 1VKIT - 1 tube</t>
  </si>
  <si>
    <t>PAC 1 2VKIT - 2 tubes</t>
  </si>
  <si>
    <t>PAC 1 3VKIT - 3 tubes</t>
  </si>
  <si>
    <t>PAC_EVC  Electrovanne de circulation d'air VP-742</t>
  </si>
  <si>
    <t>PAC_EVP  Electrovanne de pilotage VP-542</t>
  </si>
  <si>
    <t>PAC_PNK  Kit Pneumatique - comprend 5 m de tube souple 10 mm + raccords rapides</t>
  </si>
  <si>
    <t>PAC_RP  Raccord pneumatique pour raccordement au PAC</t>
  </si>
  <si>
    <t>PC Standard</t>
  </si>
  <si>
    <t>PNC-0024 - NEXUS 105 DL DC</t>
  </si>
  <si>
    <t>PNS-0001 - NEXUS 105 DC</t>
  </si>
  <si>
    <t>PPMS RF Chubb</t>
  </si>
  <si>
    <t>PPMS noir RF IP65 Chubb</t>
  </si>
  <si>
    <t>Page 1/1</t>
  </si>
  <si>
    <t>Page 1/2</t>
  </si>
  <si>
    <t>Page 1/4</t>
  </si>
  <si>
    <t>Panier 8 emp chantier Résonance  -</t>
  </si>
  <si>
    <t>Perche installation R.Scan+</t>
  </si>
  <si>
    <t>Perche isolante Scan</t>
  </si>
  <si>
    <t>Platine de déclenchement</t>
  </si>
  <si>
    <t>Porte etiq 40 x 20 socle</t>
  </si>
  <si>
    <t>Porte étiquette 40 x 20 (x25) /04/16-01</t>
  </si>
  <si>
    <t>Porte étiquette IRY2</t>
  </si>
  <si>
    <t>Pro.Scan Résonance</t>
  </si>
  <si>
    <t>Produit Inconnu</t>
  </si>
  <si>
    <t>Protection anti-vandalisme /04/16-01</t>
  </si>
  <si>
    <t>R.Scan+M combiné radio</t>
  </si>
  <si>
    <t>RACK V2</t>
  </si>
  <si>
    <t>REF :</t>
  </si>
  <si>
    <t>REF.</t>
  </si>
  <si>
    <t>REFLEX 10 réflecteur courte portée (10 à 30 mètres) /04/38-01</t>
  </si>
  <si>
    <t>REFLEX 40</t>
  </si>
  <si>
    <t>REFLEX 40 réflecteur moyenne portée (30 à 50 mètres) /04/38-01</t>
  </si>
  <si>
    <t>REFLEX 60 réflecteur longue portée (30 à 100 mètres) /04/38-01</t>
  </si>
  <si>
    <t>RESONANCE ().</t>
  </si>
  <si>
    <t>ROSHNI base étanche</t>
  </si>
  <si>
    <t>RS.Rep Ext</t>
  </si>
  <si>
    <t>RS.Rep+ Ext</t>
  </si>
  <si>
    <t>RSNF08 1 voie</t>
  </si>
  <si>
    <t>RSNF08 2 voies</t>
  </si>
  <si>
    <t>RSNF08 3 voies</t>
  </si>
  <si>
    <t>RSNF08 4 voies</t>
  </si>
  <si>
    <t>RTS1 51KEY</t>
  </si>
  <si>
    <t>Raccordement sur bornes à vis compatible avec</t>
  </si>
  <si>
    <t>Rack V2</t>
  </si>
  <si>
    <t>Report  OLFAR</t>
  </si>
  <si>
    <t>Routeur L-Switch 3 ports</t>
  </si>
  <si>
    <t>Routeur LIP-3ECTC</t>
  </si>
  <si>
    <t>Rupture Oui Oui</t>
  </si>
  <si>
    <t>Récepteur OSI-10 NF</t>
  </si>
  <si>
    <t>Récepteur OSID 45</t>
  </si>
  <si>
    <t>Résonance</t>
  </si>
  <si>
    <t>Résonance Rack V3</t>
  </si>
  <si>
    <t>SATC 4 voies Lon LPT</t>
  </si>
  <si>
    <t>SATC 8 relais Lon LPT V2</t>
  </si>
  <si>
    <t>SATC 8 voies Lon LPT</t>
  </si>
  <si>
    <t>SATI 4 voies Lon FTT</t>
  </si>
  <si>
    <t>SATI 8 voies Lon FTT</t>
  </si>
  <si>
    <t>SATR 4416  CS07/20-06</t>
  </si>
  <si>
    <t>SDP 1T/G  CS07/20-04</t>
  </si>
  <si>
    <t>SDS 313WT  CS07/20-03</t>
  </si>
  <si>
    <t>SERVEUR OPC</t>
  </si>
  <si>
    <t>SG100</t>
  </si>
  <si>
    <t>SGCWE100  Interface radio pour SG Scan</t>
  </si>
  <si>
    <t>SHP 1054  CAT-103</t>
  </si>
  <si>
    <t>SO 13  4/08 - 01/A</t>
  </si>
  <si>
    <t>SO 23  4/09 - 01/A</t>
  </si>
  <si>
    <t>SO 3  4/07 - 01/A</t>
  </si>
  <si>
    <t>SO 33  4/7 - 01/A</t>
  </si>
  <si>
    <t>SOLISTA LX  / 640000125 / 640000122 / 640000123 CAT-015</t>
  </si>
  <si>
    <t>SOLISTA LX 640000124 /  / 640000122 / 640000123 CAT-015</t>
  </si>
  <si>
    <t>SOLISTA LX 640000124 / 640000125 /  / 640000123 CAT-015</t>
  </si>
  <si>
    <t>SOLISTA LX 640000124 / 640000125 / 640000122 /  CAT-015</t>
  </si>
  <si>
    <t>SON'ÉCLA BAAL Sa CHUBB  CS/07/30-01</t>
  </si>
  <si>
    <t>SON'ÉCLA BAAS Ma NFS V CHUBB</t>
  </si>
  <si>
    <t>SON'ÉCLA BAAS Ma-Me V CHUBB</t>
  </si>
  <si>
    <t>SON'ÉCLA BAAS Pr 2B CHUBB</t>
  </si>
  <si>
    <t>SON'ÉCLA BAAS Pr 4B CHUBB</t>
  </si>
  <si>
    <t>SON'ÉCLA BAAS Sa Me V CHUBB  CS/07/14-01</t>
  </si>
  <si>
    <t>SON'ÉCLA BAAS Sa NFS V CHUBB</t>
  </si>
  <si>
    <t>SON'ÉCLA Type 4 V CHUBB</t>
  </si>
  <si>
    <t>SONOS DC  / 640200022 CS/07/24-01</t>
  </si>
  <si>
    <t>SONOS DC 640 200 021 / /07/24-01</t>
  </si>
  <si>
    <t>SONOS DC 640200021 /  CS/07/24-01</t>
  </si>
  <si>
    <t>SONOS DL DC socle bas</t>
  </si>
  <si>
    <t>SPAM100  CAT-104</t>
  </si>
  <si>
    <t>SS Socle</t>
  </si>
  <si>
    <t>SS Socle+</t>
  </si>
  <si>
    <t>SSBA TV2</t>
  </si>
  <si>
    <t>STE  005 CS07/20-01</t>
  </si>
  <si>
    <t>SUPERVISION</t>
  </si>
  <si>
    <t>SW Me</t>
  </si>
  <si>
    <t>SYSTÈME RADIO ADRESSÉ R.SCAN+</t>
  </si>
  <si>
    <t>Serveur OPC</t>
  </si>
  <si>
    <t>Smoke pen</t>
  </si>
  <si>
    <t>Société en commandite simple au capital social de 32 576 460 € • RCS Pontoise</t>
  </si>
  <si>
    <t>Socle 45681- 112</t>
  </si>
  <si>
    <t>Socle C.Scan /04/60-01</t>
  </si>
  <si>
    <t>Socle C.Scan+</t>
  </si>
  <si>
    <t>Socle C.Scan+ /04/55-01</t>
  </si>
  <si>
    <t>Socle IRY2</t>
  </si>
  <si>
    <t>Socle R.Scan+ B501RF</t>
  </si>
  <si>
    <t>Socle SQG3 DS DL rouge</t>
  </si>
  <si>
    <t>Socle SV-S95/Ex</t>
  </si>
  <si>
    <t>Socle SV-S95/Ex /04/78-04</t>
  </si>
  <si>
    <t>Socle SØ5EX  CAT-090</t>
  </si>
  <si>
    <t>Socle haut S3 / C.Scan+</t>
  </si>
  <si>
    <t>Support montage R.Scan+</t>
  </si>
  <si>
    <t>Support métallique gris clair orientable de +/-90o par pas de 15o.</t>
  </si>
  <si>
    <t>Support orientable 29600- 113</t>
  </si>
  <si>
    <t>Support table pour Vision.Com</t>
  </si>
  <si>
    <t>T ranspondeur étanche T4 RF</t>
  </si>
  <si>
    <t>T4S Me</t>
  </si>
  <si>
    <t>T4S NFS</t>
  </si>
  <si>
    <t>TERMINAL COM FAD CAB-S V3</t>
  </si>
  <si>
    <t>TERMINAL COM UAE CAB-S V3</t>
  </si>
  <si>
    <t>THETA LAMBDA LAMBDA PRO LAMBDA ADF LAMBDA PRO ADF</t>
  </si>
  <si>
    <t>TL 105 UV / IR lampe test ATEX  Équipement de test ATEX</t>
  </si>
  <si>
    <t>TRANSMETTEUR ATS1500A IP-MM</t>
  </si>
  <si>
    <t>TRCØ5FEX : dét. therm. intrinsèque  CAT-088</t>
  </si>
  <si>
    <t>TRE RS.Rep Evac</t>
  </si>
  <si>
    <t>TRE RS.Rep+ Evac</t>
  </si>
  <si>
    <t>Terminaison fibre optique (x1)</t>
  </si>
  <si>
    <t>Terminal.Com-UAE CAB S V2</t>
  </si>
  <si>
    <t>Testifire</t>
  </si>
  <si>
    <t>Transmetteur GPRS boîtier IP 66</t>
  </si>
  <si>
    <t>Transmetteur RSE</t>
  </si>
  <si>
    <t>Tube 25 mm (3 m)</t>
  </si>
  <si>
    <t>Tube de prélèvement d’air TPA1 V2</t>
  </si>
  <si>
    <t>Tube de prélèvement d’air TPA2 V2</t>
  </si>
  <si>
    <t>Tube de prélèvement d’air TPA3 V2</t>
  </si>
  <si>
    <t>Tube de prélèvement d’air TPA4 V2</t>
  </si>
  <si>
    <t>Té 25/8 mm  Té 25 mm avec dérivation 8 mm : permet de raccorder des tubes capillaires de 8 mm</t>
  </si>
  <si>
    <t>Télécommande PPMS RF</t>
  </si>
  <si>
    <t>UAC 16 ZD / 16 R Lon FTT</t>
  </si>
  <si>
    <t>UAC 16 ZD / 16 R directe</t>
  </si>
  <si>
    <t>UAC 16 ZD Lon FTT</t>
  </si>
  <si>
    <t>UAC 8 ZD / 8 R directe</t>
  </si>
  <si>
    <t>UAI 2B AD1000 Lon FTT</t>
  </si>
  <si>
    <t>UAI 2B SPECTRAL Lon FTT</t>
  </si>
  <si>
    <t>UCR 16 relais Lon FTT</t>
  </si>
  <si>
    <t>UCR 8 relais Lon FTT</t>
  </si>
  <si>
    <t>UCR+ 16 relais Lon FTT</t>
  </si>
  <si>
    <t>UCR+ 8 relais Lon FTT</t>
  </si>
  <si>
    <t>UTC COM 16 CAB-M V2</t>
  </si>
  <si>
    <t>UTC COM 8 2FC DIRECTES CAB-S V2</t>
  </si>
  <si>
    <t>UTC COM 8 3FC DIRECTES CAB-S V2</t>
  </si>
  <si>
    <t>UTC COM 8 7FC DIRECTES CAB-S V2</t>
  </si>
  <si>
    <t>UTC COM 8 CAB-L V2</t>
  </si>
  <si>
    <t>UTC COM 8 CAB-M CATB V2</t>
  </si>
  <si>
    <t>UTC COM 8 CAB-M V2</t>
  </si>
  <si>
    <t>UTC COM 8 CAB-S V2</t>
  </si>
  <si>
    <t>UTC COM 8 RACK V2</t>
  </si>
  <si>
    <t>UTC COM 8/3 F DIR CAB-S CATB V2</t>
  </si>
  <si>
    <t>UTC COM 8/7 F DIR CAB-S CATB V2</t>
  </si>
  <si>
    <t>UTC Pack 2ZD Evac/2 Fonc Evol.  Deux zones de détection collective, 1 UGA avec 1 zone de diffusion d’alarme, 2 fonctions de mise</t>
  </si>
  <si>
    <t>UTC Pack 4ZD Evac/2 Fonc Evol.  Quatre zones de détection collective, 1 UGA avec 1 zone de diffusion d’alarme, 2 fonctions de</t>
  </si>
  <si>
    <t>UTC.PACK 2ZD EVAC V2</t>
  </si>
  <si>
    <t>UTC.PACK 2ZD EVAC/2F EVOL V2</t>
  </si>
  <si>
    <t>UTC.PACK 4ZD EVAC V2</t>
  </si>
  <si>
    <t>UTC.PACK 4ZD EVAC/2F EVOL B V2</t>
  </si>
  <si>
    <t>UTC.PACK 4ZD EVAC/2F EVOL V2</t>
  </si>
  <si>
    <t>UTC.PACK 4ZD EVAC/4F EVOL B V2</t>
  </si>
  <si>
    <t>UTD Com</t>
  </si>
  <si>
    <t>UTEX COM 2 ZONES CAB-L V2</t>
  </si>
  <si>
    <t>UTEX COM 2 ZONES CAB-L V2 PARTIEL</t>
  </si>
  <si>
    <t>UTEX COM 2 ZONES CAB-M V2</t>
  </si>
  <si>
    <t>UTEX COM 2 ZONES CAB-M V2 PARTIEL</t>
  </si>
  <si>
    <t>UTEX COM 2 ZONES CAB-S V2</t>
  </si>
  <si>
    <t>UTEX COM 2 ZONES CAB-S V2 PARTIEL</t>
  </si>
  <si>
    <t>UTEX COM 2 ZONES RACK V2</t>
  </si>
  <si>
    <t>UTEX COM RACK V2 PARTIEL</t>
  </si>
  <si>
    <t>UTEX PACK 3ZD V2</t>
  </si>
  <si>
    <t>UTEX PACK 6ZD V2</t>
  </si>
  <si>
    <t>UTH.Pack</t>
  </si>
  <si>
    <t>UTI COM 2FC DIRECTES CAB-S V3</t>
  </si>
  <si>
    <t>UTI COM 3FC DIRECTES CAB-S V3</t>
  </si>
  <si>
    <t>UTI COM 7FC DIRECTES CAB-S V3</t>
  </si>
  <si>
    <t>UTI COM CAB-L SANS UGA V3</t>
  </si>
  <si>
    <t>UTI COM CAB-L V3</t>
  </si>
  <si>
    <t>UTI COM CAB-M SANS UGA V3</t>
  </si>
  <si>
    <t>UTI COM CAB-M V3</t>
  </si>
  <si>
    <t>UTI COM CAB-S SANS UGA V3</t>
  </si>
  <si>
    <t>UTI COM CAB-S V3</t>
  </si>
  <si>
    <t>UTI COM RACK SANS UGA V3</t>
  </si>
  <si>
    <t>UTI COM RACK V3</t>
  </si>
  <si>
    <t>UTI PACK 2FC DIRECTE CAB-S V3</t>
  </si>
  <si>
    <t>UTI PACK 3FC DIRECTE CAB-S V3</t>
  </si>
  <si>
    <t>UTI PACK 7FC DIRECTE CAB-S V3</t>
  </si>
  <si>
    <t>UTI PACK CAB-S V3</t>
  </si>
  <si>
    <t>VERS CAB V2</t>
  </si>
  <si>
    <t>VESDA Laser Scanner</t>
  </si>
  <si>
    <t>VESDA VLI-88000-NF</t>
  </si>
  <si>
    <t>VIREX double IR</t>
  </si>
  <si>
    <t>VIREX double IR /04/78-03</t>
  </si>
  <si>
    <t>VISIERE ANTI-INTEMPERIES Visière de protection</t>
  </si>
  <si>
    <t>VLP : afficheur</t>
  </si>
  <si>
    <t>VLP : seul</t>
  </si>
  <si>
    <t>Variation 24V 225W</t>
  </si>
  <si>
    <t>Vesda Laser Compact RO</t>
  </si>
  <si>
    <t>Vesda Laser Compact VN</t>
  </si>
  <si>
    <t>Vesda Laser Focus 250</t>
  </si>
  <si>
    <t>WCP-RF-A207</t>
  </si>
  <si>
    <t>Windows Server 2012.</t>
  </si>
  <si>
    <t>ÉQUIPEMENT D'ALARME DE TYPE 4 RADIO</t>
  </si>
  <si>
    <t>ÉQUIPEMENT D’ALARME DE TYPE 4 RADIO</t>
  </si>
  <si>
    <t>Écran standard 24p (1920 x 1080 px en 32 bits)</t>
  </si>
  <si>
    <t>Émetteur OSE-HPW PWR</t>
  </si>
  <si>
    <t>Émetteur OSE-SPW STD</t>
  </si>
  <si>
    <t>Étiq dispositif arrêt urgence</t>
  </si>
  <si>
    <t>Étiq déc man secours</t>
  </si>
  <si>
    <t>Étiq exploit dispositif neutra</t>
  </si>
  <si>
    <t>Étiq réservoir sécurisé</t>
  </si>
  <si>
    <t>Étiquette ARGO55 A2P</t>
  </si>
  <si>
    <t>Étiquette ARGO55+ A2P</t>
  </si>
  <si>
    <t>Étiquette KD1 230 A2P</t>
  </si>
  <si>
    <t>Étiquette KDGX A2P</t>
  </si>
  <si>
    <t>Étiquette flexible</t>
  </si>
  <si>
    <t>Étiquette transport</t>
  </si>
  <si>
    <t>Étiquette évent</t>
  </si>
  <si>
    <t>•	Adressage	par	roue	codeuse.</t>
  </si>
  <si>
    <t>•	Avec	la	clé	de	test	en	plastique	(Réf. ).</t>
  </si>
  <si>
    <t>•	Certifié	sous	le	No	COMBI	001	A	selon	les</t>
  </si>
  <si>
    <t>•	Certifié	sous	le	No	E2	059	selon	la	norme</t>
  </si>
  <si>
    <t>•	Certifié	sous	le	No	E2	060	selon	la	norme</t>
  </si>
  <si>
    <t>•	Certifié	sous	le	No	E4	066	selon	les	normes</t>
  </si>
  <si>
    <t>•	Certifié	sous	le	No	L	032	selon	les	normes</t>
  </si>
  <si>
    <t>•	Certifié	sous	le	numéro	COMBI	002B	selon	les</t>
  </si>
  <si>
    <t>•	Certifié	sous	le	numéro	E2077A	selon	la	norme</t>
  </si>
  <si>
    <t>•	Certifié	sous	le	numéro	E2078B0	selon	la</t>
  </si>
  <si>
    <t>•	Certifié	sous	le	numéro	L044A	selon	la	norme</t>
  </si>
  <si>
    <t>•	Certifié	à	la	marque	NF-SSI	sous	le	No	L	H	002	A.</t>
  </si>
  <si>
    <t>•	Raccordement	par	câble	de	section	jusqu’à	1,5	mm².</t>
  </si>
  <si>
    <t>•	Relais	feu	:	2A	/	48	V ,	NO	en	veille,	NF	en	alarme</t>
  </si>
  <si>
    <t>•	Stockage	:	-10	à+85	oC</t>
  </si>
  <si>
    <t>•	Température	d’utilisation	:	-	25	oC	à	+	70	o	C.</t>
  </si>
  <si>
    <t>•	Température	d’utilisation	:	-	25	oC	à	+	70	oC.</t>
  </si>
  <si>
    <t>•	Terminal.Com-FAD	existe	en	deux	versions	:</t>
  </si>
  <si>
    <t>•   Poids : 90 g.</t>
  </si>
  <si>
    <t>•  1 contre-plaque articulée.</t>
  </si>
  <si>
    <t>•  8 entrées programmables.</t>
  </si>
  <si>
    <t>•  Connexion d'une INSA 3000 par bus. En dernière position sur le bus.</t>
  </si>
  <si>
    <t>•  De -10 °C à +55 °C.</t>
  </si>
  <si>
    <t>•  De -25 oC à +70 oC.</t>
  </si>
  <si>
    <t>•  De -25 °C à +70 °C.</t>
  </si>
  <si>
    <t>•  Durée de diffusion sonore et visuelle de l’alarme : 5 mn.</t>
  </si>
  <si>
    <t>•  Fonctionnement : 0 à +50</t>
  </si>
  <si>
    <t>•  Humidité relative : 90 % sans condensation.</t>
  </si>
  <si>
    <t>•  Joint torique noir (fourni).</t>
  </si>
  <si>
    <t>•  Stockage : -10 à +60 °C.</t>
  </si>
  <si>
    <t>•  Stockage : -40 à +70 oC.</t>
  </si>
  <si>
    <t>•  Température de fonctionnement : -10 °C à +50 °C.</t>
  </si>
  <si>
    <t>• 30 VCC NO/NF.</t>
  </si>
  <si>
    <t>• 4 trous de fixation (vis M6 non foournies).</t>
  </si>
  <si>
    <t>• 4 trous de fixation (vis M6 non fournies).</t>
  </si>
  <si>
    <t>• 88 dBA à 101 dBA selon réglage sous 48 V</t>
  </si>
  <si>
    <t>• Communication : DB9</t>
  </si>
  <si>
    <t>• Couleur : beige</t>
  </si>
  <si>
    <t>• Courant maximum admissible de façon transitoire : 1 A</t>
  </si>
  <si>
    <t>• De -25</t>
  </si>
  <si>
    <t>• Degré de protection : IP24D / IK07.</t>
  </si>
  <si>
    <t>• Diamètre : 25 mm.</t>
  </si>
  <si>
    <t>• Diamètre : 25/21 mm.</t>
  </si>
  <si>
    <t>• Diamètre : 27 mm.</t>
  </si>
  <si>
    <t>• Diamètre extérieur : 10 mm.</t>
  </si>
  <si>
    <t>• En boîtier saillie (code : )</t>
  </si>
  <si>
    <t>• Fonctionnement : -25 °C à +50 °C.</t>
  </si>
  <si>
    <t>• Humidité ambiante admissible : DIN 40040 classe F sans condensation.</t>
  </si>
  <si>
    <t>• Indice de protection : IP65.</t>
  </si>
  <si>
    <t>• Livré avec points d’échantillonnage.</t>
  </si>
  <si>
    <t>• Longueur : 100 m.</t>
  </si>
  <si>
    <t>• Longueur : 2 m.</t>
  </si>
  <si>
    <t>• Mode horizontal</t>
  </si>
  <si>
    <t>• Ne pas utiliser en zone ATEX.</t>
  </si>
  <si>
    <t>• Nombre d’interconnexions : illimité.</t>
  </si>
  <si>
    <t>• Poids : 1,5 Kg</t>
  </si>
  <si>
    <t>• Poids : 3,5 Kg</t>
  </si>
  <si>
    <t>• Température ambiante admissible : -20 oC à +60 oC</t>
  </si>
  <si>
    <t>• Utilisation : Allumer l’appareil et appuyer sur la touche " * ".</t>
  </si>
  <si>
    <t> Entrée CONTROLEUR D’EMISSION</t>
  </si>
  <si>
    <t> Entrée DISPOSITIF DE PASSAGE EN MODE MANUEL SEUL</t>
  </si>
  <si>
    <t> Entrée REARMEMENT EXTERNE</t>
  </si>
  <si>
    <t> Sortie/entrée configurable 2 :</t>
  </si>
  <si>
    <t>Diffuseur mes+son</t>
  </si>
  <si>
    <t>Diffuseur sonore PPMS RF</t>
  </si>
  <si>
    <t>Sirène 400A</t>
  </si>
  <si>
    <t>Socle sirène 400A</t>
  </si>
  <si>
    <t>&gt; COFFRETS DÉPORTÉS</t>
  </si>
  <si>
    <t>BORNIER CHANTIER CMSI V3 COF.</t>
  </si>
  <si>
    <t>BORNIER CHANTIER CMSI V3 RACK</t>
  </si>
  <si>
    <t>COFFRET ALIMENTATION RÉSONANCE 60/120W V2</t>
  </si>
  <si>
    <t>COFFRET DEPORTE UTEX COM CAB-S V2</t>
  </si>
  <si>
    <t>COFFRET M DEPORTE UTEX COM V2</t>
  </si>
  <si>
    <t>COFFRET S DÉPORTÉ</t>
  </si>
  <si>
    <t>Coffret IP66 récepteur OSID</t>
  </si>
  <si>
    <t>Coffret IP66 émetteur OSID NF</t>
  </si>
  <si>
    <t>Coffret avec DC/DC intégrée</t>
  </si>
  <si>
    <t>Coffret avec alimentation intégrée</t>
  </si>
  <si>
    <t>Films anticondensation Coffret IP66 OSID (X10)</t>
  </si>
  <si>
    <t>Mod Extension V2 UTEX Com  Carte extension UTEX Com. Montage en coffret.</t>
  </si>
  <si>
    <t>Module 1Zone EXT UTEX Com      Carte affichage et chantier une zone UTEX Com. Montage en coffret.</t>
  </si>
  <si>
    <t>Module AFF Déporte UTEX Com  Carte affichage déportée. Montage rack ou coffret.</t>
  </si>
  <si>
    <t>Module DIR 10 Voies V2 UTEX Com   Carte 10 voies UTEX Com. Montage en coffret.</t>
  </si>
  <si>
    <t>Module DIR 20 Voies V2 UTEX Com   Carte 20 voies UTEX Com. Montage en coffret.</t>
  </si>
  <si>
    <t>Module Lon UTEX Com  Carte de communication réseau Lon. Montage rack ou coffret.</t>
  </si>
  <si>
    <t>UTI.Micro Pack ecs/UGA</t>
  </si>
  <si>
    <t>•  Retour d’information des défauts ECSAV : CR1, 1</t>
  </si>
  <si>
    <t>• Associé aux centrales UTI.COM, UTC.COM et UTI.Pack</t>
  </si>
  <si>
    <t>BCM MCP3A-R000SF-A207-03</t>
  </si>
  <si>
    <t>BCM MCP3A-R000SF-A207-04</t>
  </si>
  <si>
    <t>Capot protec. DM T4/PPMS Chubb</t>
  </si>
  <si>
    <t>Couvercle gamme MCP / WCP  -</t>
  </si>
  <si>
    <t>DM 500KAC/SR2T/C/F</t>
  </si>
  <si>
    <t>DM M500KAC/SR2T</t>
  </si>
  <si>
    <t>DM M500KAC/SR2T/C</t>
  </si>
  <si>
    <t>DM M500KAC/SR2T/F</t>
  </si>
  <si>
    <t>DM M500KAC/rainproof</t>
  </si>
  <si>
    <t>DM MCP3A-G000SF-A207-01C</t>
  </si>
  <si>
    <t>DM MCP3A-R000SF-A207-01  CS/05/23-01</t>
  </si>
  <si>
    <t>DM MCP3A-R000SF-A207-01 /05/23-01</t>
  </si>
  <si>
    <t>DM MCP3A-R000SF-A207-01C  CS/05/24-01</t>
  </si>
  <si>
    <t>DM MCP3A-R000SF-A207-01C /05/24-01</t>
  </si>
  <si>
    <t>DM MCP4A-G000SF-A207-01C</t>
  </si>
  <si>
    <t>DM WCP3A-R000SF-A207-01</t>
  </si>
  <si>
    <t>DM WCP3A-R000SF-A207-02</t>
  </si>
  <si>
    <t>DM WCP5A-RP02SF-A207-02</t>
  </si>
  <si>
    <t>DM WG 2001/SG/C/F</t>
  </si>
  <si>
    <t>DM WR 2001/SR</t>
  </si>
  <si>
    <t>DM WR 2001/SR/C</t>
  </si>
  <si>
    <t>DM WR 2001/SR/C/F</t>
  </si>
  <si>
    <t>DM WR 2001/SR/F</t>
  </si>
  <si>
    <t>DM WR 2004/SR-910</t>
  </si>
  <si>
    <t>DM WR 2004/SR/C-910</t>
  </si>
  <si>
    <t>DM WR 2004/SR/C/F-910</t>
  </si>
  <si>
    <t>DM WR 2004/SR/F-910</t>
  </si>
  <si>
    <t>DM WR 2061 SR</t>
  </si>
  <si>
    <t>DM WR 2061 SR/C</t>
  </si>
  <si>
    <t>Décl. manuel avec Led DM MCP2A-R910SF-A207-01 /05/29-01</t>
  </si>
  <si>
    <t>Décl. manuel avec Led DM MCP2A-R910SF-A207-01C /05/30-01</t>
  </si>
  <si>
    <t>Décl. manuel sans Led DM MCP1A-R910SF-A207-01 /05/26-01</t>
  </si>
  <si>
    <t>Décl. manuel sans Led DM MCP1A-R910SF-A207-01C /05/27-01</t>
  </si>
  <si>
    <t>Déclencheur pyro KCV [pour vanne FM200]</t>
  </si>
  <si>
    <t>Déclencheur pyro [pour système ARGO55]</t>
  </si>
  <si>
    <t>Déclencheur électrique CO2 et IG55 300 bar (Platine de déclenchement)</t>
  </si>
  <si>
    <t>Kit DAD Secouru Chubb</t>
  </si>
  <si>
    <t>Lot de 5 glaces gamme MCP / WCP  -</t>
  </si>
  <si>
    <t>Lot de 5 plombs gamme MCP/WCP</t>
  </si>
  <si>
    <t>MCP3A-R000SF-A207-03 /05/23-03</t>
  </si>
  <si>
    <t>MCP3A-R000SF-A207-03C /05/23-03</t>
  </si>
  <si>
    <t>MCP3A-R000SF-A207-04 /05/23-04</t>
  </si>
  <si>
    <t>MCP3A-R000SF-A207-04C /05/23-04</t>
  </si>
  <si>
    <t>McPrfe -aS, Me500 rfe</t>
  </si>
  <si>
    <t>Membrane déformable gamme MCP / WCP  -</t>
  </si>
  <si>
    <t>+ afficheur  Détecteur par aspiration pour la surveillance de zone jusqu'à 1600 m² type VESDA LASER PLUS</t>
  </si>
  <si>
    <t>+ prog + afficheur  Détecteur par aspiration pour la surveillance de zone jusqu'à 1600 m² type VESDA LASER PLUS</t>
  </si>
  <si>
    <t>ACCESSOIRES DÉTECTEURS</t>
  </si>
  <si>
    <t>Accessoires détecteurs à aspiration</t>
  </si>
  <si>
    <t>Adaptateur support perche I.Scan</t>
  </si>
  <si>
    <t>Bol Test détecteur thermique</t>
  </si>
  <si>
    <t>Boîtier saillie I.Scan+</t>
  </si>
  <si>
    <t>DLD 2000 68 °C EPR  Détecteur linéaire de température type DLD 2000 68 °C EPR</t>
  </si>
  <si>
    <t>DLD 2000 88 °C EPR  Détecteur linéaire de température type DLD 2000 88 °C EPR</t>
  </si>
  <si>
    <t>Détecteur de gaine DG 13 /04/12-01</t>
  </si>
  <si>
    <t>Détecteur de gaine DG1 3 Adressé V2</t>
  </si>
  <si>
    <t>Détecteur de gaine DG1 3 V2</t>
  </si>
  <si>
    <t>Détecteur de gaine DG13 V2 /04/12-01</t>
  </si>
  <si>
    <t>Détecteur flamme</t>
  </si>
  <si>
    <t>Détecteur optique de fumées</t>
  </si>
  <si>
    <t>Détecteur thermostatique</t>
  </si>
  <si>
    <t>Détecteur thermovélocimétique</t>
  </si>
  <si>
    <t>Détecteurs collectifs</t>
  </si>
  <si>
    <t>I.Scan+ O Blanc</t>
  </si>
  <si>
    <t>I.Scan+ O ICC  CS/04/72-03</t>
  </si>
  <si>
    <t>I.Scan+ O Noir</t>
  </si>
  <si>
    <t>ICC I.Scan +</t>
  </si>
  <si>
    <t>ICC I.Scan filaire</t>
  </si>
  <si>
    <t>ICF I.Scan+</t>
  </si>
  <si>
    <t>ICF I.Scan+ V2</t>
  </si>
  <si>
    <t>Les équipements de test des détecteurs</t>
  </si>
  <si>
    <t>Q9030A1000 SUPPORT Support du détecteur</t>
  </si>
  <si>
    <t>Report / test détecteurs de gaine RT3</t>
  </si>
  <si>
    <t>Socle I.Scan+  CS/04/75-02</t>
  </si>
  <si>
    <t>Support détecteur flamme 007127  -</t>
  </si>
  <si>
    <t>UAI 2B I.Scan Lon FTT</t>
  </si>
  <si>
    <t>UAI 2B I.Scan Lon FTT rack</t>
  </si>
  <si>
    <t>VESDA Laser Plus NF seul  Détecteur par aspiration pour la surveillance de zone jusqu'à 1600 m² type VESDA LASER PLUS</t>
  </si>
  <si>
    <t>Valise Test I.Scan Europe</t>
  </si>
  <si>
    <t>Valise Test I.Scan/Spectral</t>
  </si>
  <si>
    <t>X3301A4M11T2 ALU Détecteur X3301 version aluminium</t>
  </si>
  <si>
    <t>X9800A4M11W2 ALU Détecteur X9800 version aluminium</t>
  </si>
  <si>
    <t>• Boîtier permettant la mise en œuvre de l'ICC I.Scan (code : )</t>
  </si>
  <si>
    <t>• Détecteur SG350 certifié à la marque NF-SSI sous le N°E2 H 001 A0</t>
  </si>
  <si>
    <t>DAOV Electrique V2/V3</t>
  </si>
  <si>
    <t>DAOV pyrotechnique v2</t>
  </si>
  <si>
    <t>•   Alimentation : 24 VDC.</t>
  </si>
  <si>
    <t>•  Alimentation : 24 VDC ou 48 VDC.</t>
  </si>
  <si>
    <t>• Alimentation : 24 VDC ou 48 VDC.</t>
  </si>
  <si>
    <t>• Interfacer via un bloc de gestion alim.</t>
  </si>
  <si>
    <t>- 120 répétiteurs INnova-TRE.</t>
  </si>
  <si>
    <t>12 V 12 V</t>
  </si>
  <si>
    <t>BAIE 42U 600X600</t>
  </si>
  <si>
    <t>Carte 4 voies CAN</t>
  </si>
  <si>
    <t>Carte 4 voies Lon IN</t>
  </si>
  <si>
    <t>Carte 8 voies CAN</t>
  </si>
  <si>
    <t>Carte Déport LPT 24/48 IN</t>
  </si>
  <si>
    <t>Carte Déport Lon FTT IN</t>
  </si>
  <si>
    <t>Carte UAC 1 6ZD CAN</t>
  </si>
  <si>
    <t>Carte UAI 2B Lon IN</t>
  </si>
  <si>
    <t>Carte UCR 1 2 relais CAN</t>
  </si>
  <si>
    <t>Carte UCR 24 relais CAN</t>
  </si>
  <si>
    <t>Fiche CAT-142-A - Édition du 12/06/23</t>
  </si>
  <si>
    <t>Fiche CAT-147-A - Édition du 12/06/23</t>
  </si>
  <si>
    <t>Fiche CAT-149-A - Édition du 13/06/23</t>
  </si>
  <si>
    <t>Fiche CAT-150-A - Édition du 12/06/23</t>
  </si>
  <si>
    <t>Fiche CAT-151-A - Édition du 12/06/23</t>
  </si>
  <si>
    <t>Fiche CAT-152-A - Édition du 12/06/23</t>
  </si>
  <si>
    <t>Fiche CAT-155-A - Édition du 12/06/23</t>
  </si>
  <si>
    <t>Fiche CAT-156-A - Édition du 12/06/23</t>
  </si>
  <si>
    <t>Fiche CAT-167-A - Édition du 12/06/23</t>
  </si>
  <si>
    <t>Filtre DAS G  CS/06/07-01</t>
  </si>
  <si>
    <t>INFLUENCE-IS CAB-L ()</t>
  </si>
  <si>
    <t>INfluence-I</t>
  </si>
  <si>
    <t>INfluence-I CAB-L</t>
  </si>
  <si>
    <t>INfluence-I CAB-M</t>
  </si>
  <si>
    <t>INfluence-I CAB-M 4F</t>
  </si>
  <si>
    <t>INfluence-I CAB-S</t>
  </si>
  <si>
    <t>INfluence-I RACK</t>
  </si>
  <si>
    <t>INfluence-S CAB-L</t>
  </si>
  <si>
    <t>INfluence-S CAB-M</t>
  </si>
  <si>
    <t>INnova-TRE</t>
  </si>
  <si>
    <t>MAP SA T-I boîtier IP 66</t>
  </si>
  <si>
    <t>MONO.Rep</t>
  </si>
  <si>
    <t>Matériel associé</t>
  </si>
  <si>
    <t>Mod CFL IN V ARIA TION CAB L</t>
  </si>
  <si>
    <t>Module 1 relais déporté</t>
  </si>
  <si>
    <t>Module 4F/4V direct CAN</t>
  </si>
  <si>
    <t>Module 8F/8V direct CAN</t>
  </si>
  <si>
    <t>Module DAS  CS/06/06-01</t>
  </si>
  <si>
    <t>Module DAS SATC identifiable  CS/02/06-02</t>
  </si>
  <si>
    <t>Module de protection SATC  CS/02/37-02</t>
  </si>
  <si>
    <t>OBTURATEUR IN</t>
  </si>
  <si>
    <t>P8800001+</t>
  </si>
  <si>
    <t>PA seul, PS seul, PA et PS.</t>
  </si>
  <si>
    <t>Page 1/10</t>
  </si>
  <si>
    <t>Page 1/11</t>
  </si>
  <si>
    <t>Page 1/6</t>
  </si>
  <si>
    <t>SA TC 4 voies IN</t>
  </si>
  <si>
    <t>SA TC 8 voies IN</t>
  </si>
  <si>
    <t>SA TI 4 voies IN</t>
  </si>
  <si>
    <t>SA TI 8 voies IN</t>
  </si>
  <si>
    <t>SATI 4/8 VOIES IN Unité de commande et de contrôle</t>
  </si>
  <si>
    <t>Support VARIATION pour CAB-L ✓ ✘</t>
  </si>
  <si>
    <t>• C2 (au sens de la norme NF C 32-070).</t>
  </si>
  <si>
    <t>• Dispose de 8 voies de transmission indépendantes pour DAS / DCT..</t>
  </si>
  <si>
    <t>• Gère un contact libre de tout potentiel.</t>
  </si>
  <si>
    <t>Batteries ECS :  (x2)</t>
  </si>
  <si>
    <t>Bloc alim 1 50W IN coffret</t>
  </si>
  <si>
    <t>Bloc gestion alim coffret</t>
  </si>
  <si>
    <t>ECS / CMSI IN FLUENCE - I</t>
  </si>
  <si>
    <t>FACE AVANT DÉPORTÉE CMSI</t>
  </si>
  <si>
    <t>FACE AVANT DÉPORTÉE ECS</t>
  </si>
  <si>
    <t>IN FLUENCE - I ECS</t>
  </si>
  <si>
    <t>IN NOVA-FAD CMSI</t>
  </si>
  <si>
    <t>INnova-FAD CMSI CAB-L</t>
  </si>
  <si>
    <t>INnova-FAD ECS CAB-S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</si>
</sst>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0"/>
  <sheetViews>
    <sheetView tabSelected="1" workbookViewId="0">
      <selection activeCell="M4" sqref="M4"/>
    </sheetView>
  </sheetViews>
  <sheetFormatPr baseColWidth="10" defaultColWidth="9.140625" defaultRowHeight="15" x14ac:dyDescent="0.25"/>
  <cols>
    <col min="3" max="3" width="20.7109375" bestFit="1" customWidth="1"/>
    <col min="4" max="4" width="12.5703125" bestFit="1" customWidth="1"/>
    <col min="5" max="5" width="117" bestFit="1" customWidth="1"/>
    <col min="6" max="6" width="21.28515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8</v>
      </c>
      <c r="C2" t="s">
        <v>15</v>
      </c>
      <c r="D2" t="s">
        <v>17</v>
      </c>
      <c r="E2" t="s">
        <v>1026</v>
      </c>
      <c r="F2" t="str">
        <f>HYPERLINK("C:\Users\longueni\Desktop\Chubb produits code\CTLG-9001639_Catalogue - Produits et Systèmes CHUBB.pdf", "Fiche Produit")</f>
        <v>Fiche Produit</v>
      </c>
    </row>
    <row r="3" spans="1:6" x14ac:dyDescent="0.25">
      <c r="A3" t="s">
        <v>6</v>
      </c>
      <c r="B3" t="s">
        <v>8</v>
      </c>
      <c r="C3" t="s">
        <v>15</v>
      </c>
      <c r="D3" t="s">
        <v>18</v>
      </c>
      <c r="E3" t="s">
        <v>1027</v>
      </c>
      <c r="F3" t="str">
        <f>HYPERLINK("C:\Users\longueni\Desktop\Chubb produits code\Fiche catalogue\Détection incendie\Centrale\CAT-CS_08_24-01_Fiche catalogue - ALIM DEPORT LON LPT.pdf", "Fiche Produit")</f>
        <v>Fiche Produit</v>
      </c>
    </row>
    <row r="4" spans="1:6" x14ac:dyDescent="0.25">
      <c r="A4" t="s">
        <v>6</v>
      </c>
      <c r="B4" t="s">
        <v>8</v>
      </c>
      <c r="C4" t="s">
        <v>15</v>
      </c>
      <c r="D4" t="s">
        <v>19</v>
      </c>
      <c r="E4" t="s">
        <v>1027</v>
      </c>
      <c r="F4" t="str">
        <f>HYPERLINK("C:\Users\longueni\Desktop\Chubb produits code\Fiche catalogue\Détection incendie\Centrale\CAT-CS_08_24-01_Fiche catalogue - ALIM DEPORT LON LPT.pdf", "Fiche Produit")</f>
        <v>Fiche Produit</v>
      </c>
    </row>
    <row r="5" spans="1:6" x14ac:dyDescent="0.25">
      <c r="A5" t="s">
        <v>6</v>
      </c>
      <c r="B5" t="s">
        <v>8</v>
      </c>
      <c r="C5" t="s">
        <v>15</v>
      </c>
      <c r="D5" t="s">
        <v>20</v>
      </c>
      <c r="E5" t="s">
        <v>1028</v>
      </c>
      <c r="F5" t="str">
        <f>HYPERLINK("C:\Users\longueni\Desktop\Chubb produits code\Fiche catalogue\Détection incendie\Centrale\CAT-CS_08_24-01_Fiche catalogue - ALIM DEPORT LON LPT.pdf", "Fiche Produit")</f>
        <v>Fiche Produit</v>
      </c>
    </row>
    <row r="6" spans="1:6" x14ac:dyDescent="0.25">
      <c r="A6" t="s">
        <v>6</v>
      </c>
      <c r="B6" t="s">
        <v>8</v>
      </c>
      <c r="C6" t="s">
        <v>15</v>
      </c>
      <c r="D6" t="s">
        <v>21</v>
      </c>
      <c r="E6" t="s">
        <v>1029</v>
      </c>
      <c r="F6" t="str">
        <f>HYPERLINK("C:\Users\longueni\Desktop\Chubb produits code\CTLG-9001639_Catalogue - Produits et Systèmes CHUBB.pdf", "Fiche Produit")</f>
        <v>Fiche Produit</v>
      </c>
    </row>
    <row r="7" spans="1:6" x14ac:dyDescent="0.25">
      <c r="A7" t="s">
        <v>6</v>
      </c>
      <c r="B7" t="s">
        <v>8</v>
      </c>
      <c r="C7" t="s">
        <v>15</v>
      </c>
      <c r="D7" t="s">
        <v>22</v>
      </c>
      <c r="E7" t="s">
        <v>1030</v>
      </c>
      <c r="F7" t="str">
        <f>HYPERLINK("C:\Users\longueni\Desktop\Chubb produits code\Fiche catalogue\Détection incendie\Alimentation\VARIATION 940\CAT-CS_08_23-03_Fiche catalogue - VARIATION 940 - Coffret.pdf", "Fiche Produit")</f>
        <v>Fiche Produit</v>
      </c>
    </row>
    <row r="8" spans="1:6" x14ac:dyDescent="0.25">
      <c r="A8" t="s">
        <v>6</v>
      </c>
      <c r="B8" t="s">
        <v>8</v>
      </c>
      <c r="C8" t="s">
        <v>15</v>
      </c>
      <c r="D8" t="s">
        <v>23</v>
      </c>
      <c r="E8" t="s">
        <v>1031</v>
      </c>
      <c r="F8" t="str">
        <f>HYPERLINK("C:\Users\longueni\Desktop\Chubb produits code\Fiche catalogue\Détection incendie\Alimentation\RESONANCE 60_120W V2\CAT-CS_08_25-04_Fiche catalogue - RÉSONANCE 60W &amp; 120W V2 - (Chargeur).pdf", "Fiche Produit")</f>
        <v>Fiche Produit</v>
      </c>
    </row>
    <row r="9" spans="1:6" x14ac:dyDescent="0.25">
      <c r="A9" t="s">
        <v>6</v>
      </c>
      <c r="B9" t="s">
        <v>8</v>
      </c>
      <c r="C9" t="s">
        <v>15</v>
      </c>
      <c r="D9" t="s">
        <v>24</v>
      </c>
      <c r="E9" t="s">
        <v>1032</v>
      </c>
      <c r="F9" t="str">
        <f>HYPERLINK("C:\Users\longueni\Desktop\Chubb produits code\Fiche catalogue\Détection incendie\Alimentation\RESONANCE 60_120W V2\CAT-CS_08_25-04_Fiche catalogue - RÉSONANCE 60W &amp; 120W V2 - (Chargeur).pdf", "Fiche Produit")</f>
        <v>Fiche Produit</v>
      </c>
    </row>
    <row r="10" spans="1:6" x14ac:dyDescent="0.25">
      <c r="A10" t="s">
        <v>6</v>
      </c>
      <c r="B10" t="s">
        <v>8</v>
      </c>
      <c r="C10" t="s">
        <v>15</v>
      </c>
      <c r="D10" t="s">
        <v>25</v>
      </c>
      <c r="E10" t="s">
        <v>1032</v>
      </c>
      <c r="F10" t="str">
        <f>HYPERLINK("C:\Users\longueni\Desktop\Chubb produits code\Fiche catalogue\Détection incendie\Alimentation\RESONANCE 60_120W V2\CAT-CS_08_25-04_Fiche catalogue - RÉSONANCE 60W &amp; 120W V2 - (Chargeur).pdf", "Fiche Produit")</f>
        <v>Fiche Produit</v>
      </c>
    </row>
    <row r="11" spans="1:6" x14ac:dyDescent="0.25">
      <c r="A11" t="s">
        <v>6</v>
      </c>
      <c r="B11" t="s">
        <v>8</v>
      </c>
      <c r="C11" t="s">
        <v>15</v>
      </c>
      <c r="D11" t="s">
        <v>26</v>
      </c>
      <c r="E11" t="s">
        <v>1033</v>
      </c>
      <c r="F11" t="str">
        <f>HYPERLINK("C:\Users\longueni\Desktop\Chubb produits code\CTLG-9001639_Catalogue - Produits et Systèmes CHUBB.pdf", "Fiche Produit")</f>
        <v>Fiche Produit</v>
      </c>
    </row>
    <row r="12" spans="1:6" x14ac:dyDescent="0.25">
      <c r="A12" t="s">
        <v>6</v>
      </c>
      <c r="B12" t="s">
        <v>8</v>
      </c>
      <c r="C12" t="s">
        <v>15</v>
      </c>
      <c r="D12" t="s">
        <v>27</v>
      </c>
      <c r="E12" t="s">
        <v>1034</v>
      </c>
      <c r="F12" t="str">
        <f>HYPERLINK("C:\Users\longueni\Desktop\Chubb produits code\CTLG-9001639_Catalogue - Produits et Systèmes CHUBB.pdf", "Fiche Produit")</f>
        <v>Fiche Produit</v>
      </c>
    </row>
    <row r="13" spans="1:6" x14ac:dyDescent="0.25">
      <c r="A13" t="s">
        <v>6</v>
      </c>
      <c r="B13" t="s">
        <v>8</v>
      </c>
      <c r="C13" t="s">
        <v>15</v>
      </c>
      <c r="D13" t="s">
        <v>28</v>
      </c>
      <c r="E13" t="s">
        <v>1035</v>
      </c>
      <c r="F13" t="str">
        <f>HYPERLINK("C:\Users\longueni\Desktop\Chubb produits code\CTLG-9001639_Catalogue - Produits et Systèmes CHUBB.pdf", "Fiche Produit")</f>
        <v>Fiche Produit</v>
      </c>
    </row>
    <row r="14" spans="1:6" x14ac:dyDescent="0.25">
      <c r="A14" t="s">
        <v>6</v>
      </c>
      <c r="B14" t="s">
        <v>8</v>
      </c>
      <c r="C14" t="s">
        <v>15</v>
      </c>
      <c r="D14" t="s">
        <v>29</v>
      </c>
      <c r="E14" t="s">
        <v>1036</v>
      </c>
      <c r="F14" t="str">
        <f>HYPERLINK("C:\Users\longueni\Desktop\Chubb produits code\CTLG-9001639_Catalogue - Produits et Systèmes CHUBB.pdf", "Fiche Produit")</f>
        <v>Fiche Produit</v>
      </c>
    </row>
    <row r="15" spans="1:6" x14ac:dyDescent="0.25">
      <c r="A15" t="s">
        <v>6</v>
      </c>
      <c r="B15" t="s">
        <v>8</v>
      </c>
      <c r="C15" t="s">
        <v>15</v>
      </c>
      <c r="D15" t="s">
        <v>30</v>
      </c>
      <c r="E15" t="s">
        <v>1037</v>
      </c>
      <c r="F15" t="str">
        <f>HYPERLINK("C:\Users\longueni\Desktop\Chubb produits code\CTLG-9001639_Catalogue - Produits et Systèmes CHUBB.pdf", "Fiche Produit")</f>
        <v>Fiche Produit</v>
      </c>
    </row>
    <row r="16" spans="1:6" x14ac:dyDescent="0.25">
      <c r="A16" t="s">
        <v>6</v>
      </c>
      <c r="B16" t="s">
        <v>8</v>
      </c>
      <c r="C16" t="s">
        <v>15</v>
      </c>
      <c r="D16" t="s">
        <v>31</v>
      </c>
      <c r="E16" t="s">
        <v>1038</v>
      </c>
      <c r="F16" t="str">
        <f>HYPERLINK("C:\Users\longueni\Desktop\Chubb produits code\Fiche catalogue\Détection incendie\Alimentation\CAT-140_Fiche catalogue - AES BOOSTEES SLAT.pdf", "Fiche Produit")</f>
        <v>Fiche Produit</v>
      </c>
    </row>
    <row r="17" spans="1:6" x14ac:dyDescent="0.25">
      <c r="A17" t="s">
        <v>6</v>
      </c>
      <c r="B17" t="s">
        <v>8</v>
      </c>
      <c r="C17" t="s">
        <v>15</v>
      </c>
      <c r="D17" t="s">
        <v>32</v>
      </c>
      <c r="E17" t="s">
        <v>1039</v>
      </c>
      <c r="F17" t="str">
        <f>HYPERLINK("C:\Users\longueni\Desktop\Chubb produits code\Fiche catalogue\Détection incendie\Alimentation\CAT-140_Fiche catalogue - AES BOOSTEES SLAT.pdf", "Fiche Produit")</f>
        <v>Fiche Produit</v>
      </c>
    </row>
    <row r="18" spans="1:6" x14ac:dyDescent="0.25">
      <c r="A18" t="s">
        <v>6</v>
      </c>
      <c r="B18" t="s">
        <v>8</v>
      </c>
      <c r="C18" t="s">
        <v>15</v>
      </c>
      <c r="D18" t="s">
        <v>33</v>
      </c>
      <c r="E18" t="s">
        <v>1040</v>
      </c>
      <c r="F18" t="str">
        <f>HYPERLINK("C:\Users\longueni\Desktop\Chubb produits code\Fiche catalogue\Détection incendie\Alimentation\CAT-CS_08_29-01_Fiche catalogue - SLAT AES230VC85SB.pdf", "Fiche Produit")</f>
        <v>Fiche Produit</v>
      </c>
    </row>
    <row r="19" spans="1:6" x14ac:dyDescent="0.25">
      <c r="A19" t="s">
        <v>6</v>
      </c>
      <c r="B19" t="s">
        <v>8</v>
      </c>
      <c r="C19" t="s">
        <v>15</v>
      </c>
      <c r="D19" t="s">
        <v>34</v>
      </c>
      <c r="E19" t="s">
        <v>1041</v>
      </c>
      <c r="F19" t="str">
        <f>HYPERLINK("C:\Users\longueni\Desktop\Chubb produits code\Fiche catalogue\Détection incendie\Alimentation\CAT-CS_08_27-01_Fiche catalogue - ALIMENTATION SECOURUE VISION.Com.pdf", "Fiche Produit")</f>
        <v>Fiche Produit</v>
      </c>
    </row>
    <row r="20" spans="1:6" x14ac:dyDescent="0.25">
      <c r="A20" t="s">
        <v>6</v>
      </c>
      <c r="B20" t="s">
        <v>8</v>
      </c>
      <c r="C20" t="s">
        <v>15</v>
      </c>
      <c r="D20" t="s">
        <v>35</v>
      </c>
      <c r="E20" t="s">
        <v>1042</v>
      </c>
      <c r="F20" t="str">
        <f>HYPERLINK("C:\Users\longueni\Desktop\Chubb produits code\Fiche catalogue\Détection incendie\Centrale\INitium\CAT-050_Fiche catalogue - INitium-S.pdf", "Fiche Produit")</f>
        <v>Fiche Produit</v>
      </c>
    </row>
    <row r="21" spans="1:6" x14ac:dyDescent="0.25">
      <c r="A21" t="s">
        <v>6</v>
      </c>
      <c r="B21" t="s">
        <v>8</v>
      </c>
      <c r="C21" t="s">
        <v>15</v>
      </c>
      <c r="D21" t="s">
        <v>36</v>
      </c>
      <c r="E21" t="s">
        <v>1043</v>
      </c>
      <c r="F21" t="str">
        <f>HYPERLINK("C:\Users\longueni\Desktop\Chubb produits code\Fiche catalogue\Détection incendie\Radio\Détecteur _ Socle\CAT-CS_04_85-02_Fiche catalogue - Détecteur, déclencheur et interface radio - Gamme SG.Scan.pdf", "Fiche Produit")</f>
        <v>Fiche Produit</v>
      </c>
    </row>
    <row r="22" spans="1:6" x14ac:dyDescent="0.25">
      <c r="A22" t="s">
        <v>6</v>
      </c>
      <c r="B22" t="s">
        <v>8</v>
      </c>
      <c r="C22" t="s">
        <v>15</v>
      </c>
      <c r="D22" t="s">
        <v>37</v>
      </c>
      <c r="E22" t="s">
        <v>1044</v>
      </c>
      <c r="F22" t="str">
        <f>HYPERLINK("C:\Users\longueni\Desktop\Chubb produits code\Fiche catalogue\Détection incendie\Radio\Détecteur _ Socle\CAT-CS_04_85-02_Fiche catalogue - Détecteur, déclencheur et interface radio - Gamme SG.Scan.pdf", "Fiche Produit")</f>
        <v>Fiche Produit</v>
      </c>
    </row>
    <row r="23" spans="1:6" x14ac:dyDescent="0.25">
      <c r="A23" t="s">
        <v>6</v>
      </c>
      <c r="B23" t="s">
        <v>8</v>
      </c>
      <c r="C23" t="s">
        <v>15</v>
      </c>
      <c r="D23" t="s">
        <v>38</v>
      </c>
      <c r="E23" t="s">
        <v>1045</v>
      </c>
      <c r="F23" t="str">
        <f>HYPERLINK("C:\Users\longueni\Desktop\Chubb produits code\Fiche catalogue\Détection incendie\Radio\R.Scan+\CAT-027_Fiche catalogue - Gamme radio R.Scan+.pdf", "Fiche Produit")</f>
        <v>Fiche Produit</v>
      </c>
    </row>
    <row r="24" spans="1:6" x14ac:dyDescent="0.25">
      <c r="A24" t="s">
        <v>6</v>
      </c>
      <c r="B24" t="s">
        <v>8</v>
      </c>
      <c r="C24" t="s">
        <v>15</v>
      </c>
      <c r="D24" t="s">
        <v>39</v>
      </c>
      <c r="E24" t="s">
        <v>1046</v>
      </c>
      <c r="F24" t="str">
        <f>HYPERLINK("C:\Users\longueni\Desktop\Chubb produits code\Fiche catalogue\Détection incendie\Détecteur _ socle\OSID\CAT-018_Fiche catalogue - Détecteur de fumée - OSID.pdf", "Fiche Produit")</f>
        <v>Fiche Produit</v>
      </c>
    </row>
    <row r="25" spans="1:6" x14ac:dyDescent="0.25">
      <c r="A25" t="s">
        <v>6</v>
      </c>
      <c r="B25" t="s">
        <v>8</v>
      </c>
      <c r="C25" t="s">
        <v>15</v>
      </c>
      <c r="D25" t="s">
        <v>40</v>
      </c>
      <c r="E25" t="s">
        <v>1047</v>
      </c>
      <c r="F25" t="str">
        <f>HYPERLINK("C:\Users\longueni\Desktop\Chubb produits code\Fiche catalogue\Détection incendie\Alimentation\CAT-CS_08_26-01_Fiche catalogue - US ALIM DEPORTE.pdf", "Fiche Produit")</f>
        <v>Fiche Produit</v>
      </c>
    </row>
    <row r="26" spans="1:6" x14ac:dyDescent="0.25">
      <c r="A26" t="s">
        <v>6</v>
      </c>
      <c r="B26" t="s">
        <v>8</v>
      </c>
      <c r="C26" t="s">
        <v>15</v>
      </c>
      <c r="D26" t="s">
        <v>41</v>
      </c>
      <c r="E26" t="s">
        <v>1048</v>
      </c>
      <c r="F26" t="str">
        <f>HYPERLINK("C:\Users\longueni\Desktop\Chubb produits code\CTLG-9001639_Catalogue - Produits et Systèmes CHUBB.pdf", "Fiche Produit")</f>
        <v>Fiche Produit</v>
      </c>
    </row>
    <row r="27" spans="1:6" x14ac:dyDescent="0.25">
      <c r="A27" t="s">
        <v>6</v>
      </c>
      <c r="B27" t="s">
        <v>8</v>
      </c>
      <c r="C27" t="s">
        <v>15</v>
      </c>
      <c r="D27" t="s">
        <v>42</v>
      </c>
      <c r="E27" t="s">
        <v>1049</v>
      </c>
      <c r="F27" t="str">
        <f>HYPERLINK("C:\Users\longueni\Desktop\Chubb produits code\CTLG-9001639_Catalogue - Produits et Systèmes CHUBB.pdf", "Fiche Produit")</f>
        <v>Fiche Produit</v>
      </c>
    </row>
    <row r="28" spans="1:6" x14ac:dyDescent="0.25">
      <c r="A28" t="s">
        <v>6</v>
      </c>
      <c r="B28" t="s">
        <v>8</v>
      </c>
      <c r="C28" t="s">
        <v>15</v>
      </c>
      <c r="D28" t="s">
        <v>43</v>
      </c>
      <c r="E28" t="s">
        <v>1050</v>
      </c>
      <c r="F28" t="str">
        <f>HYPERLINK("C:\Users\longueni\Desktop\Chubb produits code\Fiche catalogue\Détection incendie\Détecteur _ socle\OSID\CAT-018_Fiche catalogue - Détecteur de fumée - OSID.pdf", "Fiche Produit")</f>
        <v>Fiche Produit</v>
      </c>
    </row>
    <row r="29" spans="1:6" x14ac:dyDescent="0.25">
      <c r="A29" t="s">
        <v>6</v>
      </c>
      <c r="B29" t="s">
        <v>8</v>
      </c>
      <c r="C29" t="s">
        <v>15</v>
      </c>
      <c r="D29" t="s">
        <v>44</v>
      </c>
      <c r="E29" t="s">
        <v>1051</v>
      </c>
      <c r="F29" t="str">
        <f>HYPERLINK("C:\Users\longueni\Desktop\Chubb produits code\Fiche catalogue\Détection incendie\Détecteur _ socle\CAT-CS_04_38-01_Fiche catalogue - OLFAR -  OLFAR R.pdf", "Fiche Produit")</f>
        <v>Fiche Produit</v>
      </c>
    </row>
    <row r="30" spans="1:6" x14ac:dyDescent="0.25">
      <c r="A30" t="s">
        <v>6</v>
      </c>
      <c r="B30" t="s">
        <v>8</v>
      </c>
      <c r="C30" t="s">
        <v>15</v>
      </c>
      <c r="D30" t="s">
        <v>45</v>
      </c>
      <c r="E30" t="s">
        <v>1052</v>
      </c>
      <c r="F30" t="str">
        <f>HYPERLINK("C:\Users\longueni\Desktop\Chubb produits code\Fiche catalogue\Détection incendie\Détecteur _ socle\CAT-CS_04_38-01_Fiche catalogue - OLFAR -  OLFAR R.pdf", "Fiche Produit")</f>
        <v>Fiche Produit</v>
      </c>
    </row>
    <row r="31" spans="1:6" x14ac:dyDescent="0.25">
      <c r="A31" t="s">
        <v>6</v>
      </c>
      <c r="B31" t="s">
        <v>9</v>
      </c>
      <c r="C31" t="s">
        <v>15</v>
      </c>
      <c r="D31" t="s">
        <v>46</v>
      </c>
      <c r="E31" t="s">
        <v>1053</v>
      </c>
      <c r="F31" t="str">
        <f>HYPERLINK("C:\Users\longueni\Desktop\Chubb produits code\Fiche catalogue\Détection incendie\Centrale\CAT-CS_02_38-01_Fiche catalogue - SATI LON FTT.pdf", "Fiche Produit")</f>
        <v>Fiche Produit</v>
      </c>
    </row>
    <row r="32" spans="1:6" x14ac:dyDescent="0.25">
      <c r="A32" t="s">
        <v>6</v>
      </c>
      <c r="B32" t="s">
        <v>9</v>
      </c>
      <c r="C32" t="s">
        <v>15</v>
      </c>
      <c r="D32" t="s">
        <v>47</v>
      </c>
      <c r="E32" t="s">
        <v>1054</v>
      </c>
      <c r="F32" t="str">
        <f>HYPERLINK("C:\Users\longueni\Desktop\Chubb produits code\Fiche catalogue\Détection incendie\Centrale\CAT-CS_01_61-01_Fiche catalogue - DEPORT LON LPT.pdf", "Fiche Produit")</f>
        <v>Fiche Produit</v>
      </c>
    </row>
    <row r="33" spans="1:6" x14ac:dyDescent="0.25">
      <c r="A33" t="s">
        <v>6</v>
      </c>
      <c r="B33" t="s">
        <v>9</v>
      </c>
      <c r="C33" t="s">
        <v>15</v>
      </c>
      <c r="D33" t="s">
        <v>48</v>
      </c>
      <c r="E33" t="s">
        <v>1055</v>
      </c>
      <c r="F33" t="str">
        <f>HYPERLINK("C:\Users\longueni\Desktop\Chubb produits code\Fiche catalogue\Détection incendie\Centrale\CAT-CS_01_60-01_Fiche catalogue - DEPORT LON FTT.pdf", "Fiche Produit")</f>
        <v>Fiche Produit</v>
      </c>
    </row>
    <row r="34" spans="1:6" x14ac:dyDescent="0.25">
      <c r="A34" t="s">
        <v>6</v>
      </c>
      <c r="B34" t="s">
        <v>9</v>
      </c>
      <c r="C34" t="s">
        <v>15</v>
      </c>
      <c r="D34" t="s">
        <v>49</v>
      </c>
      <c r="E34" t="s">
        <v>1056</v>
      </c>
      <c r="F34" t="str">
        <f>HYPERLINK("C:\Users\longueni\Desktop\Chubb produits code\Fiche catalogue\Détection incendie\Centrale\CAT-CS_08_24-01_Fiche catalogue - ALIM DEPORT LON LPT.pdf", "Fiche Produit")</f>
        <v>Fiche Produit</v>
      </c>
    </row>
    <row r="35" spans="1:6" x14ac:dyDescent="0.25">
      <c r="A35" t="s">
        <v>6</v>
      </c>
      <c r="B35" t="s">
        <v>9</v>
      </c>
      <c r="C35" t="s">
        <v>15</v>
      </c>
      <c r="D35" t="s">
        <v>50</v>
      </c>
      <c r="E35" t="s">
        <v>1057</v>
      </c>
      <c r="F35" t="str">
        <f>HYPERLINK("C:\Users\longueni\Desktop\Chubb produits code\Fiche catalogue\Détection incendie\Accessoires_outils\CAT-CS_04_82-03_Fiche catalogue - ACCESSOIRES DÉTECTEURS MULTIPONCTUELS.pdf", "Fiche Produit")</f>
        <v>Fiche Produit</v>
      </c>
    </row>
    <row r="36" spans="1:6" x14ac:dyDescent="0.25">
      <c r="A36" t="s">
        <v>6</v>
      </c>
      <c r="B36" t="s">
        <v>9</v>
      </c>
      <c r="C36" t="s">
        <v>15</v>
      </c>
      <c r="D36" t="s">
        <v>51</v>
      </c>
      <c r="E36" t="s">
        <v>1058</v>
      </c>
      <c r="F36" t="str">
        <f>HYPERLINK("C:\Users\longueni\Desktop\Chubb produits code\Fiche catalogue\Détection incendie\Centrale\INitium\CAT-170_Fiche catalogue - INitium-I ECS-UGA.pdf", "Fiche Produit")</f>
        <v>Fiche Produit</v>
      </c>
    </row>
    <row r="37" spans="1:6" x14ac:dyDescent="0.25">
      <c r="A37" t="s">
        <v>6</v>
      </c>
      <c r="B37" t="s">
        <v>9</v>
      </c>
      <c r="C37" t="s">
        <v>15</v>
      </c>
      <c r="D37" t="s">
        <v>52</v>
      </c>
      <c r="E37" t="s">
        <v>1059</v>
      </c>
      <c r="F37" t="str">
        <f>HYPERLINK("C:\Users\longueni\Desktop\Chubb produits code\Fiche catalogue\Détection incendie\Alimentation\CAT-140_Fiche catalogue - AES BOOSTEES SLAT.pdf", "Fiche Produit")</f>
        <v>Fiche Produit</v>
      </c>
    </row>
    <row r="38" spans="1:6" x14ac:dyDescent="0.25">
      <c r="A38" t="s">
        <v>6</v>
      </c>
      <c r="B38" t="s">
        <v>9</v>
      </c>
      <c r="C38" t="s">
        <v>15</v>
      </c>
      <c r="D38" t="s">
        <v>53</v>
      </c>
      <c r="E38" t="s">
        <v>1060</v>
      </c>
      <c r="F38" t="str">
        <f>HYPERLINK("C:\Users\longueni\Desktop\Chubb produits code\Fiche catalogue\Détection incendie\Alimentation\CAT-140_Fiche catalogue - AES BOOSTEES SLAT.pdf", "Fiche Produit")</f>
        <v>Fiche Produit</v>
      </c>
    </row>
    <row r="39" spans="1:6" x14ac:dyDescent="0.25">
      <c r="A39" t="s">
        <v>6</v>
      </c>
      <c r="B39" t="s">
        <v>9</v>
      </c>
      <c r="C39" t="s">
        <v>15</v>
      </c>
      <c r="D39" t="s">
        <v>54</v>
      </c>
      <c r="E39" t="s">
        <v>1061</v>
      </c>
      <c r="F39" t="str">
        <f>HYPERLINK("C:\Users\longueni\Desktop\Chubb produits code\Fiche catalogue\Détection incendie\Transmetteur\CAT-CS_02_64-01_Fiche catalogue - TRANSMETTEUR RSE.pdf", "Fiche Produit")</f>
        <v>Fiche Produit</v>
      </c>
    </row>
    <row r="40" spans="1:6" x14ac:dyDescent="0.25">
      <c r="A40" t="s">
        <v>6</v>
      </c>
      <c r="B40" t="s">
        <v>9</v>
      </c>
      <c r="C40" t="s">
        <v>15</v>
      </c>
      <c r="D40" t="s">
        <v>55</v>
      </c>
      <c r="E40" t="s">
        <v>1062</v>
      </c>
      <c r="F40" t="str">
        <f>HYPERLINK("C:\Users\longueni\Desktop\Chubb produits code\Fiche catalogue\Détection incendie\Centrale\DAD SECOURU\CAT-CS_04_24-01_Fiche catalogue - DAD SECOURU.pdf", "Fiche Produit")</f>
        <v>Fiche Produit</v>
      </c>
    </row>
    <row r="41" spans="1:6" x14ac:dyDescent="0.25">
      <c r="A41" t="s">
        <v>6</v>
      </c>
      <c r="B41" t="s">
        <v>9</v>
      </c>
      <c r="C41" t="s">
        <v>15</v>
      </c>
      <c r="D41" t="s">
        <v>56</v>
      </c>
      <c r="E41" t="s">
        <v>1062</v>
      </c>
      <c r="F41" t="str">
        <f>HYPERLINK("C:\Users\longueni\Desktop\Chubb produits code\Fiche catalogue\Détection incendie\Centrale\TSC1\CAT-CS_04_24-02_Fiche catalogue - TSC1.pdf", "Fiche Produit")</f>
        <v>Fiche Produit</v>
      </c>
    </row>
    <row r="42" spans="1:6" x14ac:dyDescent="0.25">
      <c r="A42" t="s">
        <v>6</v>
      </c>
      <c r="B42" t="s">
        <v>9</v>
      </c>
      <c r="C42" t="s">
        <v>15</v>
      </c>
      <c r="D42" t="s">
        <v>57</v>
      </c>
      <c r="E42" t="s">
        <v>1063</v>
      </c>
      <c r="F42" t="str">
        <f>HYPERLINK("C:\Users\longueni\Desktop\Chubb produits code\Fiche catalogue\Détection incendie\Centrale\CAT-CS_02_37-01_Fiche catalogue - SATC LON LPT.pdf", "Fiche Produit")</f>
        <v>Fiche Produit</v>
      </c>
    </row>
    <row r="43" spans="1:6" x14ac:dyDescent="0.25">
      <c r="A43" t="s">
        <v>6</v>
      </c>
      <c r="B43" t="s">
        <v>9</v>
      </c>
      <c r="C43" t="s">
        <v>15</v>
      </c>
      <c r="D43" t="s">
        <v>58</v>
      </c>
      <c r="E43" t="s">
        <v>1064</v>
      </c>
      <c r="F43" t="str">
        <f>HYPERLINK("C:\Users\longueni\Desktop\Chubb produits code\Fiche catalogue\Détection incendie\Centrale\CAT-CS_01_64-02_Fiche catalogue - UCR+ LON FTT.pdf", "Fiche Produit")</f>
        <v>Fiche Produit</v>
      </c>
    </row>
    <row r="44" spans="1:6" x14ac:dyDescent="0.25">
      <c r="A44" t="s">
        <v>6</v>
      </c>
      <c r="B44" t="s">
        <v>9</v>
      </c>
      <c r="C44" t="s">
        <v>15</v>
      </c>
      <c r="D44" t="s">
        <v>59</v>
      </c>
      <c r="E44" t="s">
        <v>1065</v>
      </c>
      <c r="F44" t="str">
        <f>HYPERLINK("C:\Users\longueni\Desktop\Chubb produits code\Fiche catalogue\Détection incendie\Alimentation\VARIATION 940\CAT-CS_08_23-03_Fiche catalogue - VARIATION 940 - Coffret.pdf", "Fiche Produit")</f>
        <v>Fiche Produit</v>
      </c>
    </row>
    <row r="45" spans="1:6" x14ac:dyDescent="0.25">
      <c r="A45" t="s">
        <v>6</v>
      </c>
      <c r="B45" t="s">
        <v>9</v>
      </c>
      <c r="C45" t="s">
        <v>15</v>
      </c>
      <c r="D45" t="s">
        <v>60</v>
      </c>
      <c r="E45" t="s">
        <v>1066</v>
      </c>
      <c r="F45" t="str">
        <f>HYPERLINK("C:\Users\longueni\Desktop\Chubb produits code\Fiche catalogue\Détection incendie\Centrale\CAT-CS_01_64-01_Fiche catalogue - UCR LON FTT.pdf", "Fiche Produit")</f>
        <v>Fiche Produit</v>
      </c>
    </row>
    <row r="46" spans="1:6" x14ac:dyDescent="0.25">
      <c r="A46" t="s">
        <v>6</v>
      </c>
      <c r="B46" t="s">
        <v>9</v>
      </c>
      <c r="C46" t="s">
        <v>15</v>
      </c>
      <c r="D46" t="s">
        <v>61</v>
      </c>
      <c r="E46" t="s">
        <v>1067</v>
      </c>
      <c r="F46" t="str">
        <f>HYPERLINK("C:\Users\longueni\Desktop\Chubb produits code\Fiche catalogue\Détection incendie\Détecteur _ socle\VESDA\CAT-CS_04_32-01_Fiche catalogue - VESDA LASER PLUS.pdf", "Fiche Produit")</f>
        <v>Fiche Produit</v>
      </c>
    </row>
    <row r="47" spans="1:6" x14ac:dyDescent="0.25">
      <c r="A47" t="s">
        <v>6</v>
      </c>
      <c r="B47" t="s">
        <v>9</v>
      </c>
      <c r="C47" t="s">
        <v>15</v>
      </c>
      <c r="D47" t="s">
        <v>62</v>
      </c>
      <c r="E47" t="s">
        <v>1068</v>
      </c>
      <c r="F47" t="str">
        <f>HYPERLINK("C:\Users\longueni\Desktop\Chubb produits code\Fiche catalogue\Détection incendie\Détecteur _ socle\VESDA\CAT-CS_04_32-01_Fiche catalogue - VESDA LASER PLUS.pdf", "Fiche Produit")</f>
        <v>Fiche Produit</v>
      </c>
    </row>
    <row r="48" spans="1:6" x14ac:dyDescent="0.25">
      <c r="A48" t="s">
        <v>6</v>
      </c>
      <c r="B48" t="s">
        <v>9</v>
      </c>
      <c r="C48" t="s">
        <v>15</v>
      </c>
      <c r="D48" t="s">
        <v>63</v>
      </c>
      <c r="E48" t="s">
        <v>1069</v>
      </c>
      <c r="F48" t="str">
        <f>HYPERLINK("C:\Users\longueni\Desktop\Chubb produits code\Fiche catalogue\Détection incendie\Dispositif sonore _ lumineux\CAT-102_Fiche catalogue - ECSAV SECURIVOC - RSNF08-NF.pdf", "Fiche Produit")</f>
        <v>Fiche Produit</v>
      </c>
    </row>
    <row r="49" spans="1:6" x14ac:dyDescent="0.25">
      <c r="A49" t="s">
        <v>6</v>
      </c>
      <c r="B49" t="s">
        <v>9</v>
      </c>
      <c r="C49" t="s">
        <v>15</v>
      </c>
      <c r="D49" t="s">
        <v>64</v>
      </c>
      <c r="E49" t="s">
        <v>1070</v>
      </c>
      <c r="F49" t="str">
        <f>HYPERLINK("C:\Users\longueni\Desktop\Chubb produits code\Fiche catalogue\Détection incendie\Détecteur _ socle\6500\CAT-CS_04_83-01_Fiche catalogue - 6500R_RS.pdf", "Fiche Produit")</f>
        <v>Fiche Produit</v>
      </c>
    </row>
    <row r="50" spans="1:6" x14ac:dyDescent="0.25">
      <c r="A50" t="s">
        <v>6</v>
      </c>
      <c r="B50" t="s">
        <v>9</v>
      </c>
      <c r="C50" t="s">
        <v>15</v>
      </c>
      <c r="D50" t="s">
        <v>65</v>
      </c>
      <c r="E50" t="s">
        <v>1071</v>
      </c>
      <c r="F50" t="str">
        <f>HYPERLINK("C:\Users\longueni\Desktop\Chubb produits code\Fiche catalogue\Détection incendie\Détecteur _ socle\6500\CAT-CS_04_83-02_Fiche catalogue - 6500F_FS.pdf", "Fiche Produit")</f>
        <v>Fiche Produit</v>
      </c>
    </row>
    <row r="51" spans="1:6" x14ac:dyDescent="0.25">
      <c r="A51" t="s">
        <v>6</v>
      </c>
      <c r="B51" t="s">
        <v>9</v>
      </c>
      <c r="C51" t="s">
        <v>15</v>
      </c>
      <c r="D51" t="s">
        <v>66</v>
      </c>
      <c r="E51" t="s">
        <v>1072</v>
      </c>
      <c r="F51" t="str">
        <f>HYPERLINK("C:\Users\longueni\Desktop\Chubb produits code\Fiche catalogue\Détection incendie\Détecteur _ socle\6500\CAT-CS_04_83-01_Fiche catalogue - 6500R_RS.pdf", "Fiche Produit")</f>
        <v>Fiche Produit</v>
      </c>
    </row>
    <row r="52" spans="1:6" x14ac:dyDescent="0.25">
      <c r="A52" t="s">
        <v>6</v>
      </c>
      <c r="B52" t="s">
        <v>9</v>
      </c>
      <c r="C52" t="s">
        <v>15</v>
      </c>
      <c r="D52" t="s">
        <v>67</v>
      </c>
      <c r="E52" t="s">
        <v>1073</v>
      </c>
      <c r="F52" t="str">
        <f>HYPERLINK("C:\Users\longueni\Desktop\Chubb produits code\Fiche catalogue\Détection incendie\Détecteur _ socle\6500\CAT-CS_04_83-02_Fiche catalogue - 6500F_FS.pdf", "Fiche Produit")</f>
        <v>Fiche Produit</v>
      </c>
    </row>
    <row r="53" spans="1:6" x14ac:dyDescent="0.25">
      <c r="A53" t="s">
        <v>6</v>
      </c>
      <c r="B53" t="s">
        <v>9</v>
      </c>
      <c r="C53" t="s">
        <v>15</v>
      </c>
      <c r="D53" t="s">
        <v>68</v>
      </c>
      <c r="E53" t="s">
        <v>1074</v>
      </c>
      <c r="F53" t="str">
        <f>HYPERLINK("C:\Users\longueni\Desktop\Chubb produits code\Fiche catalogue\Détection incendie\Détecteur _ socle\6500\CAT-CS_04_83-02_Fiche catalogue - 6500F_FS.pdf", "Fiche Produit")</f>
        <v>Fiche Produit</v>
      </c>
    </row>
    <row r="54" spans="1:6" x14ac:dyDescent="0.25">
      <c r="A54" t="s">
        <v>6</v>
      </c>
      <c r="B54" t="s">
        <v>9</v>
      </c>
      <c r="C54" t="s">
        <v>15</v>
      </c>
      <c r="D54" t="s">
        <v>69</v>
      </c>
      <c r="E54" t="s">
        <v>1075</v>
      </c>
      <c r="F54" t="str">
        <f>HYPERLINK("C:\Users\longueni\Desktop\Chubb produits code\Fiche catalogue\Détection incendie\Détecteur _ socle\6500\CAT-CS_04_83-01_Fiche catalogue - 6500R_RS.pdf", "Fiche Produit")</f>
        <v>Fiche Produit</v>
      </c>
    </row>
    <row r="55" spans="1:6" x14ac:dyDescent="0.25">
      <c r="A55" t="s">
        <v>6</v>
      </c>
      <c r="B55" t="s">
        <v>9</v>
      </c>
      <c r="C55" t="s">
        <v>15</v>
      </c>
      <c r="D55" t="s">
        <v>70</v>
      </c>
      <c r="E55" t="s">
        <v>1076</v>
      </c>
      <c r="F55" t="str">
        <f>HYPERLINK("C:\Users\longueni\Desktop\Chubb produits code\Fiche catalogue\Détection incendie\Détecteur _ socle\CAT-CS_04_36-01_Fiche catalogue - DLD 2000.pdf", "Fiche Produit")</f>
        <v>Fiche Produit</v>
      </c>
    </row>
    <row r="56" spans="1:6" x14ac:dyDescent="0.25">
      <c r="A56" t="s">
        <v>6</v>
      </c>
      <c r="B56" t="s">
        <v>9</v>
      </c>
      <c r="C56" t="s">
        <v>15</v>
      </c>
      <c r="D56" t="s">
        <v>71</v>
      </c>
      <c r="E56" t="s">
        <v>1077</v>
      </c>
      <c r="F56" t="str">
        <f>HYPERLINK("C:\Users\longueni\Desktop\Chubb produits code\Fiche catalogue\Détection incendie\Centrale\UTI.Micro Pack\CAT-CS_01_85-01_Fiche catalogue - UTI.Micro Pack.pdf", "Fiche Produit")</f>
        <v>Fiche Produit</v>
      </c>
    </row>
    <row r="57" spans="1:6" x14ac:dyDescent="0.25">
      <c r="A57" t="s">
        <v>6</v>
      </c>
      <c r="B57" t="s">
        <v>9</v>
      </c>
      <c r="C57" t="s">
        <v>15</v>
      </c>
      <c r="D57" t="s">
        <v>72</v>
      </c>
      <c r="E57" t="s">
        <v>1078</v>
      </c>
      <c r="F57" t="str">
        <f>HYPERLINK("C:\Users\longueni\Desktop\Chubb produits code\Fiche catalogue\Détection incendie\Alimentation\VARIATION 940\CAT-CS_08_23-03_Fiche catalogue - VARIATION 940 - Coffret.pdf", "Fiche Produit")</f>
        <v>Fiche Produit</v>
      </c>
    </row>
    <row r="58" spans="1:6" x14ac:dyDescent="0.25">
      <c r="A58" t="s">
        <v>6</v>
      </c>
      <c r="B58" t="s">
        <v>9</v>
      </c>
      <c r="C58" t="s">
        <v>15</v>
      </c>
      <c r="D58" t="s">
        <v>73</v>
      </c>
      <c r="E58" t="s">
        <v>1079</v>
      </c>
      <c r="F58" t="str">
        <f>HYPERLINK("C:\Users\longueni\Desktop\Chubb produits code\CTLG-9001639_Catalogue - Produits et Systèmes CHUBB.pdf", "Fiche Produit")</f>
        <v>Fiche Produit</v>
      </c>
    </row>
    <row r="59" spans="1:6" x14ac:dyDescent="0.25">
      <c r="A59" t="s">
        <v>6</v>
      </c>
      <c r="B59" t="s">
        <v>9</v>
      </c>
      <c r="C59" t="s">
        <v>15</v>
      </c>
      <c r="D59" t="s">
        <v>74</v>
      </c>
      <c r="E59" t="s">
        <v>1080</v>
      </c>
      <c r="F59" t="str">
        <f>HYPERLINK("C:\Users\longueni\Desktop\Chubb produits code\Fiche catalogue\Détection incendie\Détecteur _ socle\VESDA\CAT-CS_04_32-01_Fiche catalogue - VESDA LASER PLUS.pdf", "Fiche Produit")</f>
        <v>Fiche Produit</v>
      </c>
    </row>
    <row r="60" spans="1:6" x14ac:dyDescent="0.25">
      <c r="A60" t="s">
        <v>6</v>
      </c>
      <c r="B60" t="s">
        <v>9</v>
      </c>
      <c r="C60" t="s">
        <v>15</v>
      </c>
      <c r="D60" t="s">
        <v>75</v>
      </c>
      <c r="E60" t="s">
        <v>1081</v>
      </c>
      <c r="F60" t="str">
        <f>HYPERLINK("C:\Users\longueni\Desktop\Chubb produits code\Fiche catalogue\Détection incendie\Centrale\CAT-CS_01_65-05_Fiche catalogue - UAI 2B SPECTRAL LON FTT.pdf", "Fiche Produit")</f>
        <v>Fiche Produit</v>
      </c>
    </row>
    <row r="61" spans="1:6" x14ac:dyDescent="0.25">
      <c r="A61" t="s">
        <v>6</v>
      </c>
      <c r="B61" t="s">
        <v>9</v>
      </c>
      <c r="C61" t="s">
        <v>15</v>
      </c>
      <c r="D61" t="s">
        <v>76</v>
      </c>
      <c r="E61" t="s">
        <v>1082</v>
      </c>
      <c r="F61" t="str">
        <f>HYPERLINK("C:\Users\longueni\Desktop\Chubb produits code\Fiche catalogue\Détection incendie\Détecteur _ socle\CAT-CS_04_103-01_Fiche catalogue - IR² ATEX 16511.pdf", "Fiche Produit")</f>
        <v>Fiche Produit</v>
      </c>
    </row>
    <row r="62" spans="1:6" x14ac:dyDescent="0.25">
      <c r="A62" t="s">
        <v>6</v>
      </c>
      <c r="B62" t="s">
        <v>9</v>
      </c>
      <c r="C62" t="s">
        <v>15</v>
      </c>
      <c r="D62" t="s">
        <v>77</v>
      </c>
      <c r="E62" t="s">
        <v>1083</v>
      </c>
      <c r="F62" t="str">
        <f>HYPERLINK("C:\Users\longueni\Desktop\Chubb produits code\Fiche catalogue\Détection incendie\Détecteur _ socle\CAT-CS_04_103-01_Fiche catalogue - IR² ATEX 16511.pdf", "Fiche Produit")</f>
        <v>Fiche Produit</v>
      </c>
    </row>
    <row r="63" spans="1:6" x14ac:dyDescent="0.25">
      <c r="A63" t="s">
        <v>6</v>
      </c>
      <c r="B63" t="s">
        <v>9</v>
      </c>
      <c r="C63" t="s">
        <v>15</v>
      </c>
      <c r="D63" t="s">
        <v>78</v>
      </c>
      <c r="E63" t="s">
        <v>1083</v>
      </c>
      <c r="F63" t="str">
        <f>HYPERLINK("C:\Users\longueni\Desktop\Chubb produits code\Fiche catalogue\Détection incendie\Détecteur _ socle\CAT-CS_04_103-01_Fiche catalogue - IR² ATEX 16511.pdf", "Fiche Produit")</f>
        <v>Fiche Produit</v>
      </c>
    </row>
    <row r="64" spans="1:6" x14ac:dyDescent="0.25">
      <c r="A64" t="s">
        <v>6</v>
      </c>
      <c r="B64" t="s">
        <v>9</v>
      </c>
      <c r="C64" t="s">
        <v>15</v>
      </c>
      <c r="D64" t="s">
        <v>79</v>
      </c>
      <c r="E64" t="s">
        <v>1084</v>
      </c>
      <c r="F64" t="str">
        <f>HYPERLINK("C:\Users\longueni\Desktop\Chubb produits code\Fiche catalogue\Détection incendie\Détecteur _ socle\CAT-CS_04_103-01_Fiche catalogue - IR² ATEX 16511.pdf", "Fiche Produit")</f>
        <v>Fiche Produit</v>
      </c>
    </row>
    <row r="65" spans="1:6" x14ac:dyDescent="0.25">
      <c r="A65" t="s">
        <v>6</v>
      </c>
      <c r="B65" t="s">
        <v>9</v>
      </c>
      <c r="C65" t="s">
        <v>15</v>
      </c>
      <c r="D65" t="s">
        <v>80</v>
      </c>
      <c r="E65" t="s">
        <v>1085</v>
      </c>
      <c r="F65" t="str">
        <f>HYPERLINK("C:\Users\longueni\Desktop\Chubb produits code\Fiche catalogue\Détection incendie\Centrale\CAT-CS_01_63-01_Fiche catalogue - UAC LON FTT.pdf", "Fiche Produit")</f>
        <v>Fiche Produit</v>
      </c>
    </row>
    <row r="66" spans="1:6" x14ac:dyDescent="0.25">
      <c r="A66" t="s">
        <v>6</v>
      </c>
      <c r="B66" t="s">
        <v>9</v>
      </c>
      <c r="C66" t="s">
        <v>15</v>
      </c>
      <c r="D66" t="s">
        <v>81</v>
      </c>
      <c r="E66" t="s">
        <v>1086</v>
      </c>
      <c r="F66" t="str">
        <f>HYPERLINK("C:\Users\longueni\Desktop\Chubb produits code\CTLG-9001639_Catalogue - Produits et Systèmes CHUBB.pdf", "Fiche Produit")</f>
        <v>Fiche Produit</v>
      </c>
    </row>
    <row r="67" spans="1:6" x14ac:dyDescent="0.25">
      <c r="A67" t="s">
        <v>6</v>
      </c>
      <c r="B67" t="s">
        <v>9</v>
      </c>
      <c r="C67" t="s">
        <v>15</v>
      </c>
      <c r="D67" t="s">
        <v>82</v>
      </c>
      <c r="E67" t="s">
        <v>1087</v>
      </c>
      <c r="F67" t="str">
        <f>HYPERLINK("C:\Users\longueni\Desktop\Chubb produits code\Fiche catalogue\Détection incendie\Déclencheur manuel\CAT-CS_05_01-01_Fiche catalogue - DM WR 2004_SR-910.pdf", "Fiche Produit")</f>
        <v>Fiche Produit</v>
      </c>
    </row>
    <row r="68" spans="1:6" x14ac:dyDescent="0.25">
      <c r="A68" t="s">
        <v>6</v>
      </c>
      <c r="B68" t="s">
        <v>9</v>
      </c>
      <c r="C68" t="s">
        <v>15</v>
      </c>
      <c r="D68" t="s">
        <v>83</v>
      </c>
      <c r="E68" t="s">
        <v>1088</v>
      </c>
      <c r="F68" t="str">
        <f>HYPERLINK("C:\Users\longueni\Desktop\Chubb produits code\Fiche catalogue\Détection incendie\Déclencheur manuel\CAT-CS_05_01-01_Fiche catalogue - DM WR 2004_SR-910.pdf", "Fiche Produit")</f>
        <v>Fiche Produit</v>
      </c>
    </row>
    <row r="69" spans="1:6" x14ac:dyDescent="0.25">
      <c r="A69" t="s">
        <v>6</v>
      </c>
      <c r="B69" t="s">
        <v>9</v>
      </c>
      <c r="C69" t="s">
        <v>15</v>
      </c>
      <c r="D69" t="s">
        <v>84</v>
      </c>
      <c r="E69" t="s">
        <v>1089</v>
      </c>
      <c r="F69" t="str">
        <f>HYPERLINK("C:\Users\longueni\Desktop\Chubb produits code\Fiche catalogue\Détection incendie\Détecteur _ socle\6500\CAT-CS_04_83-02_Fiche catalogue - 6500F_FS.pdf", "Fiche Produit")</f>
        <v>Fiche Produit</v>
      </c>
    </row>
    <row r="70" spans="1:6" x14ac:dyDescent="0.25">
      <c r="A70" t="s">
        <v>6</v>
      </c>
      <c r="B70" t="s">
        <v>9</v>
      </c>
      <c r="C70" t="s">
        <v>15</v>
      </c>
      <c r="D70" t="s">
        <v>85</v>
      </c>
      <c r="E70" t="s">
        <v>1090</v>
      </c>
      <c r="F70" t="str">
        <f>HYPERLINK("C:\Users\longueni\Desktop\Chubb produits code\Fiche catalogue\Détection incendie\Détecteur _ socle\6500\CAT-CS_04_83-01_Fiche catalogue - 6500R_RS.pdf", "Fiche Produit")</f>
        <v>Fiche Produit</v>
      </c>
    </row>
    <row r="71" spans="1:6" x14ac:dyDescent="0.25">
      <c r="A71" t="s">
        <v>6</v>
      </c>
      <c r="B71" t="s">
        <v>9</v>
      </c>
      <c r="C71" t="s">
        <v>15</v>
      </c>
      <c r="D71" t="s">
        <v>86</v>
      </c>
      <c r="E71" t="s">
        <v>1091</v>
      </c>
      <c r="F71" t="str">
        <f>HYPERLINK("C:\Users\longueni\Desktop\Chubb produits code\Fiche catalogue\Détection incendie\Détecteur _ socle\6500\CAT-CS_04_81-01_Fiche catalogue - 6500R_RS_F_FS.pdf", "Fiche Produit")</f>
        <v>Fiche Produit</v>
      </c>
    </row>
    <row r="72" spans="1:6" x14ac:dyDescent="0.25">
      <c r="A72" t="s">
        <v>6</v>
      </c>
      <c r="B72" t="s">
        <v>9</v>
      </c>
      <c r="C72" t="s">
        <v>15</v>
      </c>
      <c r="D72" t="s">
        <v>87</v>
      </c>
      <c r="E72" t="s">
        <v>1092</v>
      </c>
      <c r="F72" t="str">
        <f>HYPERLINK("C:\Users\longueni\Desktop\Chubb produits code\CTLG-9001639_Catalogue - Produits et Systèmes CHUBB.pdf", "Fiche Produit")</f>
        <v>Fiche Produit</v>
      </c>
    </row>
    <row r="73" spans="1:6" x14ac:dyDescent="0.25">
      <c r="A73" t="s">
        <v>6</v>
      </c>
      <c r="B73" t="s">
        <v>9</v>
      </c>
      <c r="C73" t="s">
        <v>15</v>
      </c>
      <c r="D73" t="s">
        <v>88</v>
      </c>
      <c r="E73" t="s">
        <v>1093</v>
      </c>
      <c r="F73" t="str">
        <f>HYPERLINK("C:\Users\longueni\Desktop\Chubb produits code\CTLG-9001639_Catalogue - Produits et Systèmes CHUBB.pdf", "Fiche Produit")</f>
        <v>Fiche Produit</v>
      </c>
    </row>
    <row r="74" spans="1:6" x14ac:dyDescent="0.25">
      <c r="A74" t="s">
        <v>6</v>
      </c>
      <c r="B74" t="s">
        <v>9</v>
      </c>
      <c r="C74" t="s">
        <v>15</v>
      </c>
      <c r="D74" t="s">
        <v>89</v>
      </c>
      <c r="E74" t="s">
        <v>1094</v>
      </c>
      <c r="F74" t="str">
        <f>HYPERLINK("C:\Users\longueni\Desktop\Chubb produits code\Fiche catalogue\Détection incendie\Détecteur _ socle\6500\CAT-CS_04_83-02_Fiche catalogue - 6500F_FS.pdf", "Fiche Produit")</f>
        <v>Fiche Produit</v>
      </c>
    </row>
    <row r="75" spans="1:6" x14ac:dyDescent="0.25">
      <c r="A75" t="s">
        <v>6</v>
      </c>
      <c r="B75" t="s">
        <v>9</v>
      </c>
      <c r="C75" t="s">
        <v>15</v>
      </c>
      <c r="D75" t="s">
        <v>90</v>
      </c>
      <c r="E75" t="s">
        <v>1095</v>
      </c>
      <c r="F75" t="str">
        <f>HYPERLINK("C:\Users\longueni\Desktop\Chubb produits code\Fiche catalogue\Détection incendie\Détecteur _ socle\6500\CAT-CS_04_83-01_Fiche catalogue - 6500R_RS.pdf", "Fiche Produit")</f>
        <v>Fiche Produit</v>
      </c>
    </row>
    <row r="76" spans="1:6" x14ac:dyDescent="0.25">
      <c r="A76" t="s">
        <v>6</v>
      </c>
      <c r="B76" t="s">
        <v>9</v>
      </c>
      <c r="C76" t="s">
        <v>15</v>
      </c>
      <c r="D76" t="s">
        <v>91</v>
      </c>
      <c r="E76" t="s">
        <v>1096</v>
      </c>
      <c r="F76" t="str">
        <f>HYPERLINK("C:\Users\longueni\Desktop\Chubb produits code\Fiche catalogue\Détection incendie\Détecteur _ socle\6500\CAT-CS_04_83-01_Fiche catalogue - 6500R_RS.pdf", "Fiche Produit")</f>
        <v>Fiche Produit</v>
      </c>
    </row>
    <row r="77" spans="1:6" x14ac:dyDescent="0.25">
      <c r="A77" t="s">
        <v>6</v>
      </c>
      <c r="B77" t="s">
        <v>9</v>
      </c>
      <c r="C77" t="s">
        <v>15</v>
      </c>
      <c r="D77" t="s">
        <v>92</v>
      </c>
      <c r="E77" t="s">
        <v>1097</v>
      </c>
      <c r="F77" t="str">
        <f>HYPERLINK("C:\Users\longueni\Desktop\Chubb produits code\Fiche catalogue\Détection incendie\Détecteur _ socle\6500\CAT-CS_04_83-02_Fiche catalogue - 6500F_FS.pdf", "Fiche Produit")</f>
        <v>Fiche Produit</v>
      </c>
    </row>
    <row r="78" spans="1:6" x14ac:dyDescent="0.25">
      <c r="A78" t="s">
        <v>6</v>
      </c>
      <c r="B78" t="s">
        <v>9</v>
      </c>
      <c r="C78" t="s">
        <v>15</v>
      </c>
      <c r="D78" t="s">
        <v>93</v>
      </c>
      <c r="E78" t="s">
        <v>1098</v>
      </c>
      <c r="F78" t="str">
        <f>HYPERLINK("C:\Users\longueni\Desktop\Chubb produits code\Fiche catalogue\Détection incendie\Détecteur _ socle\6500\CAT-CS_04_83-01_Fiche catalogue - 6500R_RS.pdf", "Fiche Produit")</f>
        <v>Fiche Produit</v>
      </c>
    </row>
    <row r="79" spans="1:6" x14ac:dyDescent="0.25">
      <c r="A79" t="s">
        <v>6</v>
      </c>
      <c r="B79" t="s">
        <v>9</v>
      </c>
      <c r="C79" t="s">
        <v>15</v>
      </c>
      <c r="D79" t="s">
        <v>94</v>
      </c>
      <c r="E79" t="s">
        <v>1099</v>
      </c>
      <c r="F79" t="str">
        <f>HYPERLINK("C:\Users\longueni\Desktop\Chubb produits code\Fiche catalogue\Détection incendie\Radio\R.Scan+\CAT-027_Fiche catalogue - Gamme radio R.Scan+.pdf", "Fiche Produit")</f>
        <v>Fiche Produit</v>
      </c>
    </row>
    <row r="80" spans="1:6" x14ac:dyDescent="0.25">
      <c r="A80" t="s">
        <v>6</v>
      </c>
      <c r="B80" t="s">
        <v>9</v>
      </c>
      <c r="C80" t="s">
        <v>15</v>
      </c>
      <c r="D80" t="s">
        <v>95</v>
      </c>
      <c r="E80" t="s">
        <v>1099</v>
      </c>
      <c r="F80" t="str">
        <f>HYPERLINK("C:\Users\longueni\Desktop\Chubb produits code\Fiche catalogue\Détection incendie\Radio\R.Scan+\CAT-027_Fiche catalogue - Gamme radio R.Scan+.pdf", "Fiche Produit")</f>
        <v>Fiche Produit</v>
      </c>
    </row>
    <row r="81" spans="1:6" x14ac:dyDescent="0.25">
      <c r="A81" t="s">
        <v>6</v>
      </c>
      <c r="B81" t="s">
        <v>9</v>
      </c>
      <c r="C81" t="s">
        <v>15</v>
      </c>
      <c r="D81" t="s">
        <v>96</v>
      </c>
      <c r="E81" t="s">
        <v>1100</v>
      </c>
      <c r="F81" t="str">
        <f>HYPERLINK("C:\Users\longueni\Desktop\Chubb produits code\CTLG-9001639_Catalogue - Produits et Systèmes CHUBB.pdf", "Fiche Produit")</f>
        <v>Fiche Produit</v>
      </c>
    </row>
    <row r="82" spans="1:6" x14ac:dyDescent="0.25">
      <c r="A82" t="s">
        <v>6</v>
      </c>
      <c r="B82" t="s">
        <v>9</v>
      </c>
      <c r="C82" t="s">
        <v>15</v>
      </c>
      <c r="D82" t="s">
        <v>97</v>
      </c>
      <c r="E82" t="s">
        <v>1101</v>
      </c>
      <c r="F82" t="str">
        <f>HYPERLINK("C:\Users\longueni\Desktop\Chubb produits code\Fiche catalogue\Détection incendie\Transmetteur\CAT-161_Fiche catalogue - Transmetteur ATS1500A-IP-MM.pdf", "Fiche Produit")</f>
        <v>Fiche Produit</v>
      </c>
    </row>
    <row r="83" spans="1:6" x14ac:dyDescent="0.25">
      <c r="A83" t="s">
        <v>6</v>
      </c>
      <c r="B83" t="s">
        <v>9</v>
      </c>
      <c r="C83" t="s">
        <v>15</v>
      </c>
      <c r="D83" t="s">
        <v>98</v>
      </c>
      <c r="E83" t="s">
        <v>1102</v>
      </c>
      <c r="F83" t="str">
        <f>HYPERLINK("C:\Users\longueni\Desktop\Chubb produits code\Fiche catalogue\Détection incendie\Transmetteur\CAT-161_Fiche catalogue - Transmetteur ATS1500A-IP-MM.pdf", "Fiche Produit")</f>
        <v>Fiche Produit</v>
      </c>
    </row>
    <row r="84" spans="1:6" x14ac:dyDescent="0.25">
      <c r="A84" t="s">
        <v>6</v>
      </c>
      <c r="B84" t="s">
        <v>9</v>
      </c>
      <c r="C84" t="s">
        <v>15</v>
      </c>
      <c r="D84" t="s">
        <v>99</v>
      </c>
      <c r="E84" t="s">
        <v>1103</v>
      </c>
      <c r="F84" t="str">
        <f>HYPERLINK("C:\Users\longueni\Desktop\Chubb produits code\Fiche catalogue\Détection incendie\Transmetteur\CAT-161_Fiche catalogue - Transmetteur ATS1500A-IP-MM.pdf", "Fiche Produit")</f>
        <v>Fiche Produit</v>
      </c>
    </row>
    <row r="85" spans="1:6" x14ac:dyDescent="0.25">
      <c r="A85" t="s">
        <v>6</v>
      </c>
      <c r="B85" t="s">
        <v>9</v>
      </c>
      <c r="C85" t="s">
        <v>15</v>
      </c>
      <c r="D85" t="s">
        <v>100</v>
      </c>
      <c r="E85" t="s">
        <v>1104</v>
      </c>
      <c r="F85" t="str">
        <f>HYPERLINK("C:\Users\longueni\Desktop\Chubb produits code\Fiche catalogue\Détection incendie\Transmetteur\CAT-161_Fiche catalogue - Transmetteur ATS1500A-IP-MM.pdf", "Fiche Produit")</f>
        <v>Fiche Produit</v>
      </c>
    </row>
    <row r="86" spans="1:6" x14ac:dyDescent="0.25">
      <c r="A86" t="s">
        <v>6</v>
      </c>
      <c r="B86" t="s">
        <v>9</v>
      </c>
      <c r="C86" t="s">
        <v>15</v>
      </c>
      <c r="D86" t="s">
        <v>101</v>
      </c>
      <c r="E86" t="s">
        <v>1105</v>
      </c>
      <c r="F86" t="str">
        <f>HYPERLINK("C:\Users\longueni\Desktop\Chubb produits code\Fiche catalogue\Détection incendie\Transmetteur\CAT-161_Fiche catalogue - Transmetteur ATS1500A-IP-MM.pdf", "Fiche Produit")</f>
        <v>Fiche Produit</v>
      </c>
    </row>
    <row r="87" spans="1:6" x14ac:dyDescent="0.25">
      <c r="A87" t="s">
        <v>6</v>
      </c>
      <c r="B87" t="s">
        <v>9</v>
      </c>
      <c r="C87" t="s">
        <v>15</v>
      </c>
      <c r="D87" t="s">
        <v>102</v>
      </c>
      <c r="E87" t="s">
        <v>1106</v>
      </c>
      <c r="F87" t="str">
        <f>HYPERLINK("C:\Users\longueni\Desktop\Chubb produits code\Fiche catalogue\Détection incendie\Alimentation\CAT-CS_08_29-01_Fiche catalogue - SLAT AES230VC85SB.pdf", "Fiche Produit")</f>
        <v>Fiche Produit</v>
      </c>
    </row>
    <row r="88" spans="1:6" x14ac:dyDescent="0.25">
      <c r="A88" t="s">
        <v>6</v>
      </c>
      <c r="B88" t="s">
        <v>9</v>
      </c>
      <c r="C88" t="s">
        <v>15</v>
      </c>
      <c r="D88" t="s">
        <v>103</v>
      </c>
      <c r="E88" t="s">
        <v>1107</v>
      </c>
      <c r="F88" t="str">
        <f>HYPERLINK("C:\Users\longueni\Desktop\Chubb produits code\Fiche catalogue\Détection incendie\Alimentation\CAT-140_Fiche catalogue - AES BOOSTEES SLAT.pdf", "Fiche Produit")</f>
        <v>Fiche Produit</v>
      </c>
    </row>
    <row r="89" spans="1:6" x14ac:dyDescent="0.25">
      <c r="A89" t="s">
        <v>6</v>
      </c>
      <c r="B89" t="s">
        <v>9</v>
      </c>
      <c r="C89" t="s">
        <v>15</v>
      </c>
      <c r="D89" t="s">
        <v>104</v>
      </c>
      <c r="E89" t="s">
        <v>1108</v>
      </c>
      <c r="F89" t="str">
        <f>HYPERLINK("C:\Users\longueni\Desktop\Chubb produits code\Fiche catalogue\Détection incendie\Détecteur _ socle\MODULASER\CAT-164_Fiche catalogue - Détecteur STRATOS Modulaser.pdf", "Fiche Produit")</f>
        <v>Fiche Produit</v>
      </c>
    </row>
    <row r="90" spans="1:6" x14ac:dyDescent="0.25">
      <c r="A90" t="s">
        <v>6</v>
      </c>
      <c r="B90" t="s">
        <v>9</v>
      </c>
      <c r="C90" t="s">
        <v>15</v>
      </c>
      <c r="D90" t="s">
        <v>105</v>
      </c>
      <c r="E90" t="s">
        <v>1109</v>
      </c>
      <c r="F90" t="str">
        <f>HYPERLINK("C:\Users\longueni\Desktop\Chubb produits code\Fiche catalogue\Détection incendie\Détecteur _ socle\MODULASER\CAT-164_Fiche catalogue - Détecteur STRATOS Modulaser.pdf", "Fiche Produit")</f>
        <v>Fiche Produit</v>
      </c>
    </row>
    <row r="91" spans="1:6" x14ac:dyDescent="0.25">
      <c r="A91" t="s">
        <v>6</v>
      </c>
      <c r="B91" t="s">
        <v>9</v>
      </c>
      <c r="C91" t="s">
        <v>15</v>
      </c>
      <c r="D91" t="s">
        <v>106</v>
      </c>
      <c r="E91" t="s">
        <v>1110</v>
      </c>
      <c r="F91" t="str">
        <f>HYPERLINK("C:\Users\longueni\Desktop\Chubb produits code\Fiche catalogue\Détection incendie\Radio\PPMS\CAT-162_Fiche catalogue - PPMS à Pile RF Chubb.pdf", "Fiche Produit")</f>
        <v>Fiche Produit</v>
      </c>
    </row>
    <row r="92" spans="1:6" x14ac:dyDescent="0.25">
      <c r="A92" t="s">
        <v>6</v>
      </c>
      <c r="B92" t="s">
        <v>9</v>
      </c>
      <c r="C92" t="s">
        <v>15</v>
      </c>
      <c r="D92" t="s">
        <v>107</v>
      </c>
      <c r="E92" t="s">
        <v>1110</v>
      </c>
      <c r="F92" t="str">
        <f>HYPERLINK("C:\Users\longueni\Desktop\Chubb produits code\Fiche catalogue\Détection incendie\Radio\PPMS\CAT-162_Fiche catalogue - PPMS à Pile RF Chubb.pdf", "Fiche Produit")</f>
        <v>Fiche Produit</v>
      </c>
    </row>
    <row r="93" spans="1:6" x14ac:dyDescent="0.25">
      <c r="A93" t="s">
        <v>6</v>
      </c>
      <c r="B93" t="s">
        <v>9</v>
      </c>
      <c r="C93" t="s">
        <v>15</v>
      </c>
      <c r="D93" t="s">
        <v>108</v>
      </c>
      <c r="E93" t="s">
        <v>1110</v>
      </c>
      <c r="F93" t="str">
        <f>HYPERLINK("C:\Users\longueni\Desktop\Chubb produits code\Fiche catalogue\Détection incendie\Radio\PPMS\CAT-162_Fiche catalogue - PPMS à Pile RF Chubb.pdf", "Fiche Produit")</f>
        <v>Fiche Produit</v>
      </c>
    </row>
    <row r="94" spans="1:6" x14ac:dyDescent="0.25">
      <c r="A94" t="s">
        <v>6</v>
      </c>
      <c r="B94" t="s">
        <v>9</v>
      </c>
      <c r="C94" t="s">
        <v>15</v>
      </c>
      <c r="D94" t="s">
        <v>109</v>
      </c>
      <c r="E94" t="s">
        <v>1110</v>
      </c>
      <c r="F94" t="str">
        <f>HYPERLINK("C:\Users\longueni\Desktop\Chubb produits code\Fiche catalogue\Détection incendie\Radio\PPMS\CAT-162_Fiche catalogue - PPMS à Pile RF Chubb.pdf", "Fiche Produit")</f>
        <v>Fiche Produit</v>
      </c>
    </row>
    <row r="95" spans="1:6" x14ac:dyDescent="0.25">
      <c r="A95" t="s">
        <v>6</v>
      </c>
      <c r="B95" t="s">
        <v>9</v>
      </c>
      <c r="C95" t="s">
        <v>15</v>
      </c>
      <c r="D95" t="s">
        <v>110</v>
      </c>
      <c r="E95" t="s">
        <v>1111</v>
      </c>
      <c r="F95" t="str">
        <f>HYPERLINK("C:\Users\longueni\Desktop\Chubb produits code\Fiche catalogue\CAT-229_Fiche catalogue - Etiquettes activité Extinction automatique.pdf", "Fiche Produit")</f>
        <v>Fiche Produit</v>
      </c>
    </row>
    <row r="96" spans="1:6" x14ac:dyDescent="0.25">
      <c r="A96" t="s">
        <v>6</v>
      </c>
      <c r="B96" t="s">
        <v>9</v>
      </c>
      <c r="C96" t="s">
        <v>15</v>
      </c>
      <c r="D96" t="s">
        <v>111</v>
      </c>
      <c r="E96" t="s">
        <v>1112</v>
      </c>
      <c r="F96" t="str">
        <f>HYPERLINK("C:\Users\longueni\Desktop\Chubb produits code\Fiche catalogue\CAT-229_Fiche catalogue - Etiquettes activité Extinction automatique.pdf", "Fiche Produit")</f>
        <v>Fiche Produit</v>
      </c>
    </row>
    <row r="97" spans="1:6" x14ac:dyDescent="0.25">
      <c r="A97" t="s">
        <v>6</v>
      </c>
      <c r="B97" t="s">
        <v>9</v>
      </c>
      <c r="C97" t="s">
        <v>15</v>
      </c>
      <c r="D97" t="s">
        <v>112</v>
      </c>
      <c r="E97" t="s">
        <v>1113</v>
      </c>
      <c r="F97" t="str">
        <f>HYPERLINK("C:\Users\longueni\Desktop\Chubb produits code\Fiche catalogue\CAT-229_Fiche catalogue - Etiquettes activité Extinction automatique.pdf", "Fiche Produit")</f>
        <v>Fiche Produit</v>
      </c>
    </row>
    <row r="98" spans="1:6" x14ac:dyDescent="0.25">
      <c r="A98" t="s">
        <v>6</v>
      </c>
      <c r="B98" t="s">
        <v>9</v>
      </c>
      <c r="C98" t="s">
        <v>15</v>
      </c>
      <c r="D98" t="s">
        <v>113</v>
      </c>
      <c r="E98" t="s">
        <v>1114</v>
      </c>
      <c r="F98" t="str">
        <f>HYPERLINK("C:\Users\longueni\Desktop\Chubb produits code\Fiche catalogue\Extinction\Centrale\UTEX.Com\CAT-CS_N_16-01_Fiche catalogue - UTEX Com.pdf", "Fiche Produit")</f>
        <v>Fiche Produit</v>
      </c>
    </row>
    <row r="99" spans="1:6" x14ac:dyDescent="0.25">
      <c r="A99" t="s">
        <v>6</v>
      </c>
      <c r="B99" t="s">
        <v>9</v>
      </c>
      <c r="C99" t="s">
        <v>15</v>
      </c>
      <c r="D99" t="s">
        <v>114</v>
      </c>
      <c r="E99" t="s">
        <v>1114</v>
      </c>
      <c r="F99" t="str">
        <f>HYPERLINK("C:\Users\longueni\Desktop\Chubb produits code\Fiche catalogue\Extinction\Centrale\UTEX.Com\CAT-CS_N_16-01_Fiche catalogue - UTEX Com.pdf", "Fiche Produit")</f>
        <v>Fiche Produit</v>
      </c>
    </row>
    <row r="100" spans="1:6" x14ac:dyDescent="0.25">
      <c r="A100" t="s">
        <v>6</v>
      </c>
      <c r="B100" t="s">
        <v>9</v>
      </c>
      <c r="C100" t="s">
        <v>15</v>
      </c>
      <c r="D100" t="s">
        <v>115</v>
      </c>
      <c r="E100" t="s">
        <v>1115</v>
      </c>
      <c r="F100" t="str">
        <f>HYPERLINK("C:\Users\longueni\Desktop\Chubb produits code\Fiche catalogue\Détection incendie\Alarme technique\AT8\CAT-CS_03_13-01_Fiche catalogue - AT8 _ AT16.pdf", "Fiche Produit")</f>
        <v>Fiche Produit</v>
      </c>
    </row>
    <row r="101" spans="1:6" x14ac:dyDescent="0.25">
      <c r="A101" t="s">
        <v>6</v>
      </c>
      <c r="B101" t="s">
        <v>9</v>
      </c>
      <c r="C101" t="s">
        <v>15</v>
      </c>
      <c r="D101" t="s">
        <v>116</v>
      </c>
      <c r="E101" t="s">
        <v>1116</v>
      </c>
      <c r="F101" t="str">
        <f>HYPERLINK("C:\Users\longueni\Desktop\Chubb produits code\Fiche catalogue\Détection incendie\Alarme technique\AT4\CAT-CS_03_12-01_Fiche catalogue - AT4.pdf", "Fiche Produit")</f>
        <v>Fiche Produit</v>
      </c>
    </row>
    <row r="102" spans="1:6" x14ac:dyDescent="0.25">
      <c r="A102" t="s">
        <v>6</v>
      </c>
      <c r="B102" t="s">
        <v>9</v>
      </c>
      <c r="C102" t="s">
        <v>15</v>
      </c>
      <c r="D102" t="s">
        <v>117</v>
      </c>
      <c r="E102" t="s">
        <v>1117</v>
      </c>
      <c r="F102" t="str">
        <f>HYPERLINK("C:\Users\longueni\Desktop\Chubb produits code\Fiche catalogue\Détection incendie\Alarme technique\AT8\CAT-CS_03_13-01_Fiche catalogue - AT8 _ AT16.pdf", "Fiche Produit")</f>
        <v>Fiche Produit</v>
      </c>
    </row>
    <row r="103" spans="1:6" x14ac:dyDescent="0.25">
      <c r="A103" t="s">
        <v>6</v>
      </c>
      <c r="B103" t="s">
        <v>9</v>
      </c>
      <c r="C103" t="s">
        <v>15</v>
      </c>
      <c r="D103" t="s">
        <v>118</v>
      </c>
      <c r="E103" t="s">
        <v>1117</v>
      </c>
      <c r="F103" t="str">
        <f>HYPERLINK("C:\Users\longueni\Desktop\Chubb produits code\Fiche catalogue\Détection incendie\Alarme technique\AT8\CAT-CS_03_13-01_Fiche catalogue - AT8 _ AT16.pdf", "Fiche Produit")</f>
        <v>Fiche Produit</v>
      </c>
    </row>
    <row r="104" spans="1:6" x14ac:dyDescent="0.25">
      <c r="A104" t="s">
        <v>6</v>
      </c>
      <c r="B104" t="s">
        <v>9</v>
      </c>
      <c r="C104" t="s">
        <v>15</v>
      </c>
      <c r="D104" t="s">
        <v>119</v>
      </c>
      <c r="E104" t="s">
        <v>1118</v>
      </c>
      <c r="F104" t="str">
        <f>HYPERLINK("C:\Users\longueni\Desktop\Chubb produits code\Fiche catalogue\Détection incendie\DAS_DAC\CAT-115_Fiche catalogue - Maintien magnétique Rupture 20KG.pdf", "Fiche Produit")</f>
        <v>Fiche Produit</v>
      </c>
    </row>
    <row r="105" spans="1:6" x14ac:dyDescent="0.25">
      <c r="A105" t="s">
        <v>6</v>
      </c>
      <c r="B105" t="s">
        <v>9</v>
      </c>
      <c r="C105" t="s">
        <v>15</v>
      </c>
      <c r="D105" t="s">
        <v>120</v>
      </c>
      <c r="E105" t="s">
        <v>1119</v>
      </c>
      <c r="F105" t="str">
        <f>HYPERLINK("C:\Users\longueni\Desktop\Chubb produits code\Fiche catalogue\Détection incendie\Détecteur _ socle\VESDA\CAT-054_Fiche catalogue - Soufflage automatique Vesda - THE PAC.pdf", "Fiche Produit")</f>
        <v>Fiche Produit</v>
      </c>
    </row>
    <row r="106" spans="1:6" x14ac:dyDescent="0.25">
      <c r="A106" t="s">
        <v>6</v>
      </c>
      <c r="B106" t="s">
        <v>9</v>
      </c>
      <c r="C106" t="s">
        <v>15</v>
      </c>
      <c r="D106" t="s">
        <v>121</v>
      </c>
      <c r="E106" t="s">
        <v>1120</v>
      </c>
      <c r="F106" t="str">
        <f>HYPERLINK("C:\Users\longueni\Desktop\Chubb produits code\Fiche catalogue\Détection incendie\supervision\OPTIMA VISION\CAT-029_Fiche catalogue - Optima Vision UAE.pdf", "Fiche Produit")</f>
        <v>Fiche Produit</v>
      </c>
    </row>
    <row r="107" spans="1:6" x14ac:dyDescent="0.25">
      <c r="A107" t="s">
        <v>6</v>
      </c>
      <c r="B107" t="s">
        <v>9</v>
      </c>
      <c r="C107" t="s">
        <v>15</v>
      </c>
      <c r="D107" t="s">
        <v>122</v>
      </c>
      <c r="E107" t="s">
        <v>1121</v>
      </c>
      <c r="F107" t="str">
        <f t="shared" ref="F107:F112" si="0">HYPERLINK("C:\Users\longueni\Desktop\Chubb produits code\Fiche catalogue\CAT-229_Fiche catalogue - Etiquettes activité Extinction automatique.pdf", "Fiche Produit")</f>
        <v>Fiche Produit</v>
      </c>
    </row>
    <row r="108" spans="1:6" x14ac:dyDescent="0.25">
      <c r="A108" t="s">
        <v>6</v>
      </c>
      <c r="B108" t="s">
        <v>9</v>
      </c>
      <c r="C108" t="s">
        <v>15</v>
      </c>
      <c r="D108" t="s">
        <v>123</v>
      </c>
      <c r="E108" t="s">
        <v>1121</v>
      </c>
      <c r="F108" t="str">
        <f t="shared" si="0"/>
        <v>Fiche Produit</v>
      </c>
    </row>
    <row r="109" spans="1:6" x14ac:dyDescent="0.25">
      <c r="A109" t="s">
        <v>6</v>
      </c>
      <c r="B109" t="s">
        <v>9</v>
      </c>
      <c r="C109" t="s">
        <v>15</v>
      </c>
      <c r="D109" t="s">
        <v>124</v>
      </c>
      <c r="E109" t="s">
        <v>1121</v>
      </c>
      <c r="F109" t="str">
        <f t="shared" si="0"/>
        <v>Fiche Produit</v>
      </c>
    </row>
    <row r="110" spans="1:6" x14ac:dyDescent="0.25">
      <c r="A110" t="s">
        <v>6</v>
      </c>
      <c r="B110" t="s">
        <v>9</v>
      </c>
      <c r="C110" t="s">
        <v>15</v>
      </c>
      <c r="D110" t="s">
        <v>125</v>
      </c>
      <c r="E110" t="s">
        <v>1121</v>
      </c>
      <c r="F110" t="str">
        <f t="shared" si="0"/>
        <v>Fiche Produit</v>
      </c>
    </row>
    <row r="111" spans="1:6" x14ac:dyDescent="0.25">
      <c r="A111" t="s">
        <v>6</v>
      </c>
      <c r="B111" t="s">
        <v>9</v>
      </c>
      <c r="C111" t="s">
        <v>15</v>
      </c>
      <c r="D111" t="s">
        <v>126</v>
      </c>
      <c r="E111" t="s">
        <v>1121</v>
      </c>
      <c r="F111" t="str">
        <f t="shared" si="0"/>
        <v>Fiche Produit</v>
      </c>
    </row>
    <row r="112" spans="1:6" x14ac:dyDescent="0.25">
      <c r="A112" t="s">
        <v>6</v>
      </c>
      <c r="B112" t="s">
        <v>9</v>
      </c>
      <c r="C112" t="s">
        <v>15</v>
      </c>
      <c r="D112" t="s">
        <v>127</v>
      </c>
      <c r="E112" t="s">
        <v>1121</v>
      </c>
      <c r="F112" t="str">
        <f t="shared" si="0"/>
        <v>Fiche Produit</v>
      </c>
    </row>
    <row r="113" spans="1:6" x14ac:dyDescent="0.25">
      <c r="A113" t="s">
        <v>6</v>
      </c>
      <c r="B113" t="s">
        <v>9</v>
      </c>
      <c r="C113" t="s">
        <v>15</v>
      </c>
      <c r="D113" t="s">
        <v>128</v>
      </c>
      <c r="E113" t="s">
        <v>1122</v>
      </c>
      <c r="F113" t="str">
        <f>HYPERLINK("C:\Users\longueni\Desktop\Chubb produits code\Fiche catalogue\Détection incendie\Dispositif sonore _ lumineux\CAT-CS_04_61-01_Fiche catalogue - Socle Buzzer Scan.pdf", "Fiche Produit")</f>
        <v>Fiche Produit</v>
      </c>
    </row>
    <row r="114" spans="1:6" x14ac:dyDescent="0.25">
      <c r="A114" t="s">
        <v>6</v>
      </c>
      <c r="B114" t="s">
        <v>9</v>
      </c>
      <c r="C114" t="s">
        <v>15</v>
      </c>
      <c r="D114" t="s">
        <v>129</v>
      </c>
      <c r="E114" t="s">
        <v>1123</v>
      </c>
      <c r="F114" t="str">
        <f>HYPERLINK("C:\Users\longueni\Desktop\Chubb produits code\Fiche catalogue\Extinction\Centrale\UTEX.Com\CAT-CS_N_16-01_Fiche catalogue - UTEX Com.pdf", "Fiche Produit")</f>
        <v>Fiche Produit</v>
      </c>
    </row>
    <row r="115" spans="1:6" x14ac:dyDescent="0.25">
      <c r="A115" t="s">
        <v>6</v>
      </c>
      <c r="B115" t="s">
        <v>9</v>
      </c>
      <c r="C115" t="s">
        <v>15</v>
      </c>
      <c r="D115" t="s">
        <v>130</v>
      </c>
      <c r="E115" t="s">
        <v>1123</v>
      </c>
      <c r="F115" t="str">
        <f>HYPERLINK("C:\Users\longueni\Desktop\Chubb produits code\Fiche catalogue\Extinction\Centrale\UTEX.Com\CAT-CS_N_16-01_Fiche catalogue - UTEX Com.pdf", "Fiche Produit")</f>
        <v>Fiche Produit</v>
      </c>
    </row>
    <row r="116" spans="1:6" x14ac:dyDescent="0.25">
      <c r="A116" t="s">
        <v>6</v>
      </c>
      <c r="B116" t="s">
        <v>9</v>
      </c>
      <c r="C116" t="s">
        <v>15</v>
      </c>
      <c r="D116" t="s">
        <v>131</v>
      </c>
      <c r="E116" t="s">
        <v>1124</v>
      </c>
      <c r="F116" t="str">
        <f>HYPERLINK("C:\Users\longueni\Desktop\Chubb produits code\Fiche catalogue\Détection incendie\Détecteur _ socle\CAT-CS_04_97-01_Fiche catalogue - Détecteur linéaire de chaleur DTS.pdf", "Fiche Produit")</f>
        <v>Fiche Produit</v>
      </c>
    </row>
    <row r="117" spans="1:6" x14ac:dyDescent="0.25">
      <c r="A117" t="s">
        <v>6</v>
      </c>
      <c r="B117" t="s">
        <v>9</v>
      </c>
      <c r="C117" t="s">
        <v>15</v>
      </c>
      <c r="D117" t="s">
        <v>132</v>
      </c>
      <c r="E117" t="s">
        <v>1125</v>
      </c>
      <c r="F117" t="str">
        <f>HYPERLINK("C:\Users\longueni\Desktop\Chubb produits code\CTLG-9001639_Catalogue - Produits et Systèmes CHUBB.pdf", "Fiche Produit")</f>
        <v>Fiche Produit</v>
      </c>
    </row>
    <row r="118" spans="1:6" x14ac:dyDescent="0.25">
      <c r="A118" t="s">
        <v>6</v>
      </c>
      <c r="B118" t="s">
        <v>9</v>
      </c>
      <c r="C118" t="s">
        <v>15</v>
      </c>
      <c r="D118" t="s">
        <v>133</v>
      </c>
      <c r="E118" t="s">
        <v>1126</v>
      </c>
      <c r="F118" t="str">
        <f>HYPERLINK("C:\Users\longueni\Desktop\Chubb produits code\Fiche catalogue\Détection incendie\Transmetteur\CAT-161_Fiche catalogue - Transmetteur ATS1500A-IP-MM.pdf", "Fiche Produit")</f>
        <v>Fiche Produit</v>
      </c>
    </row>
    <row r="119" spans="1:6" x14ac:dyDescent="0.25">
      <c r="A119" t="s">
        <v>6</v>
      </c>
      <c r="B119" t="s">
        <v>9</v>
      </c>
      <c r="C119" t="s">
        <v>15</v>
      </c>
      <c r="D119" t="s">
        <v>134</v>
      </c>
      <c r="E119" t="s">
        <v>1127</v>
      </c>
      <c r="F119" t="str">
        <f>HYPERLINK("C:\Users\longueni\Desktop\Chubb produits code\Fiche catalogue\Détection incendie\Détecteur _ socle\6500\CAT-CS_04_81-01_Fiche catalogue - 6500R_RS_F_FS.pdf", "Fiche Produit")</f>
        <v>Fiche Produit</v>
      </c>
    </row>
    <row r="120" spans="1:6" x14ac:dyDescent="0.25">
      <c r="A120" t="s">
        <v>6</v>
      </c>
      <c r="B120" t="s">
        <v>9</v>
      </c>
      <c r="C120" t="s">
        <v>15</v>
      </c>
      <c r="D120" t="s">
        <v>135</v>
      </c>
      <c r="E120" t="s">
        <v>1128</v>
      </c>
      <c r="F120" t="str">
        <f>HYPERLINK("C:\Users\longueni\Desktop\Chubb produits code\Fiche catalogue\Détection incendie\Détecteur _ socle\6500\CAT-CS_04_81-01_Fiche catalogue - 6500R_RS_F_FS.pdf", "Fiche Produit")</f>
        <v>Fiche Produit</v>
      </c>
    </row>
    <row r="121" spans="1:6" x14ac:dyDescent="0.25">
      <c r="A121" t="s">
        <v>6</v>
      </c>
      <c r="B121" t="s">
        <v>9</v>
      </c>
      <c r="C121" t="s">
        <v>15</v>
      </c>
      <c r="D121" t="s">
        <v>136</v>
      </c>
      <c r="E121" t="s">
        <v>1129</v>
      </c>
      <c r="F121" t="str">
        <f>HYPERLINK("C:\Users\longueni\Desktop\Chubb produits code\Fiche catalogue\Détection incendie\Détecteur _ socle\6500\CAT-CS_04_81-01_Fiche catalogue - 6500R_RS_F_FS.pdf", "Fiche Produit")</f>
        <v>Fiche Produit</v>
      </c>
    </row>
    <row r="122" spans="1:6" x14ac:dyDescent="0.25">
      <c r="A122" t="s">
        <v>6</v>
      </c>
      <c r="B122" t="s">
        <v>9</v>
      </c>
      <c r="C122" t="s">
        <v>15</v>
      </c>
      <c r="D122" t="s">
        <v>137</v>
      </c>
      <c r="E122" t="s">
        <v>1130</v>
      </c>
      <c r="F122" t="str">
        <f>HYPERLINK("C:\Users\longueni\Desktop\Chubb produits code\Fiche catalogue\Détection incendie\Accessoires_outils\CAT-CS_15_11-01_Fiche catalogue - Parafoudre TGBT Basse tension.pdf", "Fiche Produit")</f>
        <v>Fiche Produit</v>
      </c>
    </row>
    <row r="123" spans="1:6" x14ac:dyDescent="0.25">
      <c r="A123" t="s">
        <v>6</v>
      </c>
      <c r="B123" t="s">
        <v>9</v>
      </c>
      <c r="C123" t="s">
        <v>15</v>
      </c>
      <c r="D123" t="s">
        <v>138</v>
      </c>
      <c r="E123" t="s">
        <v>1131</v>
      </c>
      <c r="F123" t="str">
        <f>HYPERLINK("C:\Users\longueni\Desktop\Chubb produits code\Fiche catalogue\Détection incendie\Détecteur _ socle\CAT-CS_04_97-01_Fiche catalogue - Détecteur linéaire de chaleur DTS.pdf", "Fiche Produit")</f>
        <v>Fiche Produit</v>
      </c>
    </row>
    <row r="124" spans="1:6" x14ac:dyDescent="0.25">
      <c r="A124" t="s">
        <v>6</v>
      </c>
      <c r="B124" t="s">
        <v>9</v>
      </c>
      <c r="C124" t="s">
        <v>15</v>
      </c>
      <c r="D124" t="s">
        <v>139</v>
      </c>
      <c r="E124" t="s">
        <v>1131</v>
      </c>
      <c r="F124" t="str">
        <f>HYPERLINK("C:\Users\longueni\Desktop\Chubb produits code\Fiche catalogue\Détection incendie\Détecteur _ socle\CAT-CS_04_97-01_Fiche catalogue - Détecteur linéaire de chaleur DTS.pdf", "Fiche Produit")</f>
        <v>Fiche Produit</v>
      </c>
    </row>
    <row r="125" spans="1:6" x14ac:dyDescent="0.25">
      <c r="A125" t="s">
        <v>6</v>
      </c>
      <c r="B125" t="s">
        <v>9</v>
      </c>
      <c r="C125" t="s">
        <v>15</v>
      </c>
      <c r="D125" t="s">
        <v>140</v>
      </c>
      <c r="E125" t="s">
        <v>1132</v>
      </c>
      <c r="F125" t="str">
        <f>HYPERLINK("C:\Users\longueni\Desktop\Chubb produits code\Fiche catalogue\Détection incendie\Détecteur _ socle\CAT-CS_04_97-01_Fiche catalogue - Détecteur linéaire de chaleur DTS.pdf", "Fiche Produit")</f>
        <v>Fiche Produit</v>
      </c>
    </row>
    <row r="126" spans="1:6" x14ac:dyDescent="0.25">
      <c r="A126" t="s">
        <v>6</v>
      </c>
      <c r="B126" t="s">
        <v>9</v>
      </c>
      <c r="C126" t="s">
        <v>15</v>
      </c>
      <c r="D126" t="s">
        <v>141</v>
      </c>
      <c r="E126" t="s">
        <v>1133</v>
      </c>
      <c r="F126" t="str">
        <f>HYPERLINK("C:\Users\longueni\Desktop\Chubb produits code\Fiche catalogue\Détection incendie\Interface _ O.I. _ Report _ TRE\REPORT\CAT-CS_09_02-01_Fiche catalogue - BZ1L.pdf", "Fiche Produit")</f>
        <v>Fiche Produit</v>
      </c>
    </row>
    <row r="127" spans="1:6" x14ac:dyDescent="0.25">
      <c r="A127" t="s">
        <v>6</v>
      </c>
      <c r="B127" t="s">
        <v>9</v>
      </c>
      <c r="C127" t="s">
        <v>15</v>
      </c>
      <c r="D127" t="s">
        <v>142</v>
      </c>
      <c r="E127" t="s">
        <v>1134</v>
      </c>
      <c r="F127" t="str">
        <f>HYPERLINK("C:\Users\longueni\Desktop\Chubb produits code\CTLG-9001639_Catalogue - Produits et Systèmes CHUBB.pdf", "Fiche Produit")</f>
        <v>Fiche Produit</v>
      </c>
    </row>
    <row r="128" spans="1:6" x14ac:dyDescent="0.25">
      <c r="A128" t="s">
        <v>6</v>
      </c>
      <c r="B128" t="s">
        <v>9</v>
      </c>
      <c r="C128" t="s">
        <v>15</v>
      </c>
      <c r="D128" t="s">
        <v>143</v>
      </c>
      <c r="E128" t="s">
        <v>1135</v>
      </c>
      <c r="F128" t="str">
        <f>HYPERLINK("C:\Users\longueni\Desktop\Chubb produits code\Fiche catalogue\Détection incendie\Détecteur _ socle\C.Scan _ C.Scan+\CAT-CS_04_50-01_Fiche catalogue - C.Scan+ I.pdf", "Fiche Produit")</f>
        <v>Fiche Produit</v>
      </c>
    </row>
    <row r="129" spans="1:6" x14ac:dyDescent="0.25">
      <c r="A129" t="s">
        <v>6</v>
      </c>
      <c r="B129" t="s">
        <v>9</v>
      </c>
      <c r="C129" t="s">
        <v>15</v>
      </c>
      <c r="D129" t="s">
        <v>144</v>
      </c>
      <c r="E129" t="s">
        <v>1136</v>
      </c>
      <c r="F129" t="str">
        <f>HYPERLINK("C:\Users\longueni\Desktop\Chubb produits code\Fiche catalogue\Détection incendie\Détecteur _ socle\C.Scan _ C.Scan+\CAT-CS_04_51-01_Fiche catalogue - C.Scan+ M.pdf", "Fiche Produit")</f>
        <v>Fiche Produit</v>
      </c>
    </row>
    <row r="130" spans="1:6" x14ac:dyDescent="0.25">
      <c r="A130" t="s">
        <v>6</v>
      </c>
      <c r="B130" t="s">
        <v>9</v>
      </c>
      <c r="C130" t="s">
        <v>15</v>
      </c>
      <c r="D130" t="s">
        <v>145</v>
      </c>
      <c r="E130" t="s">
        <v>1137</v>
      </c>
      <c r="F130" t="str">
        <f>HYPERLINK("C:\Users\longueni\Desktop\Chubb produits code\CTLG-9001639_Catalogue - Produits et Systèmes CHUBB.pdf", "Fiche Produit")</f>
        <v>Fiche Produit</v>
      </c>
    </row>
    <row r="131" spans="1:6" x14ac:dyDescent="0.25">
      <c r="A131" t="s">
        <v>6</v>
      </c>
      <c r="B131" t="s">
        <v>9</v>
      </c>
      <c r="C131" t="s">
        <v>15</v>
      </c>
      <c r="D131" t="s">
        <v>146</v>
      </c>
      <c r="E131" t="s">
        <v>1138</v>
      </c>
      <c r="F131" t="str">
        <f>HYPERLINK("C:\Users\longueni\Desktop\Chubb produits code\Fiche catalogue\Détection incendie\Détecteur _ socle\CAT-CS_04_36-01_Fiche catalogue - DLD 2000.pdf", "Fiche Produit")</f>
        <v>Fiche Produit</v>
      </c>
    </row>
    <row r="132" spans="1:6" x14ac:dyDescent="0.25">
      <c r="A132" t="s">
        <v>6</v>
      </c>
      <c r="B132" t="s">
        <v>9</v>
      </c>
      <c r="C132" t="s">
        <v>15</v>
      </c>
      <c r="D132" t="s">
        <v>147</v>
      </c>
      <c r="E132" t="s">
        <v>1139</v>
      </c>
      <c r="F132" t="str">
        <f>HYPERLINK("C:\Users\longueni\Desktop\Chubb produits code\Fiche catalogue\Détection incendie\Détecteur _ socle\CAT-CS_04_36-01_Fiche catalogue - DLD 2000.pdf", "Fiche Produit")</f>
        <v>Fiche Produit</v>
      </c>
    </row>
    <row r="133" spans="1:6" x14ac:dyDescent="0.25">
      <c r="A133" t="s">
        <v>6</v>
      </c>
      <c r="B133" t="s">
        <v>9</v>
      </c>
      <c r="C133" t="s">
        <v>15</v>
      </c>
      <c r="D133" t="s">
        <v>148</v>
      </c>
      <c r="E133" t="s">
        <v>1140</v>
      </c>
      <c r="F133" t="str">
        <f>HYPERLINK("C:\Users\longueni\Desktop\Chubb produits code\Fiche catalogue\Détection incendie\Détecteur _ socle\CAT-CS_04_36-01_Fiche catalogue - DLD 2000.pdf", "Fiche Produit")</f>
        <v>Fiche Produit</v>
      </c>
    </row>
    <row r="134" spans="1:6" x14ac:dyDescent="0.25">
      <c r="A134" t="s">
        <v>6</v>
      </c>
      <c r="B134" t="s">
        <v>9</v>
      </c>
      <c r="C134" t="s">
        <v>15</v>
      </c>
      <c r="D134" t="s">
        <v>149</v>
      </c>
      <c r="E134" t="s">
        <v>1141</v>
      </c>
      <c r="F134" t="str">
        <f>HYPERLINK("C:\Users\longueni\Desktop\Chubb produits code\Fiche catalogue\Détection incendie\Détecteur _ socle\VESDA\CAT-CS_04_32-01_Fiche catalogue - VESDA LASER PLUS.pdf", "Fiche Produit")</f>
        <v>Fiche Produit</v>
      </c>
    </row>
    <row r="135" spans="1:6" x14ac:dyDescent="0.25">
      <c r="A135" t="s">
        <v>6</v>
      </c>
      <c r="B135" t="s">
        <v>9</v>
      </c>
      <c r="C135" t="s">
        <v>15</v>
      </c>
      <c r="D135" t="s">
        <v>150</v>
      </c>
      <c r="E135" t="s">
        <v>1142</v>
      </c>
      <c r="F135" t="str">
        <f>HYPERLINK("C:\Users\longueni\Desktop\Chubb produits code\Fiche catalogue\Détection incendie\Accessoires_outils\CAT-CS_01_73-01_Fiche catalogue - BOITIER TEST DAS CONTRÔLE.pdf", "Fiche Produit")</f>
        <v>Fiche Produit</v>
      </c>
    </row>
    <row r="136" spans="1:6" x14ac:dyDescent="0.25">
      <c r="A136" t="s">
        <v>6</v>
      </c>
      <c r="B136" t="s">
        <v>9</v>
      </c>
      <c r="C136" t="s">
        <v>15</v>
      </c>
      <c r="D136" t="s">
        <v>151</v>
      </c>
      <c r="E136" t="s">
        <v>1143</v>
      </c>
      <c r="F136" t="str">
        <f>HYPERLINK("C:\Users\longueni\Desktop\Chubb produits code\Fiche catalogue\Détection incendie\Détecteur _ socle\CAT-CS_04_36-01_Fiche catalogue - DLD 2000.pdf", "Fiche Produit")</f>
        <v>Fiche Produit</v>
      </c>
    </row>
    <row r="137" spans="1:6" x14ac:dyDescent="0.25">
      <c r="A137" t="s">
        <v>6</v>
      </c>
      <c r="B137" t="s">
        <v>9</v>
      </c>
      <c r="C137" t="s">
        <v>15</v>
      </c>
      <c r="D137" t="s">
        <v>152</v>
      </c>
      <c r="E137" t="s">
        <v>1143</v>
      </c>
      <c r="F137" t="str">
        <f>HYPERLINK("C:\Users\longueni\Desktop\Chubb produits code\CTLG-9001639_Catalogue - Produits et Systèmes CHUBB.pdf", "Fiche Produit")</f>
        <v>Fiche Produit</v>
      </c>
    </row>
    <row r="138" spans="1:6" x14ac:dyDescent="0.25">
      <c r="A138" t="s">
        <v>6</v>
      </c>
      <c r="B138" t="s">
        <v>9</v>
      </c>
      <c r="C138" t="s">
        <v>15</v>
      </c>
      <c r="D138" t="s">
        <v>153</v>
      </c>
      <c r="E138" t="s">
        <v>1144</v>
      </c>
      <c r="F138" t="str">
        <f>HYPERLINK("C:\Users\longueni\Desktop\Chubb produits code\Fiche catalogue\Détection incendie\Centrale\DAD SECOURU\CAT-CS_04_24-01_Fiche catalogue - DAD SECOURU.pdf", "Fiche Produit")</f>
        <v>Fiche Produit</v>
      </c>
    </row>
    <row r="139" spans="1:6" x14ac:dyDescent="0.25">
      <c r="A139" t="s">
        <v>6</v>
      </c>
      <c r="B139" t="s">
        <v>9</v>
      </c>
      <c r="C139" t="s">
        <v>15</v>
      </c>
      <c r="D139" t="s">
        <v>154</v>
      </c>
      <c r="E139" t="s">
        <v>1145</v>
      </c>
      <c r="F139" t="str">
        <f>HYPERLINK("C:\Users\longueni\Desktop\Chubb produits code\Fiche catalogue\Détection incendie\Centrale\DAD SECOURU\CAT-CS_04_24-01_Fiche catalogue - DAD SECOURU.pdf", "Fiche Produit")</f>
        <v>Fiche Produit</v>
      </c>
    </row>
    <row r="140" spans="1:6" x14ac:dyDescent="0.25">
      <c r="A140" t="s">
        <v>6</v>
      </c>
      <c r="B140" t="s">
        <v>9</v>
      </c>
      <c r="C140" t="s">
        <v>15</v>
      </c>
      <c r="D140" t="s">
        <v>155</v>
      </c>
      <c r="E140" t="s">
        <v>1146</v>
      </c>
      <c r="F140" t="str">
        <f>HYPERLINK("C:\Users\longueni\Desktop\Chubb produits code\Fiche catalogue\Détection incendie\Centrale\DAD SECOURU\CAT-CS_04_24-01_Fiche catalogue - DAD SECOURU.pdf", "Fiche Produit")</f>
        <v>Fiche Produit</v>
      </c>
    </row>
    <row r="141" spans="1:6" x14ac:dyDescent="0.25">
      <c r="A141" t="s">
        <v>6</v>
      </c>
      <c r="B141" t="s">
        <v>9</v>
      </c>
      <c r="C141" t="s">
        <v>15</v>
      </c>
      <c r="D141" t="s">
        <v>156</v>
      </c>
      <c r="E141" t="s">
        <v>1147</v>
      </c>
      <c r="F141" t="str">
        <f>HYPERLINK("C:\Users\longueni\Desktop\Chubb produits code\Fiche catalogue\Détection incendie\Centrale\DAD SECOURU\CAT-CS_04_24-01_Fiche catalogue - DAD SECOURU.pdf", "Fiche Produit")</f>
        <v>Fiche Produit</v>
      </c>
    </row>
    <row r="142" spans="1:6" x14ac:dyDescent="0.25">
      <c r="A142" t="s">
        <v>6</v>
      </c>
      <c r="B142" t="s">
        <v>9</v>
      </c>
      <c r="C142" t="s">
        <v>15</v>
      </c>
      <c r="D142" t="s">
        <v>157</v>
      </c>
      <c r="E142" t="s">
        <v>1148</v>
      </c>
      <c r="F142" t="str">
        <f>HYPERLINK("C:\Users\longueni\Desktop\Chubb produits code\Fiche catalogue\Détection incendie\Accessoires_outils\CAT-CS_04_16-01_Fiche catalogue - ACCESSOIRES DÉTECTEURS PONCTUELS.pdf", "Fiche Produit")</f>
        <v>Fiche Produit</v>
      </c>
    </row>
    <row r="143" spans="1:6" x14ac:dyDescent="0.25">
      <c r="A143" t="s">
        <v>6</v>
      </c>
      <c r="B143" t="s">
        <v>9</v>
      </c>
      <c r="C143" t="s">
        <v>15</v>
      </c>
      <c r="D143" t="s">
        <v>158</v>
      </c>
      <c r="E143" t="s">
        <v>1149</v>
      </c>
      <c r="F143" t="str">
        <f>HYPERLINK("C:\Users\longueni\Desktop\Chubb produits code\Fiche catalogue\Détection incendie\Détecteur _ socle\C.Scan _ C.Scan+\CAT-CS_04_50-01_Fiche catalogue - C.Scan+ I.pdf", "Fiche Produit")</f>
        <v>Fiche Produit</v>
      </c>
    </row>
    <row r="144" spans="1:6" x14ac:dyDescent="0.25">
      <c r="A144" t="s">
        <v>6</v>
      </c>
      <c r="B144" t="s">
        <v>9</v>
      </c>
      <c r="C144" t="s">
        <v>15</v>
      </c>
      <c r="D144" t="s">
        <v>159</v>
      </c>
      <c r="E144" t="s">
        <v>1150</v>
      </c>
      <c r="F144" t="str">
        <f>HYPERLINK("C:\Users\longueni\Desktop\Chubb produits code\Fiche catalogue\Détection incendie\Détecteur _ socle\CAT-130_Fiche catalogue - Socle haut S3 - C.Scan+.pdf", "Fiche Produit")</f>
        <v>Fiche Produit</v>
      </c>
    </row>
    <row r="145" spans="1:6" x14ac:dyDescent="0.25">
      <c r="A145" t="s">
        <v>6</v>
      </c>
      <c r="B145" t="s">
        <v>9</v>
      </c>
      <c r="C145" t="s">
        <v>15</v>
      </c>
      <c r="D145" t="s">
        <v>160</v>
      </c>
      <c r="E145" t="s">
        <v>1151</v>
      </c>
      <c r="F145" t="str">
        <f>HYPERLINK("C:\Users\longueni\Desktop\Chubb produits code\Fiche catalogue\Détection incendie\Détecteur _ socle\C.Scan _ C.Scan+\CAT-CS_04_51-01_Fiche catalogue - C.Scan+ M.pdf", "Fiche Produit")</f>
        <v>Fiche Produit</v>
      </c>
    </row>
    <row r="146" spans="1:6" x14ac:dyDescent="0.25">
      <c r="A146" t="s">
        <v>6</v>
      </c>
      <c r="B146" t="s">
        <v>9</v>
      </c>
      <c r="C146" t="s">
        <v>15</v>
      </c>
      <c r="D146" t="s">
        <v>161</v>
      </c>
      <c r="E146" t="s">
        <v>1152</v>
      </c>
      <c r="F146" t="str">
        <f>HYPERLINK("C:\Users\longueni\Desktop\Chubb produits code\Fiche catalogue\Détection incendie\Centrale\DAD SECOURU\CAT-CS_04_24-01_Fiche catalogue - DAD SECOURU.pdf", "Fiche Produit")</f>
        <v>Fiche Produit</v>
      </c>
    </row>
    <row r="147" spans="1:6" x14ac:dyDescent="0.25">
      <c r="A147" t="s">
        <v>6</v>
      </c>
      <c r="B147" t="s">
        <v>9</v>
      </c>
      <c r="C147" t="s">
        <v>15</v>
      </c>
      <c r="D147" t="s">
        <v>162</v>
      </c>
      <c r="E147" t="s">
        <v>1153</v>
      </c>
      <c r="F147" t="str">
        <f>HYPERLINK("C:\Users\longueni\Desktop\Chubb produits code\Fiche catalogue\Détection incendie\Centrale\DAD SECOURU\CAT-CS_04_24-01_Fiche catalogue - DAD SECOURU.pdf", "Fiche Produit")</f>
        <v>Fiche Produit</v>
      </c>
    </row>
    <row r="148" spans="1:6" x14ac:dyDescent="0.25">
      <c r="A148" t="s">
        <v>6</v>
      </c>
      <c r="B148" t="s">
        <v>9</v>
      </c>
      <c r="C148" t="s">
        <v>15</v>
      </c>
      <c r="D148" t="s">
        <v>163</v>
      </c>
      <c r="E148" t="s">
        <v>1154</v>
      </c>
      <c r="F148" t="str">
        <f>HYPERLINK("C:\Users\longueni\Desktop\Chubb produits code\Fiche catalogue\Détection incendie\Centrale\DAD SECOURU\CAT-CS_04_24-01_Fiche catalogue - DAD SECOURU.pdf", "Fiche Produit")</f>
        <v>Fiche Produit</v>
      </c>
    </row>
    <row r="149" spans="1:6" x14ac:dyDescent="0.25">
      <c r="A149" t="s">
        <v>6</v>
      </c>
      <c r="B149" t="s">
        <v>9</v>
      </c>
      <c r="C149" t="s">
        <v>15</v>
      </c>
      <c r="D149" t="s">
        <v>164</v>
      </c>
      <c r="E149" t="s">
        <v>1155</v>
      </c>
      <c r="F149" t="str">
        <f>HYPERLINK("C:\Users\longueni\Desktop\Chubb produits code\Fiche catalogue\Détection incendie\Centrale\DAD SECOURU\CAT-CS_04_24-01_Fiche catalogue - DAD SECOURU.pdf", "Fiche Produit")</f>
        <v>Fiche Produit</v>
      </c>
    </row>
    <row r="150" spans="1:6" x14ac:dyDescent="0.25">
      <c r="A150" t="s">
        <v>6</v>
      </c>
      <c r="B150" t="s">
        <v>9</v>
      </c>
      <c r="C150" t="s">
        <v>15</v>
      </c>
      <c r="D150" t="s">
        <v>165</v>
      </c>
      <c r="E150" t="s">
        <v>1156</v>
      </c>
      <c r="F150" t="str">
        <f>HYPERLINK("C:\Users\longueni\Desktop\Chubb produits code\Fiche catalogue\Détection incendie\Alimentation\RESONANCE 60_120W V2\CAT-CS_08_25-03_Fiche catalogue - RÉSONANCE 60W &amp; 120W V2 (coffret).pdf", "Fiche Produit")</f>
        <v>Fiche Produit</v>
      </c>
    </row>
    <row r="151" spans="1:6" x14ac:dyDescent="0.25">
      <c r="A151" t="s">
        <v>6</v>
      </c>
      <c r="B151" t="s">
        <v>9</v>
      </c>
      <c r="C151" t="s">
        <v>15</v>
      </c>
      <c r="D151" t="s">
        <v>166</v>
      </c>
      <c r="E151" t="s">
        <v>1157</v>
      </c>
      <c r="F151" t="str">
        <f>HYPERLINK("C:\Users\longueni\Desktop\Chubb produits code\CTLG-9001639_Catalogue - Produits et Systèmes CHUBB.pdf", "Fiche Produit")</f>
        <v>Fiche Produit</v>
      </c>
    </row>
    <row r="152" spans="1:6" x14ac:dyDescent="0.25">
      <c r="A152" t="s">
        <v>6</v>
      </c>
      <c r="B152" t="s">
        <v>9</v>
      </c>
      <c r="C152" t="s">
        <v>15</v>
      </c>
      <c r="D152" t="s">
        <v>167</v>
      </c>
      <c r="E152" t="s">
        <v>1158</v>
      </c>
      <c r="F152" t="str">
        <f>HYPERLINK("C:\Users\longueni\Desktop\Chubb produits code\CTLG-9001639_Catalogue - Produits et Systèmes CHUBB.pdf", "Fiche Produit")</f>
        <v>Fiche Produit</v>
      </c>
    </row>
    <row r="153" spans="1:6" x14ac:dyDescent="0.25">
      <c r="A153" t="s">
        <v>6</v>
      </c>
      <c r="B153" t="s">
        <v>9</v>
      </c>
      <c r="C153" t="s">
        <v>15</v>
      </c>
      <c r="D153" t="s">
        <v>168</v>
      </c>
      <c r="E153" t="s">
        <v>1159</v>
      </c>
      <c r="F153" t="str">
        <f>HYPERLINK("C:\Users\longueni\Desktop\Chubb produits code\CTLG-9001639_Catalogue - Produits et Systèmes CHUBB.pdf", "Fiche Produit")</f>
        <v>Fiche Produit</v>
      </c>
    </row>
    <row r="154" spans="1:6" x14ac:dyDescent="0.25">
      <c r="A154" t="s">
        <v>6</v>
      </c>
      <c r="B154" t="s">
        <v>9</v>
      </c>
      <c r="C154" t="s">
        <v>15</v>
      </c>
      <c r="D154" t="s">
        <v>169</v>
      </c>
      <c r="E154" t="s">
        <v>1160</v>
      </c>
      <c r="F154" t="str">
        <f>HYPERLINK("C:\Users\longueni\Desktop\Chubb produits code\CTLG-9001639_Catalogue - Produits et Systèmes CHUBB.pdf", "Fiche Produit")</f>
        <v>Fiche Produit</v>
      </c>
    </row>
    <row r="155" spans="1:6" x14ac:dyDescent="0.25">
      <c r="A155" t="s">
        <v>6</v>
      </c>
      <c r="B155" t="s">
        <v>9</v>
      </c>
      <c r="C155" t="s">
        <v>15</v>
      </c>
      <c r="D155" t="s">
        <v>170</v>
      </c>
      <c r="E155" t="s">
        <v>1161</v>
      </c>
      <c r="F155" t="str">
        <f>HYPERLINK("C:\Users\longueni\Desktop\Chubb produits code\Fiche catalogue\Détection incendie\Dispositif sonore_lumineux\CAT-235_Fiche catalogue - SOCLES SQG3 DS - DS DL Rouge - DS DL blanc.pdf", "Fiche Produit")</f>
        <v>Fiche Produit</v>
      </c>
    </row>
    <row r="156" spans="1:6" x14ac:dyDescent="0.25">
      <c r="A156" t="s">
        <v>6</v>
      </c>
      <c r="B156" t="s">
        <v>9</v>
      </c>
      <c r="C156" t="s">
        <v>15</v>
      </c>
      <c r="D156" t="s">
        <v>171</v>
      </c>
      <c r="E156" t="s">
        <v>1162</v>
      </c>
      <c r="F156" t="str">
        <f>HYPERLINK("C:\Users\longueni\Desktop\Chubb produits code\Fiche catalogue\Extinction\Centrale\UTEX.Com\CAT-CS_N_16-01_Fiche catalogue - UTEX Com.pdf", "Fiche Produit")</f>
        <v>Fiche Produit</v>
      </c>
    </row>
    <row r="157" spans="1:6" x14ac:dyDescent="0.25">
      <c r="A157" t="s">
        <v>6</v>
      </c>
      <c r="B157" t="s">
        <v>9</v>
      </c>
      <c r="C157" t="s">
        <v>15</v>
      </c>
      <c r="D157" t="s">
        <v>172</v>
      </c>
      <c r="E157" t="s">
        <v>1163</v>
      </c>
      <c r="F157" t="str">
        <f>HYPERLINK("C:\Users\longueni\Desktop\Chubb produits code\CTLG-9001639_Catalogue - Produits et Systèmes CHUBB.pdf", "Fiche Produit")</f>
        <v>Fiche Produit</v>
      </c>
    </row>
    <row r="158" spans="1:6" x14ac:dyDescent="0.25">
      <c r="A158" t="s">
        <v>6</v>
      </c>
      <c r="B158" t="s">
        <v>9</v>
      </c>
      <c r="C158" t="s">
        <v>15</v>
      </c>
      <c r="D158" t="s">
        <v>173</v>
      </c>
      <c r="E158" t="s">
        <v>1164</v>
      </c>
      <c r="F158" t="str">
        <f>HYPERLINK("C:\Users\longueni\Desktop\Chubb produits code\CTLG-9001639_Catalogue - Produits et Systèmes CHUBB.pdf", "Fiche Produit")</f>
        <v>Fiche Produit</v>
      </c>
    </row>
    <row r="159" spans="1:6" x14ac:dyDescent="0.25">
      <c r="A159" t="s">
        <v>6</v>
      </c>
      <c r="B159" t="s">
        <v>9</v>
      </c>
      <c r="C159" t="s">
        <v>15</v>
      </c>
      <c r="D159" t="s">
        <v>174</v>
      </c>
      <c r="E159" t="s">
        <v>1165</v>
      </c>
      <c r="F159" t="str">
        <f>HYPERLINK("C:\Users\longueni\Desktop\Chubb produits code\Fiche catalogue\Détection incendie\Centrale\CMSI.Com\CAT-CS_02_44-01_Fiche catalogue - CMSI.Com.pdf", "Fiche Produit")</f>
        <v>Fiche Produit</v>
      </c>
    </row>
    <row r="160" spans="1:6" x14ac:dyDescent="0.25">
      <c r="A160" t="s">
        <v>6</v>
      </c>
      <c r="B160" t="s">
        <v>9</v>
      </c>
      <c r="C160" t="s">
        <v>15</v>
      </c>
      <c r="D160" t="s">
        <v>175</v>
      </c>
      <c r="E160" t="s">
        <v>1166</v>
      </c>
      <c r="F160" t="str">
        <f>HYPERLINK("C:\Users\longueni\Desktop\Chubb produits code\Fiche catalogue\Détection incendie\Accessoires_outils\CAT-CS_04_16-01_Fiche catalogue - ACCESSOIRES DÉTECTEURS PONCTUELS.pdf", "Fiche Produit")</f>
        <v>Fiche Produit</v>
      </c>
    </row>
    <row r="161" spans="1:6" x14ac:dyDescent="0.25">
      <c r="A161" t="s">
        <v>6</v>
      </c>
      <c r="B161" t="s">
        <v>9</v>
      </c>
      <c r="C161" t="s">
        <v>15</v>
      </c>
      <c r="D161" t="s">
        <v>176</v>
      </c>
      <c r="E161" t="s">
        <v>1167</v>
      </c>
      <c r="F161" t="str">
        <f>HYPERLINK("C:\Users\longueni\Desktop\Chubb produits code\Fiche catalogue\Détection incendie\Centrale\CMSI.Com\CAT-CS_02_44-01_Fiche catalogue - CMSI.Com.pdf", "Fiche Produit")</f>
        <v>Fiche Produit</v>
      </c>
    </row>
    <row r="162" spans="1:6" x14ac:dyDescent="0.25">
      <c r="A162" t="s">
        <v>6</v>
      </c>
      <c r="B162" t="s">
        <v>9</v>
      </c>
      <c r="C162" t="s">
        <v>15</v>
      </c>
      <c r="D162" t="s">
        <v>177</v>
      </c>
      <c r="E162" t="s">
        <v>1167</v>
      </c>
      <c r="F162" t="str">
        <f>HYPERLINK("C:\Users\longueni\Desktop\Chubb produits code\Fiche catalogue\Détection incendie\Centrale\CMSI.Com\CAT-CS_02_44-01_Fiche catalogue - CMSI.Com.pdf", "Fiche Produit")</f>
        <v>Fiche Produit</v>
      </c>
    </row>
    <row r="163" spans="1:6" x14ac:dyDescent="0.25">
      <c r="A163" t="s">
        <v>6</v>
      </c>
      <c r="B163" t="s">
        <v>9</v>
      </c>
      <c r="C163" t="s">
        <v>15</v>
      </c>
      <c r="D163" t="s">
        <v>178</v>
      </c>
      <c r="E163" t="s">
        <v>1167</v>
      </c>
      <c r="F163" t="str">
        <f>HYPERLINK("C:\Users\longueni\Desktop\Chubb produits code\Fiche catalogue\Détection incendie\Centrale\CMSI.Com\CAT-CS_02_44-01_Fiche catalogue - CMSI.Com.pdf", "Fiche Produit")</f>
        <v>Fiche Produit</v>
      </c>
    </row>
    <row r="164" spans="1:6" x14ac:dyDescent="0.25">
      <c r="A164" t="s">
        <v>6</v>
      </c>
      <c r="B164" t="s">
        <v>9</v>
      </c>
      <c r="C164" t="s">
        <v>15</v>
      </c>
      <c r="D164" t="s">
        <v>179</v>
      </c>
      <c r="E164" t="s">
        <v>1167</v>
      </c>
      <c r="F164" t="str">
        <f>HYPERLINK("C:\Users\longueni\Desktop\Chubb produits code\Fiche catalogue\Détection incendie\Centrale\CMSI.Com\CAT-CS_02_44-01_Fiche catalogue - CMSI.Com.pdf", "Fiche Produit")</f>
        <v>Fiche Produit</v>
      </c>
    </row>
    <row r="165" spans="1:6" x14ac:dyDescent="0.25">
      <c r="A165" t="s">
        <v>6</v>
      </c>
      <c r="B165" t="s">
        <v>9</v>
      </c>
      <c r="C165" t="s">
        <v>15</v>
      </c>
      <c r="D165" t="s">
        <v>180</v>
      </c>
      <c r="E165" t="s">
        <v>1168</v>
      </c>
      <c r="F165" t="str">
        <f>HYPERLINK("C:\Users\longueni\Desktop\Chubb produits code\Fiche catalogue\Détection incendie\Centrale\CAT-CS_02_40-02_Fiche catalogue - CFC 2F DIRECTE.pdf", "Fiche Produit")</f>
        <v>Fiche Produit</v>
      </c>
    </row>
    <row r="166" spans="1:6" x14ac:dyDescent="0.25">
      <c r="A166" t="s">
        <v>6</v>
      </c>
      <c r="B166" t="s">
        <v>9</v>
      </c>
      <c r="C166" t="s">
        <v>15</v>
      </c>
      <c r="D166" t="s">
        <v>181</v>
      </c>
      <c r="E166" t="s">
        <v>1169</v>
      </c>
      <c r="F166" t="str">
        <f>HYPERLINK("C:\Users\longueni\Desktop\Chubb produits code\Fiche catalogue\Détection incendie\Centrale\CAT-CS_02_40-03_Fiche catalogue - CFC 3-7F DIRECTE.pdf", "Fiche Produit")</f>
        <v>Fiche Produit</v>
      </c>
    </row>
    <row r="167" spans="1:6" x14ac:dyDescent="0.25">
      <c r="A167" t="s">
        <v>6</v>
      </c>
      <c r="B167" t="s">
        <v>9</v>
      </c>
      <c r="C167" t="s">
        <v>15</v>
      </c>
      <c r="D167" t="s">
        <v>182</v>
      </c>
      <c r="E167" t="s">
        <v>1170</v>
      </c>
      <c r="F167" t="str">
        <f>HYPERLINK("C:\Users\longueni\Desktop\Chubb produits code\Fiche catalogue\Détection incendie\Centrale\CAT-CS_02_40-03_Fiche catalogue - CFC 3-7F DIRECTE.pdf", "Fiche Produit")</f>
        <v>Fiche Produit</v>
      </c>
    </row>
    <row r="168" spans="1:6" x14ac:dyDescent="0.25">
      <c r="A168" t="s">
        <v>6</v>
      </c>
      <c r="B168" t="s">
        <v>9</v>
      </c>
      <c r="C168" t="s">
        <v>15</v>
      </c>
      <c r="D168" t="s">
        <v>183</v>
      </c>
      <c r="E168" t="s">
        <v>1170</v>
      </c>
      <c r="F168" t="str">
        <f>HYPERLINK("C:\Users\longueni\Desktop\Chubb produits code\Fiche catalogue\Détection incendie\Centrale\CAT-CS_02_40-03_Fiche catalogue - CFC 3-7F DIRECTE.pdf", "Fiche Produit")</f>
        <v>Fiche Produit</v>
      </c>
    </row>
    <row r="169" spans="1:6" x14ac:dyDescent="0.25">
      <c r="A169" t="s">
        <v>6</v>
      </c>
      <c r="B169" t="s">
        <v>9</v>
      </c>
      <c r="C169" t="s">
        <v>15</v>
      </c>
      <c r="D169" t="s">
        <v>184</v>
      </c>
      <c r="E169" t="s">
        <v>1171</v>
      </c>
      <c r="F169" t="str">
        <f>HYPERLINK("C:\Users\longueni\Desktop\Chubb produits code\Fiche catalogue\Détection incendie\Dispositif sonore _ lumineux\CHORUS S3 ME\CAT-CS_07_07-01_Fiche catalogue - CHORUS S3 Me.pdf", "Fiche Produit")</f>
        <v>Fiche Produit</v>
      </c>
    </row>
    <row r="170" spans="1:6" x14ac:dyDescent="0.25">
      <c r="A170" t="s">
        <v>6</v>
      </c>
      <c r="B170" t="s">
        <v>9</v>
      </c>
      <c r="C170" t="s">
        <v>15</v>
      </c>
      <c r="D170" t="s">
        <v>185</v>
      </c>
      <c r="E170" t="s">
        <v>1172</v>
      </c>
      <c r="F170" t="str">
        <f>HYPERLINK("C:\Users\longueni\Desktop\Chubb produits code\Fiche catalogue\Détection incendie\Dispositif sonore _ lumineux\CHORUS S3 ME\CAT-CS_07_07-02_Fiche catalogue - CHORUS S3 Me GB.pdf", "Fiche Produit")</f>
        <v>Fiche Produit</v>
      </c>
    </row>
    <row r="171" spans="1:6" x14ac:dyDescent="0.25">
      <c r="A171" t="s">
        <v>6</v>
      </c>
      <c r="B171" t="s">
        <v>9</v>
      </c>
      <c r="C171" t="s">
        <v>15</v>
      </c>
      <c r="D171" t="s">
        <v>186</v>
      </c>
      <c r="E171" t="s">
        <v>1173</v>
      </c>
      <c r="F171" t="str">
        <f>HYPERLINK("C:\Users\longueni\Desktop\Chubb produits code\Fiche catalogue\Détection incendie\Dispositif sonore _ lumineux\CHORUS S3 NFS\CAT-CS_07_06-01_Fiche catalogue - CHORUS S3 NFS.pdf", "Fiche Produit")</f>
        <v>Fiche Produit</v>
      </c>
    </row>
    <row r="172" spans="1:6" x14ac:dyDescent="0.25">
      <c r="A172" t="s">
        <v>6</v>
      </c>
      <c r="B172" t="s">
        <v>9</v>
      </c>
      <c r="C172" t="s">
        <v>15</v>
      </c>
      <c r="D172" t="s">
        <v>187</v>
      </c>
      <c r="E172" t="s">
        <v>1174</v>
      </c>
      <c r="F172" t="str">
        <f>HYPERLINK("C:\Users\longueni\Desktop\Chubb produits code\Fiche catalogue\Détection incendie\Détecteur _ socle\CAT-CS_04_36-01_Fiche catalogue - DLD 2000.pdf", "Fiche Produit")</f>
        <v>Fiche Produit</v>
      </c>
    </row>
    <row r="173" spans="1:6" x14ac:dyDescent="0.25">
      <c r="A173" t="s">
        <v>6</v>
      </c>
      <c r="B173" t="s">
        <v>9</v>
      </c>
      <c r="C173" t="s">
        <v>15</v>
      </c>
      <c r="D173" t="s">
        <v>188</v>
      </c>
      <c r="E173" t="s">
        <v>1174</v>
      </c>
      <c r="F173" t="str">
        <f>HYPERLINK("C:\Users\longueni\Desktop\Chubb produits code\CTLG-9001639_Catalogue - Produits et Systèmes CHUBB.pdf", "Fiche Produit")</f>
        <v>Fiche Produit</v>
      </c>
    </row>
    <row r="174" spans="1:6" x14ac:dyDescent="0.25">
      <c r="A174" t="s">
        <v>6</v>
      </c>
      <c r="B174" t="s">
        <v>9</v>
      </c>
      <c r="C174" t="s">
        <v>15</v>
      </c>
      <c r="D174" t="s">
        <v>189</v>
      </c>
      <c r="E174" t="s">
        <v>1175</v>
      </c>
      <c r="F174" t="str">
        <f>HYPERLINK("C:\Users\longueni\Desktop\Chubb produits code\CTLG-9001639_Catalogue - Produits et Systèmes CHUBB.pdf", "Fiche Produit")</f>
        <v>Fiche Produit</v>
      </c>
    </row>
    <row r="175" spans="1:6" x14ac:dyDescent="0.25">
      <c r="A175" t="s">
        <v>6</v>
      </c>
      <c r="B175" t="s">
        <v>9</v>
      </c>
      <c r="C175" t="s">
        <v>15</v>
      </c>
      <c r="D175" t="s">
        <v>190</v>
      </c>
      <c r="E175" t="s">
        <v>1176</v>
      </c>
      <c r="F175" t="str">
        <f>HYPERLINK("C:\Users\longueni\Desktop\Chubb produits code\Fiche catalogue\Extinction\Centrale\UTEX.Com\CAT-CS_N_16-01_Fiche catalogue - UTEX Com.pdf", "Fiche Produit")</f>
        <v>Fiche Produit</v>
      </c>
    </row>
    <row r="176" spans="1:6" x14ac:dyDescent="0.25">
      <c r="A176" t="s">
        <v>6</v>
      </c>
      <c r="B176" t="s">
        <v>9</v>
      </c>
      <c r="C176" t="s">
        <v>15</v>
      </c>
      <c r="D176" t="s">
        <v>191</v>
      </c>
      <c r="E176" t="s">
        <v>1177</v>
      </c>
      <c r="F176" t="str">
        <f t="shared" ref="F176:F189" si="1">HYPERLINK("C:\Users\longueni\Desktop\Chubb produits code\Fiche catalogue\Détection incendie\Alimentation\VARIATION 940\CAT-CS_08_23-03_Fiche catalogue - VARIATION 940 - Coffret.pdf", "Fiche Produit")</f>
        <v>Fiche Produit</v>
      </c>
    </row>
    <row r="177" spans="1:6" x14ac:dyDescent="0.25">
      <c r="A177" t="s">
        <v>6</v>
      </c>
      <c r="B177" t="s">
        <v>9</v>
      </c>
      <c r="C177" t="s">
        <v>15</v>
      </c>
      <c r="D177" t="s">
        <v>192</v>
      </c>
      <c r="E177" t="s">
        <v>1177</v>
      </c>
      <c r="F177" t="str">
        <f t="shared" si="1"/>
        <v>Fiche Produit</v>
      </c>
    </row>
    <row r="178" spans="1:6" x14ac:dyDescent="0.25">
      <c r="A178" t="s">
        <v>6</v>
      </c>
      <c r="B178" t="s">
        <v>9</v>
      </c>
      <c r="C178" t="s">
        <v>15</v>
      </c>
      <c r="D178" t="s">
        <v>193</v>
      </c>
      <c r="E178" t="s">
        <v>1178</v>
      </c>
      <c r="F178" t="str">
        <f t="shared" si="1"/>
        <v>Fiche Produit</v>
      </c>
    </row>
    <row r="179" spans="1:6" x14ac:dyDescent="0.25">
      <c r="A179" t="s">
        <v>6</v>
      </c>
      <c r="B179" t="s">
        <v>9</v>
      </c>
      <c r="C179" t="s">
        <v>15</v>
      </c>
      <c r="D179" t="s">
        <v>194</v>
      </c>
      <c r="E179" t="s">
        <v>1178</v>
      </c>
      <c r="F179" t="str">
        <f t="shared" si="1"/>
        <v>Fiche Produit</v>
      </c>
    </row>
    <row r="180" spans="1:6" x14ac:dyDescent="0.25">
      <c r="A180" t="s">
        <v>6</v>
      </c>
      <c r="B180" t="s">
        <v>9</v>
      </c>
      <c r="C180" t="s">
        <v>15</v>
      </c>
      <c r="D180" t="s">
        <v>195</v>
      </c>
      <c r="E180" t="s">
        <v>1178</v>
      </c>
      <c r="F180" t="str">
        <f t="shared" si="1"/>
        <v>Fiche Produit</v>
      </c>
    </row>
    <row r="181" spans="1:6" x14ac:dyDescent="0.25">
      <c r="A181" t="s">
        <v>6</v>
      </c>
      <c r="B181" t="s">
        <v>9</v>
      </c>
      <c r="C181" t="s">
        <v>15</v>
      </c>
      <c r="D181" t="s">
        <v>196</v>
      </c>
      <c r="E181" t="s">
        <v>1179</v>
      </c>
      <c r="F181" t="str">
        <f t="shared" si="1"/>
        <v>Fiche Produit</v>
      </c>
    </row>
    <row r="182" spans="1:6" x14ac:dyDescent="0.25">
      <c r="A182" t="s">
        <v>6</v>
      </c>
      <c r="B182" t="s">
        <v>9</v>
      </c>
      <c r="C182" t="s">
        <v>15</v>
      </c>
      <c r="D182" t="s">
        <v>197</v>
      </c>
      <c r="E182" t="s">
        <v>1179</v>
      </c>
      <c r="F182" t="str">
        <f t="shared" si="1"/>
        <v>Fiche Produit</v>
      </c>
    </row>
    <row r="183" spans="1:6" x14ac:dyDescent="0.25">
      <c r="A183" t="s">
        <v>6</v>
      </c>
      <c r="B183" t="s">
        <v>9</v>
      </c>
      <c r="C183" t="s">
        <v>15</v>
      </c>
      <c r="D183" t="s">
        <v>198</v>
      </c>
      <c r="E183" t="s">
        <v>1179</v>
      </c>
      <c r="F183" t="str">
        <f t="shared" si="1"/>
        <v>Fiche Produit</v>
      </c>
    </row>
    <row r="184" spans="1:6" x14ac:dyDescent="0.25">
      <c r="A184" t="s">
        <v>6</v>
      </c>
      <c r="B184" t="s">
        <v>9</v>
      </c>
      <c r="C184" t="s">
        <v>15</v>
      </c>
      <c r="D184" t="s">
        <v>199</v>
      </c>
      <c r="E184" t="s">
        <v>1179</v>
      </c>
      <c r="F184" t="str">
        <f t="shared" si="1"/>
        <v>Fiche Produit</v>
      </c>
    </row>
    <row r="185" spans="1:6" x14ac:dyDescent="0.25">
      <c r="A185" t="s">
        <v>6</v>
      </c>
      <c r="B185" t="s">
        <v>9</v>
      </c>
      <c r="C185" t="s">
        <v>15</v>
      </c>
      <c r="D185" t="s">
        <v>200</v>
      </c>
      <c r="E185" t="s">
        <v>1180</v>
      </c>
      <c r="F185" t="str">
        <f t="shared" si="1"/>
        <v>Fiche Produit</v>
      </c>
    </row>
    <row r="186" spans="1:6" x14ac:dyDescent="0.25">
      <c r="A186" t="s">
        <v>6</v>
      </c>
      <c r="B186" t="s">
        <v>9</v>
      </c>
      <c r="C186" t="s">
        <v>15</v>
      </c>
      <c r="D186" t="s">
        <v>201</v>
      </c>
      <c r="E186" t="s">
        <v>1181</v>
      </c>
      <c r="F186" t="str">
        <f t="shared" si="1"/>
        <v>Fiche Produit</v>
      </c>
    </row>
    <row r="187" spans="1:6" x14ac:dyDescent="0.25">
      <c r="A187" t="s">
        <v>6</v>
      </c>
      <c r="B187" t="s">
        <v>9</v>
      </c>
      <c r="C187" t="s">
        <v>15</v>
      </c>
      <c r="D187" t="s">
        <v>202</v>
      </c>
      <c r="E187" t="s">
        <v>1182</v>
      </c>
      <c r="F187" t="str">
        <f t="shared" si="1"/>
        <v>Fiche Produit</v>
      </c>
    </row>
    <row r="188" spans="1:6" x14ac:dyDescent="0.25">
      <c r="A188" t="s">
        <v>6</v>
      </c>
      <c r="B188" t="s">
        <v>9</v>
      </c>
      <c r="C188" t="s">
        <v>15</v>
      </c>
      <c r="D188" t="s">
        <v>203</v>
      </c>
      <c r="E188" t="s">
        <v>1183</v>
      </c>
      <c r="F188" t="str">
        <f t="shared" si="1"/>
        <v>Fiche Produit</v>
      </c>
    </row>
    <row r="189" spans="1:6" x14ac:dyDescent="0.25">
      <c r="A189" t="s">
        <v>6</v>
      </c>
      <c r="B189" t="s">
        <v>9</v>
      </c>
      <c r="C189" t="s">
        <v>15</v>
      </c>
      <c r="D189" t="s">
        <v>204</v>
      </c>
      <c r="E189" t="s">
        <v>1184</v>
      </c>
      <c r="F189" t="str">
        <f t="shared" si="1"/>
        <v>Fiche Produit</v>
      </c>
    </row>
    <row r="190" spans="1:6" x14ac:dyDescent="0.25">
      <c r="A190" t="s">
        <v>6</v>
      </c>
      <c r="B190" t="s">
        <v>9</v>
      </c>
      <c r="C190" t="s">
        <v>15</v>
      </c>
      <c r="D190" t="s">
        <v>205</v>
      </c>
      <c r="E190" t="s">
        <v>1185</v>
      </c>
      <c r="F190" t="str">
        <f>HYPERLINK("C:\Users\longueni\Desktop\Chubb produits code\Fiche catalogue\Détection incendie\Détecteur _ socle\MODULASER\CAT-164_Fiche catalogue - Détecteur STRATOS Modulaser.pdf", "Fiche Produit")</f>
        <v>Fiche Produit</v>
      </c>
    </row>
    <row r="191" spans="1:6" x14ac:dyDescent="0.25">
      <c r="A191" t="s">
        <v>6</v>
      </c>
      <c r="B191" t="s">
        <v>9</v>
      </c>
      <c r="C191" t="s">
        <v>15</v>
      </c>
      <c r="D191" t="s">
        <v>206</v>
      </c>
      <c r="E191" t="s">
        <v>1186</v>
      </c>
      <c r="F191" t="str">
        <f>HYPERLINK("C:\Users\longueni\Desktop\Chubb produits code\Fiche catalogue\Détection incendie\Centrale\CAT-CS_01_65-02_Fiche catalogue - UAI 2B AD1000 Lon FTT.pdf", "Fiche Produit")</f>
        <v>Fiche Produit</v>
      </c>
    </row>
    <row r="192" spans="1:6" x14ac:dyDescent="0.25">
      <c r="A192" t="s">
        <v>6</v>
      </c>
      <c r="B192" t="s">
        <v>9</v>
      </c>
      <c r="C192" t="s">
        <v>15</v>
      </c>
      <c r="D192" t="s">
        <v>207</v>
      </c>
      <c r="E192" t="s">
        <v>1187</v>
      </c>
      <c r="F192" t="str">
        <f>HYPERLINK("C:\Users\longueni\Desktop\Chubb produits code\Fiche catalogue\Extinction\Centrale\UTEX.Com\CAT-CS_N_16-01_Fiche catalogue - UTEX Com.pdf", "Fiche Produit")</f>
        <v>Fiche Produit</v>
      </c>
    </row>
    <row r="193" spans="1:6" x14ac:dyDescent="0.25">
      <c r="A193" t="s">
        <v>6</v>
      </c>
      <c r="B193" t="s">
        <v>9</v>
      </c>
      <c r="C193" t="s">
        <v>15</v>
      </c>
      <c r="D193" t="s">
        <v>208</v>
      </c>
      <c r="E193" t="s">
        <v>1187</v>
      </c>
      <c r="F193" t="str">
        <f>HYPERLINK("C:\Users\longueni\Desktop\Chubb produits code\Fiche catalogue\Extinction\Centrale\UTEX.Com\CAT-CS_N_16-01_Fiche catalogue - UTEX Com.pdf", "Fiche Produit")</f>
        <v>Fiche Produit</v>
      </c>
    </row>
    <row r="194" spans="1:6" x14ac:dyDescent="0.25">
      <c r="A194" t="s">
        <v>6</v>
      </c>
      <c r="B194" t="s">
        <v>9</v>
      </c>
      <c r="C194" t="s">
        <v>15</v>
      </c>
      <c r="D194" t="s">
        <v>209</v>
      </c>
      <c r="E194" t="s">
        <v>1188</v>
      </c>
      <c r="F194" t="str">
        <f>HYPERLINK("C:\Users\longueni\Desktop\Chubb produits code\Fiche catalogue\Détection incendie\Dispositif sonore _ lumineux\CAT-CS_07_25-01_Fiche catalogue - NEXUS DC.pdf", "Fiche Produit")</f>
        <v>Fiche Produit</v>
      </c>
    </row>
    <row r="195" spans="1:6" x14ac:dyDescent="0.25">
      <c r="A195" t="s">
        <v>6</v>
      </c>
      <c r="B195" t="s">
        <v>9</v>
      </c>
      <c r="C195" t="s">
        <v>15</v>
      </c>
      <c r="D195" t="s">
        <v>210</v>
      </c>
      <c r="E195" t="s">
        <v>1189</v>
      </c>
      <c r="F195" t="str">
        <f>HYPERLINK("C:\Users\longueni\Desktop\Chubb produits code\CTLG-9001639_Catalogue - Produits et Systèmes CHUBB.pdf", "Fiche Produit")</f>
        <v>Fiche Produit</v>
      </c>
    </row>
    <row r="196" spans="1:6" x14ac:dyDescent="0.25">
      <c r="A196" t="s">
        <v>6</v>
      </c>
      <c r="B196" t="s">
        <v>9</v>
      </c>
      <c r="C196" t="s">
        <v>15</v>
      </c>
      <c r="D196" t="s">
        <v>211</v>
      </c>
      <c r="E196" t="s">
        <v>1190</v>
      </c>
      <c r="F196" t="str">
        <f>HYPERLINK("C:\Users\longueni\Desktop\Chubb produits code\CTLG-9001639_Catalogue - Produits et Systèmes CHUBB.pdf", "Fiche Produit")</f>
        <v>Fiche Produit</v>
      </c>
    </row>
    <row r="197" spans="1:6" x14ac:dyDescent="0.25">
      <c r="A197" t="s">
        <v>6</v>
      </c>
      <c r="B197" t="s">
        <v>9</v>
      </c>
      <c r="C197" t="s">
        <v>15</v>
      </c>
      <c r="D197" t="s">
        <v>212</v>
      </c>
      <c r="E197" t="s">
        <v>1191</v>
      </c>
      <c r="F197" t="str">
        <f>HYPERLINK("C:\Users\longueni\Desktop\Chubb produits code\Fiche catalogue\Détection incendie\Déclencheur manuel\CAT-CS_05_01-01_Fiche catalogue - DM WR 2004_SR-910.pdf", "Fiche Produit")</f>
        <v>Fiche Produit</v>
      </c>
    </row>
    <row r="198" spans="1:6" x14ac:dyDescent="0.25">
      <c r="A198" t="s">
        <v>6</v>
      </c>
      <c r="B198" t="s">
        <v>9</v>
      </c>
      <c r="C198" t="s">
        <v>15</v>
      </c>
      <c r="D198" t="s">
        <v>213</v>
      </c>
      <c r="E198" t="s">
        <v>1192</v>
      </c>
      <c r="F198" t="str">
        <f>HYPERLINK("C:\Users\longueni\Desktop\Chubb produits code\CTLG-9001639_Catalogue - Produits et Systèmes CHUBB.pdf", "Fiche Produit")</f>
        <v>Fiche Produit</v>
      </c>
    </row>
    <row r="199" spans="1:6" x14ac:dyDescent="0.25">
      <c r="A199" t="s">
        <v>6</v>
      </c>
      <c r="B199" t="s">
        <v>9</v>
      </c>
      <c r="C199" t="s">
        <v>15</v>
      </c>
      <c r="D199" t="s">
        <v>214</v>
      </c>
      <c r="E199" t="s">
        <v>1193</v>
      </c>
      <c r="F199" t="str">
        <f>HYPERLINK("C:\Users\longueni\Desktop\Chubb produits code\Fiche catalogue\Détection incendie\Détecteur _ socle\I.Scan _ I.Scan+\CAT-CS_04_77-01_Fiche catalogue - SOCLE ICC I.Scan.pdf", "Fiche Produit")</f>
        <v>Fiche Produit</v>
      </c>
    </row>
    <row r="200" spans="1:6" x14ac:dyDescent="0.25">
      <c r="A200" t="s">
        <v>6</v>
      </c>
      <c r="B200" t="s">
        <v>9</v>
      </c>
      <c r="C200" t="s">
        <v>15</v>
      </c>
      <c r="D200" t="s">
        <v>215</v>
      </c>
      <c r="E200" t="s">
        <v>1194</v>
      </c>
      <c r="F200" t="str">
        <f>HYPERLINK("C:\Users\longueni\Desktop\Chubb produits code\CTLG-9001639_Catalogue - Produits et Systèmes CHUBB.pdf", "Fiche Produit")</f>
        <v>Fiche Produit</v>
      </c>
    </row>
    <row r="201" spans="1:6" x14ac:dyDescent="0.25">
      <c r="A201" t="s">
        <v>6</v>
      </c>
      <c r="B201" t="s">
        <v>9</v>
      </c>
      <c r="C201" t="s">
        <v>15</v>
      </c>
      <c r="D201" t="s">
        <v>216</v>
      </c>
      <c r="E201" t="s">
        <v>1194</v>
      </c>
      <c r="F201" t="str">
        <f>HYPERLINK("C:\Users\longueni\Desktop\Chubb produits code\Fiche catalogue\Détection incendie\Détecteur _ socle\C.Scan _ C.Scan+\CAT-CS_04_60-01_Fiche catalogue - Socle C.Scan.pdf", "Fiche Produit")</f>
        <v>Fiche Produit</v>
      </c>
    </row>
    <row r="202" spans="1:6" x14ac:dyDescent="0.25">
      <c r="A202" t="s">
        <v>6</v>
      </c>
      <c r="B202" t="s">
        <v>9</v>
      </c>
      <c r="C202" t="s">
        <v>15</v>
      </c>
      <c r="D202" t="s">
        <v>217</v>
      </c>
      <c r="E202" t="s">
        <v>1195</v>
      </c>
      <c r="F202" t="str">
        <f>HYPERLINK("C:\Users\longueni\Desktop\Chubb produits code\Fiche catalogue\Détection incendie\Alimentation\CAT-140_Fiche catalogue - AES BOOSTEES SLAT.pdf", "Fiche Produit")</f>
        <v>Fiche Produit</v>
      </c>
    </row>
    <row r="203" spans="1:6" x14ac:dyDescent="0.25">
      <c r="A203" t="s">
        <v>6</v>
      </c>
      <c r="B203" t="s">
        <v>9</v>
      </c>
      <c r="C203" t="s">
        <v>15</v>
      </c>
      <c r="D203" t="s">
        <v>218</v>
      </c>
      <c r="E203" t="s">
        <v>1196</v>
      </c>
      <c r="F203" t="str">
        <f>HYPERLINK("C:\Users\longueni\Desktop\Chubb produits code\Fiche catalogue\Détection incendie\Interface _ O.I. _ Report _ TRE\INTERFACE\CAT-CS_02_62-01_Fiche catalogue - CARTE LON PCLTA-21.pdf", "Fiche Produit")</f>
        <v>Fiche Produit</v>
      </c>
    </row>
    <row r="204" spans="1:6" x14ac:dyDescent="0.25">
      <c r="A204" t="s">
        <v>6</v>
      </c>
      <c r="B204" t="s">
        <v>9</v>
      </c>
      <c r="C204" t="s">
        <v>15</v>
      </c>
      <c r="D204" t="s">
        <v>219</v>
      </c>
      <c r="E204" t="s">
        <v>1197</v>
      </c>
      <c r="F204" t="str">
        <f>HYPERLINK("C:\Users\longueni\Desktop\Chubb produits code\Fiche catalogue\Détection incendie\Radio\T4RF\CAT-158_Fiche catalogue - Alarme T4 SECTEUR RF Chubb.pdf", "Fiche Produit")</f>
        <v>Fiche Produit</v>
      </c>
    </row>
    <row r="205" spans="1:6" x14ac:dyDescent="0.25">
      <c r="A205" t="s">
        <v>6</v>
      </c>
      <c r="B205" t="s">
        <v>9</v>
      </c>
      <c r="C205" t="s">
        <v>15</v>
      </c>
      <c r="D205" t="s">
        <v>220</v>
      </c>
      <c r="E205" t="s">
        <v>1197</v>
      </c>
      <c r="F205" t="str">
        <f>HYPERLINK("C:\Users\longueni\Desktop\Chubb produits code\Fiche catalogue\Détection incendie\Radio\T4RF\CAT-158_Fiche catalogue - Alarme T4 SECTEUR RF Chubb.pdf", "Fiche Produit")</f>
        <v>Fiche Produit</v>
      </c>
    </row>
    <row r="206" spans="1:6" x14ac:dyDescent="0.25">
      <c r="A206" t="s">
        <v>6</v>
      </c>
      <c r="B206" t="s">
        <v>9</v>
      </c>
      <c r="C206" t="s">
        <v>15</v>
      </c>
      <c r="D206" t="s">
        <v>221</v>
      </c>
      <c r="E206" t="s">
        <v>1197</v>
      </c>
      <c r="F206" t="str">
        <f>HYPERLINK("C:\Users\longueni\Desktop\Chubb produits code\Fiche catalogue\Détection incendie\Radio\PPMS\CAT-162_Fiche catalogue - PPMS à Pile RF Chubb.pdf", "Fiche Produit")</f>
        <v>Fiche Produit</v>
      </c>
    </row>
    <row r="207" spans="1:6" x14ac:dyDescent="0.25">
      <c r="A207" t="s">
        <v>6</v>
      </c>
      <c r="B207" t="s">
        <v>9</v>
      </c>
      <c r="C207" t="s">
        <v>15</v>
      </c>
      <c r="D207" t="s">
        <v>222</v>
      </c>
      <c r="E207" t="s">
        <v>1198</v>
      </c>
      <c r="F207" t="str">
        <f>HYPERLINK("C:\Users\longueni\Desktop\Chubb produits code\Fiche catalogue\Détection incendie\Centrale\DAD SECOURU\CAT-CS_04_24-01_Fiche catalogue - DAD SECOURU.pdf", "Fiche Produit")</f>
        <v>Fiche Produit</v>
      </c>
    </row>
    <row r="208" spans="1:6" x14ac:dyDescent="0.25">
      <c r="A208" t="s">
        <v>6</v>
      </c>
      <c r="B208" t="s">
        <v>9</v>
      </c>
      <c r="C208" t="s">
        <v>15</v>
      </c>
      <c r="D208" t="s">
        <v>223</v>
      </c>
      <c r="E208" t="s">
        <v>1199</v>
      </c>
      <c r="F208" t="str">
        <f>HYPERLINK("C:\Users\longueni\Desktop\Chubb produits code\CTLG-9001639_Catalogue - Produits et Systèmes CHUBB.pdf", "Fiche Produit")</f>
        <v>Fiche Produit</v>
      </c>
    </row>
    <row r="209" spans="1:6" x14ac:dyDescent="0.25">
      <c r="A209" t="s">
        <v>6</v>
      </c>
      <c r="B209" t="s">
        <v>9</v>
      </c>
      <c r="C209" t="s">
        <v>15</v>
      </c>
      <c r="D209" t="s">
        <v>224</v>
      </c>
      <c r="E209" t="s">
        <v>1200</v>
      </c>
      <c r="F209" t="str">
        <f>HYPERLINK("C:\Users\longueni\Desktop\Chubb produits code\Fiche catalogue\Extinction\Déclencheur manuel\CAT-108_Fiche catalogue - EMISSION SECONDAIRE - 10076.pdf", "Fiche Produit")</f>
        <v>Fiche Produit</v>
      </c>
    </row>
    <row r="210" spans="1:6" x14ac:dyDescent="0.25">
      <c r="A210" t="s">
        <v>6</v>
      </c>
      <c r="B210" t="s">
        <v>9</v>
      </c>
      <c r="C210" t="s">
        <v>15</v>
      </c>
      <c r="D210" t="s">
        <v>225</v>
      </c>
      <c r="E210" t="s">
        <v>1201</v>
      </c>
      <c r="F210" t="str">
        <f>HYPERLINK("C:\Users\longueni\Desktop\Chubb produits code\Fiche catalogue\Détection incendie\Détecteur _ socle\C.Scan _ C.Scan+\CAT-CS_04_50-01_Fiche catalogue - C.Scan+ I.pdf", "Fiche Produit")</f>
        <v>Fiche Produit</v>
      </c>
    </row>
    <row r="211" spans="1:6" x14ac:dyDescent="0.25">
      <c r="A211" t="s">
        <v>6</v>
      </c>
      <c r="B211" t="s">
        <v>9</v>
      </c>
      <c r="C211" t="s">
        <v>15</v>
      </c>
      <c r="D211" t="s">
        <v>226</v>
      </c>
      <c r="E211" t="s">
        <v>1202</v>
      </c>
      <c r="F211" t="str">
        <f>HYPERLINK("C:\Users\longueni\Desktop\Chubb produits code\Fiche catalogue\Détection incendie\Détecteur _ socle\C.Scan _ C.Scan+\CAT-CS_04_51-01_Fiche catalogue - C.Scan+ M.pdf", "Fiche Produit")</f>
        <v>Fiche Produit</v>
      </c>
    </row>
    <row r="212" spans="1:6" x14ac:dyDescent="0.25">
      <c r="A212" t="s">
        <v>6</v>
      </c>
      <c r="B212" t="s">
        <v>9</v>
      </c>
      <c r="C212" t="s">
        <v>15</v>
      </c>
      <c r="D212" t="s">
        <v>227</v>
      </c>
      <c r="E212" t="s">
        <v>1203</v>
      </c>
      <c r="F212" t="str">
        <f>HYPERLINK("C:\Users\longueni\Desktop\Chubb produits code\Fiche catalogue\Détection incendie\Accessoires_outils\CAT-CS_04_82-03_Fiche catalogue - ACCESSOIRES DÉTECTEURS MULTIPONCTUELS.pdf", "Fiche Produit")</f>
        <v>Fiche Produit</v>
      </c>
    </row>
    <row r="213" spans="1:6" x14ac:dyDescent="0.25">
      <c r="A213" t="s">
        <v>6</v>
      </c>
      <c r="B213" t="s">
        <v>9</v>
      </c>
      <c r="C213" t="s">
        <v>15</v>
      </c>
      <c r="D213" t="s">
        <v>228</v>
      </c>
      <c r="E213" t="s">
        <v>1204</v>
      </c>
      <c r="F213" t="str">
        <f>HYPERLINK("C:\Users\longueni\Desktop\Chubb produits code\Fiche catalogue\Détection incendie\Détecteur _ socle\VESDA\CAT-CS_04_32-01_Fiche catalogue - VESDA LASER PLUS.pdf", "Fiche Produit")</f>
        <v>Fiche Produit</v>
      </c>
    </row>
    <row r="214" spans="1:6" x14ac:dyDescent="0.25">
      <c r="A214" t="s">
        <v>6</v>
      </c>
      <c r="B214" t="s">
        <v>9</v>
      </c>
      <c r="C214" t="s">
        <v>15</v>
      </c>
      <c r="D214" t="s">
        <v>229</v>
      </c>
      <c r="E214" t="s">
        <v>1205</v>
      </c>
      <c r="F214" t="str">
        <f t="shared" ref="F214:F223" si="2">HYPERLINK("C:\Users\longueni\Desktop\Chubb produits code\Fiche catalogue\Détection incendie\Détecteur _ socle\CAT-CS_04_97-01_Fiche catalogue - Détecteur linéaire de chaleur DTS.pdf", "Fiche Produit")</f>
        <v>Fiche Produit</v>
      </c>
    </row>
    <row r="215" spans="1:6" x14ac:dyDescent="0.25">
      <c r="A215" t="s">
        <v>6</v>
      </c>
      <c r="B215" t="s">
        <v>9</v>
      </c>
      <c r="C215" t="s">
        <v>15</v>
      </c>
      <c r="D215" t="s">
        <v>230</v>
      </c>
      <c r="E215" t="s">
        <v>1206</v>
      </c>
      <c r="F215" t="str">
        <f t="shared" si="2"/>
        <v>Fiche Produit</v>
      </c>
    </row>
    <row r="216" spans="1:6" x14ac:dyDescent="0.25">
      <c r="A216" t="s">
        <v>6</v>
      </c>
      <c r="B216" t="s">
        <v>9</v>
      </c>
      <c r="C216" t="s">
        <v>15</v>
      </c>
      <c r="D216" t="s">
        <v>231</v>
      </c>
      <c r="E216" t="s">
        <v>1207</v>
      </c>
      <c r="F216" t="str">
        <f t="shared" si="2"/>
        <v>Fiche Produit</v>
      </c>
    </row>
    <row r="217" spans="1:6" x14ac:dyDescent="0.25">
      <c r="A217" t="s">
        <v>6</v>
      </c>
      <c r="B217" t="s">
        <v>9</v>
      </c>
      <c r="C217" t="s">
        <v>15</v>
      </c>
      <c r="D217" t="s">
        <v>232</v>
      </c>
      <c r="E217" t="s">
        <v>1208</v>
      </c>
      <c r="F217" t="str">
        <f t="shared" si="2"/>
        <v>Fiche Produit</v>
      </c>
    </row>
    <row r="218" spans="1:6" x14ac:dyDescent="0.25">
      <c r="A218" t="s">
        <v>6</v>
      </c>
      <c r="B218" t="s">
        <v>9</v>
      </c>
      <c r="C218" t="s">
        <v>15</v>
      </c>
      <c r="D218" t="s">
        <v>233</v>
      </c>
      <c r="E218" t="s">
        <v>1209</v>
      </c>
      <c r="F218" t="str">
        <f t="shared" si="2"/>
        <v>Fiche Produit</v>
      </c>
    </row>
    <row r="219" spans="1:6" x14ac:dyDescent="0.25">
      <c r="A219" t="s">
        <v>6</v>
      </c>
      <c r="B219" t="s">
        <v>9</v>
      </c>
      <c r="C219" t="s">
        <v>15</v>
      </c>
      <c r="D219" t="s">
        <v>234</v>
      </c>
      <c r="E219" t="s">
        <v>1209</v>
      </c>
      <c r="F219" t="str">
        <f t="shared" si="2"/>
        <v>Fiche Produit</v>
      </c>
    </row>
    <row r="220" spans="1:6" x14ac:dyDescent="0.25">
      <c r="A220" t="s">
        <v>6</v>
      </c>
      <c r="B220" t="s">
        <v>9</v>
      </c>
      <c r="C220" t="s">
        <v>15</v>
      </c>
      <c r="D220" t="s">
        <v>235</v>
      </c>
      <c r="E220" t="s">
        <v>1210</v>
      </c>
      <c r="F220" t="str">
        <f t="shared" si="2"/>
        <v>Fiche Produit</v>
      </c>
    </row>
    <row r="221" spans="1:6" x14ac:dyDescent="0.25">
      <c r="A221" t="s">
        <v>6</v>
      </c>
      <c r="B221" t="s">
        <v>9</v>
      </c>
      <c r="C221" t="s">
        <v>15</v>
      </c>
      <c r="D221" t="s">
        <v>236</v>
      </c>
      <c r="E221" t="s">
        <v>1211</v>
      </c>
      <c r="F221" t="str">
        <f t="shared" si="2"/>
        <v>Fiche Produit</v>
      </c>
    </row>
    <row r="222" spans="1:6" x14ac:dyDescent="0.25">
      <c r="A222" t="s">
        <v>6</v>
      </c>
      <c r="B222" t="s">
        <v>9</v>
      </c>
      <c r="C222" t="s">
        <v>15</v>
      </c>
      <c r="D222" t="s">
        <v>237</v>
      </c>
      <c r="E222" t="s">
        <v>1212</v>
      </c>
      <c r="F222" t="str">
        <f t="shared" si="2"/>
        <v>Fiche Produit</v>
      </c>
    </row>
    <row r="223" spans="1:6" x14ac:dyDescent="0.25">
      <c r="A223" t="s">
        <v>6</v>
      </c>
      <c r="B223" t="s">
        <v>9</v>
      </c>
      <c r="C223" t="s">
        <v>15</v>
      </c>
      <c r="D223" t="s">
        <v>238</v>
      </c>
      <c r="E223" t="s">
        <v>1213</v>
      </c>
      <c r="F223" t="str">
        <f t="shared" si="2"/>
        <v>Fiche Produit</v>
      </c>
    </row>
    <row r="224" spans="1:6" x14ac:dyDescent="0.25">
      <c r="A224" t="s">
        <v>6</v>
      </c>
      <c r="B224" t="s">
        <v>9</v>
      </c>
      <c r="C224" t="s">
        <v>15</v>
      </c>
      <c r="D224" t="s">
        <v>239</v>
      </c>
      <c r="E224" t="s">
        <v>1214</v>
      </c>
      <c r="F224" t="str">
        <f>HYPERLINK("C:\Users\longueni\Desktop\Chubb produits code\CTLG-9001639_Catalogue - Produits et Systèmes CHUBB.pdf", "Fiche Produit")</f>
        <v>Fiche Produit</v>
      </c>
    </row>
    <row r="225" spans="1:6" x14ac:dyDescent="0.25">
      <c r="A225" t="s">
        <v>6</v>
      </c>
      <c r="B225" t="s">
        <v>9</v>
      </c>
      <c r="C225" t="s">
        <v>15</v>
      </c>
      <c r="D225" t="s">
        <v>240</v>
      </c>
      <c r="E225" t="s">
        <v>1215</v>
      </c>
      <c r="F225" t="str">
        <f>HYPERLINK("C:\Users\longueni\Desktop\Chubb produits code\CTLG-9001639_Catalogue - Produits et Systèmes CHUBB.pdf", "Fiche Produit")</f>
        <v>Fiche Produit</v>
      </c>
    </row>
    <row r="226" spans="1:6" x14ac:dyDescent="0.25">
      <c r="A226" t="s">
        <v>6</v>
      </c>
      <c r="B226" t="s">
        <v>9</v>
      </c>
      <c r="C226" t="s">
        <v>15</v>
      </c>
      <c r="D226" t="s">
        <v>241</v>
      </c>
      <c r="E226" t="s">
        <v>1216</v>
      </c>
      <c r="F226" t="str">
        <f>HYPERLINK("C:\Users\longueni\Desktop\Chubb produits code\Fiche catalogue\Détection incendie\Détecteur _ socle\CAT-CS_04_36-01_Fiche catalogue - DLD 2000.pdf", "Fiche Produit")</f>
        <v>Fiche Produit</v>
      </c>
    </row>
    <row r="227" spans="1:6" x14ac:dyDescent="0.25">
      <c r="A227" t="s">
        <v>6</v>
      </c>
      <c r="B227" t="s">
        <v>9</v>
      </c>
      <c r="C227" t="s">
        <v>15</v>
      </c>
      <c r="D227" t="s">
        <v>242</v>
      </c>
      <c r="E227" t="s">
        <v>1217</v>
      </c>
      <c r="F227" t="str">
        <f>HYPERLINK("C:\Users\longueni\Desktop\Chubb produits code\CTLG-9001639_Catalogue - Produits et Systèmes CHUBB.pdf", "Fiche Produit")</f>
        <v>Fiche Produit</v>
      </c>
    </row>
    <row r="228" spans="1:6" x14ac:dyDescent="0.25">
      <c r="A228" t="s">
        <v>6</v>
      </c>
      <c r="B228" t="s">
        <v>9</v>
      </c>
      <c r="C228" t="s">
        <v>15</v>
      </c>
      <c r="D228" t="s">
        <v>243</v>
      </c>
      <c r="E228" t="s">
        <v>1218</v>
      </c>
      <c r="F228" t="str">
        <f>HYPERLINK("C:\Users\longueni\Desktop\Chubb produits code\Fiche catalogue\Détection incendie\Détecteur _ socle\OSID\CAT-018_Fiche catalogue - Détecteur de fumée - OSID.pdf", "Fiche Produit")</f>
        <v>Fiche Produit</v>
      </c>
    </row>
    <row r="229" spans="1:6" x14ac:dyDescent="0.25">
      <c r="A229" t="s">
        <v>6</v>
      </c>
      <c r="B229" t="s">
        <v>9</v>
      </c>
      <c r="C229" t="s">
        <v>15</v>
      </c>
      <c r="D229" t="s">
        <v>244</v>
      </c>
      <c r="E229" t="s">
        <v>1219</v>
      </c>
      <c r="F229" t="str">
        <f>HYPERLINK("C:\Users\longueni\Desktop\Chubb produits code\Fiche catalogue\Détection incendie\Détecteur _ socle\MODULASER\CAT-164_Fiche catalogue - Détecteur STRATOS Modulaser.pdf", "Fiche Produit")</f>
        <v>Fiche Produit</v>
      </c>
    </row>
    <row r="230" spans="1:6" x14ac:dyDescent="0.25">
      <c r="A230" t="s">
        <v>6</v>
      </c>
      <c r="B230" t="s">
        <v>9</v>
      </c>
      <c r="C230" t="s">
        <v>15</v>
      </c>
      <c r="D230" t="s">
        <v>245</v>
      </c>
      <c r="E230" t="s">
        <v>1220</v>
      </c>
      <c r="F230" t="str">
        <f>HYPERLINK("C:\Users\longueni\Desktop\Chubb produits code\Fiche catalogue\Détection incendie\Détecteur _ socle\I.Scan _ I.Scan+\CAT-CS_04_75-02_Fiche catalogue - SOCLE I.Scan+.pdf", "Fiche Produit")</f>
        <v>Fiche Produit</v>
      </c>
    </row>
    <row r="231" spans="1:6" x14ac:dyDescent="0.25">
      <c r="A231" t="s">
        <v>6</v>
      </c>
      <c r="B231" t="s">
        <v>9</v>
      </c>
      <c r="C231" t="s">
        <v>15</v>
      </c>
      <c r="D231" t="s">
        <v>246</v>
      </c>
      <c r="E231" t="s">
        <v>1221</v>
      </c>
      <c r="F231" t="str">
        <f>HYPERLINK("C:\Users\longueni\Desktop\Chubb produits code\Fiche catalogue\Détection incendie\Détecteur _ socle\I.Scan _ I.Scan+\CAT-CS_04_75-02_Fiche catalogue - SOCLE I.Scan+.pdf", "Fiche Produit")</f>
        <v>Fiche Produit</v>
      </c>
    </row>
    <row r="232" spans="1:6" x14ac:dyDescent="0.25">
      <c r="A232" t="s">
        <v>6</v>
      </c>
      <c r="B232" t="s">
        <v>9</v>
      </c>
      <c r="C232" t="s">
        <v>15</v>
      </c>
      <c r="D232" t="s">
        <v>247</v>
      </c>
      <c r="E232" t="s">
        <v>1222</v>
      </c>
      <c r="F232" t="str">
        <f>HYPERLINK("C:\Users\longueni\Desktop\Chubb produits code\Fiche catalogue\Détection incendie\Détecteur _ socle\I.Scan _ I.Scan+\CAT-CS_04_75-02_Fiche catalogue - SOCLE I.Scan+.pdf", "Fiche Produit")</f>
        <v>Fiche Produit</v>
      </c>
    </row>
    <row r="233" spans="1:6" x14ac:dyDescent="0.25">
      <c r="A233" t="s">
        <v>6</v>
      </c>
      <c r="B233" t="s">
        <v>9</v>
      </c>
      <c r="C233" t="s">
        <v>15</v>
      </c>
      <c r="D233" t="s">
        <v>248</v>
      </c>
      <c r="E233" t="s">
        <v>1223</v>
      </c>
      <c r="F233" t="str">
        <f>HYPERLINK("C:\Users\longueni\Desktop\Chubb produits code\Fiche catalogue\Détection incendie\DAAF\CAT-041_Fiche catalogue - DAACO 10 LLCO.pdf", "Fiche Produit")</f>
        <v>Fiche Produit</v>
      </c>
    </row>
    <row r="234" spans="1:6" x14ac:dyDescent="0.25">
      <c r="A234" t="s">
        <v>6</v>
      </c>
      <c r="B234" t="s">
        <v>9</v>
      </c>
      <c r="C234" t="s">
        <v>15</v>
      </c>
      <c r="D234" t="s">
        <v>249</v>
      </c>
      <c r="E234" t="s">
        <v>1224</v>
      </c>
      <c r="F234" t="str">
        <f>HYPERLINK("C:\Users\longueni\Desktop\Chubb produits code\Fiche catalogue\Détection incendie\DAAF\CAT-042_Fiche catalogue - DAACO 10 LLDCO.pdf", "Fiche Produit")</f>
        <v>Fiche Produit</v>
      </c>
    </row>
    <row r="235" spans="1:6" x14ac:dyDescent="0.25">
      <c r="A235" t="s">
        <v>6</v>
      </c>
      <c r="B235" t="s">
        <v>9</v>
      </c>
      <c r="C235" t="s">
        <v>15</v>
      </c>
      <c r="D235" t="s">
        <v>250</v>
      </c>
      <c r="E235" t="s">
        <v>1225</v>
      </c>
      <c r="F235" t="str">
        <f>HYPERLINK("C:\Users\longueni\Desktop\Chubb produits code\CTLG-9001639_Catalogue - Produits et Systèmes CHUBB.pdf", "Fiche Produit")</f>
        <v>Fiche Produit</v>
      </c>
    </row>
    <row r="236" spans="1:6" x14ac:dyDescent="0.25">
      <c r="A236" t="s">
        <v>6</v>
      </c>
      <c r="B236" t="s">
        <v>9</v>
      </c>
      <c r="C236" t="s">
        <v>15</v>
      </c>
      <c r="D236" t="s">
        <v>251</v>
      </c>
      <c r="E236" t="s">
        <v>1226</v>
      </c>
      <c r="F236" t="str">
        <f>HYPERLINK("C:\Users\longueni\Desktop\Chubb produits code\Fiche catalogue\Détection incendie\Détecteur _ socle\MODULASER\CAT-164_Fiche catalogue - Détecteur STRATOS Modulaser.pdf", "Fiche Produit")</f>
        <v>Fiche Produit</v>
      </c>
    </row>
    <row r="237" spans="1:6" x14ac:dyDescent="0.25">
      <c r="A237" t="s">
        <v>6</v>
      </c>
      <c r="B237" t="s">
        <v>9</v>
      </c>
      <c r="C237" t="s">
        <v>15</v>
      </c>
      <c r="D237" t="s">
        <v>252</v>
      </c>
      <c r="E237" t="s">
        <v>1227</v>
      </c>
      <c r="F237" t="str">
        <f>HYPERLINK("C:\Users\longueni\Desktop\Chubb produits code\Fiche catalogue\Détection incendie\Détecteur _ socle\MODULASER\CAT-164_Fiche catalogue - Détecteur STRATOS Modulaser.pdf", "Fiche Produit")</f>
        <v>Fiche Produit</v>
      </c>
    </row>
    <row r="238" spans="1:6" x14ac:dyDescent="0.25">
      <c r="A238" t="s">
        <v>6</v>
      </c>
      <c r="B238" t="s">
        <v>9</v>
      </c>
      <c r="C238" t="s">
        <v>15</v>
      </c>
      <c r="D238" t="s">
        <v>253</v>
      </c>
      <c r="E238" t="s">
        <v>1228</v>
      </c>
      <c r="F238" t="str">
        <f>HYPERLINK("C:\Users\longueni\Desktop\Chubb produits code\Fiche catalogue\Détection incendie\Accessoires_outils\CAT-CS_15_05-01_Fiche catalogue - Parafoudre bus Lon FTT_I.Scan.pdf", "Fiche Produit")</f>
        <v>Fiche Produit</v>
      </c>
    </row>
    <row r="239" spans="1:6" x14ac:dyDescent="0.25">
      <c r="A239" t="s">
        <v>6</v>
      </c>
      <c r="B239" t="s">
        <v>9</v>
      </c>
      <c r="C239" t="s">
        <v>15</v>
      </c>
      <c r="D239" t="s">
        <v>254</v>
      </c>
      <c r="E239" t="s">
        <v>1229</v>
      </c>
      <c r="F239" t="str">
        <f>HYPERLINK("C:\Users\longueni\Desktop\Chubb produits code\Fiche catalogue\Détection incendie\Accessoires_outils\CAT-CS_15_06-01_Fiche catalogue - Parafoudre communication MMP.pdf", "Fiche Produit")</f>
        <v>Fiche Produit</v>
      </c>
    </row>
    <row r="240" spans="1:6" x14ac:dyDescent="0.25">
      <c r="A240" t="s">
        <v>6</v>
      </c>
      <c r="B240" t="s">
        <v>9</v>
      </c>
      <c r="C240" t="s">
        <v>15</v>
      </c>
      <c r="D240" t="s">
        <v>255</v>
      </c>
      <c r="E240" t="s">
        <v>1230</v>
      </c>
      <c r="F240" t="str">
        <f>HYPERLINK("C:\Users\longueni\Desktop\Chubb produits code\Fiche catalogue\Détection incendie\Accessoires_outils\CAT-CS_15_08-01_Fiche catalogue - Parafoudre ligne collective.pdf", "Fiche Produit")</f>
        <v>Fiche Produit</v>
      </c>
    </row>
    <row r="241" spans="1:6" x14ac:dyDescent="0.25">
      <c r="A241" t="s">
        <v>6</v>
      </c>
      <c r="B241" t="s">
        <v>9</v>
      </c>
      <c r="C241" t="s">
        <v>15</v>
      </c>
      <c r="D241" t="s">
        <v>256</v>
      </c>
      <c r="E241" t="s">
        <v>1231</v>
      </c>
      <c r="F241" t="str">
        <f t="shared" ref="F241:F246" si="3">HYPERLINK("C:\Users\longueni\Desktop\Chubb produits code\Fiche catalogue\Détection incendie\Détecteur _ socle\CAT-CS_04_36-01_Fiche catalogue - DLD 2000.pdf", "Fiche Produit")</f>
        <v>Fiche Produit</v>
      </c>
    </row>
    <row r="242" spans="1:6" x14ac:dyDescent="0.25">
      <c r="A242" t="s">
        <v>6</v>
      </c>
      <c r="B242" t="s">
        <v>9</v>
      </c>
      <c r="C242" t="s">
        <v>15</v>
      </c>
      <c r="D242" t="s">
        <v>257</v>
      </c>
      <c r="E242" t="s">
        <v>1231</v>
      </c>
      <c r="F242" t="str">
        <f t="shared" si="3"/>
        <v>Fiche Produit</v>
      </c>
    </row>
    <row r="243" spans="1:6" x14ac:dyDescent="0.25">
      <c r="A243" t="s">
        <v>6</v>
      </c>
      <c r="B243" t="s">
        <v>9</v>
      </c>
      <c r="C243" t="s">
        <v>15</v>
      </c>
      <c r="D243" t="s">
        <v>258</v>
      </c>
      <c r="E243" t="s">
        <v>1232</v>
      </c>
      <c r="F243" t="str">
        <f t="shared" si="3"/>
        <v>Fiche Produit</v>
      </c>
    </row>
    <row r="244" spans="1:6" x14ac:dyDescent="0.25">
      <c r="A244" t="s">
        <v>6</v>
      </c>
      <c r="B244" t="s">
        <v>9</v>
      </c>
      <c r="C244" t="s">
        <v>15</v>
      </c>
      <c r="D244" t="s">
        <v>259</v>
      </c>
      <c r="E244" t="s">
        <v>1233</v>
      </c>
      <c r="F244" t="str">
        <f t="shared" si="3"/>
        <v>Fiche Produit</v>
      </c>
    </row>
    <row r="245" spans="1:6" x14ac:dyDescent="0.25">
      <c r="A245" t="s">
        <v>6</v>
      </c>
      <c r="B245" t="s">
        <v>9</v>
      </c>
      <c r="C245" t="s">
        <v>15</v>
      </c>
      <c r="D245" t="s">
        <v>260</v>
      </c>
      <c r="E245" t="s">
        <v>1234</v>
      </c>
      <c r="F245" t="str">
        <f t="shared" si="3"/>
        <v>Fiche Produit</v>
      </c>
    </row>
    <row r="246" spans="1:6" x14ac:dyDescent="0.25">
      <c r="A246" t="s">
        <v>6</v>
      </c>
      <c r="B246" t="s">
        <v>9</v>
      </c>
      <c r="C246" t="s">
        <v>15</v>
      </c>
      <c r="D246" t="s">
        <v>261</v>
      </c>
      <c r="E246" t="s">
        <v>1234</v>
      </c>
      <c r="F246" t="str">
        <f t="shared" si="3"/>
        <v>Fiche Produit</v>
      </c>
    </row>
    <row r="247" spans="1:6" x14ac:dyDescent="0.25">
      <c r="A247" t="s">
        <v>6</v>
      </c>
      <c r="B247" t="s">
        <v>9</v>
      </c>
      <c r="C247" t="s">
        <v>15</v>
      </c>
      <c r="D247" t="s">
        <v>262</v>
      </c>
      <c r="E247" t="s">
        <v>1235</v>
      </c>
      <c r="F247" t="str">
        <f>HYPERLINK("C:\Users\longueni\Desktop\Chubb produits code\CTLG-9001639_Catalogue - Produits et Systèmes CHUBB.pdf", "Fiche Produit")</f>
        <v>Fiche Produit</v>
      </c>
    </row>
    <row r="248" spans="1:6" x14ac:dyDescent="0.25">
      <c r="A248" t="s">
        <v>6</v>
      </c>
      <c r="B248" t="s">
        <v>9</v>
      </c>
      <c r="C248" t="s">
        <v>15</v>
      </c>
      <c r="D248" t="s">
        <v>263</v>
      </c>
      <c r="E248" t="s">
        <v>1236</v>
      </c>
      <c r="F248" t="str">
        <f>HYPERLINK("C:\Users\longueni\Desktop\Chubb produits code\Fiche catalogue\Détection incendie\Dispositif sonore _ lumineux\CAT-031_Fiche catalogue - Sirène DS ROLP AB.pdf", "Fiche Produit")</f>
        <v>Fiche Produit</v>
      </c>
    </row>
    <row r="249" spans="1:6" x14ac:dyDescent="0.25">
      <c r="A249" t="s">
        <v>6</v>
      </c>
      <c r="B249" t="s">
        <v>9</v>
      </c>
      <c r="C249" t="s">
        <v>15</v>
      </c>
      <c r="D249" t="s">
        <v>264</v>
      </c>
      <c r="E249" t="s">
        <v>1237</v>
      </c>
      <c r="F249" t="str">
        <f>HYPERLINK("C:\Users\longueni\Desktop\Chubb produits code\CTLG-9001639_Catalogue - Produits et Systèmes CHUBB.pdf", "Fiche Produit")</f>
        <v>Fiche Produit</v>
      </c>
    </row>
    <row r="250" spans="1:6" x14ac:dyDescent="0.25">
      <c r="A250" t="s">
        <v>6</v>
      </c>
      <c r="B250" t="s">
        <v>9</v>
      </c>
      <c r="C250" t="s">
        <v>15</v>
      </c>
      <c r="D250" t="s">
        <v>265</v>
      </c>
      <c r="E250" t="s">
        <v>1238</v>
      </c>
      <c r="F250" t="str">
        <f>HYPERLINK("C:\Users\longueni\Desktop\Chubb produits code\CTLG-9001639_Catalogue - Produits et Systèmes CHUBB.pdf", "Fiche Produit")</f>
        <v>Fiche Produit</v>
      </c>
    </row>
    <row r="251" spans="1:6" x14ac:dyDescent="0.25">
      <c r="A251" t="s">
        <v>6</v>
      </c>
      <c r="B251" t="s">
        <v>9</v>
      </c>
      <c r="C251" t="s">
        <v>15</v>
      </c>
      <c r="D251" t="s">
        <v>266</v>
      </c>
      <c r="E251" t="s">
        <v>1239</v>
      </c>
      <c r="F251" t="str">
        <f>HYPERLINK("C:\Users\longueni\Desktop\Chubb produits code\Fiche catalogue\Détection incendie\Accessoires_outils\CAT-CS_15_03-01_Fiche catalogue - Parafoudre alimentation 24V_Bus Lon LPT.pdf", "Fiche Produit")</f>
        <v>Fiche Produit</v>
      </c>
    </row>
    <row r="252" spans="1:6" x14ac:dyDescent="0.25">
      <c r="A252" t="s">
        <v>6</v>
      </c>
      <c r="B252" t="s">
        <v>9</v>
      </c>
      <c r="C252" t="s">
        <v>15</v>
      </c>
      <c r="D252" t="s">
        <v>267</v>
      </c>
      <c r="E252" t="s">
        <v>1240</v>
      </c>
      <c r="F252" t="str">
        <f>HYPERLINK("C:\Users\longueni\Desktop\Chubb produits code\Fiche catalogue\Détection incendie\Accessoires_outils\CAT-CS_15_04-01_Fiche catalogue - Parafoudre alimentation 48V.pdf", "Fiche Produit")</f>
        <v>Fiche Produit</v>
      </c>
    </row>
    <row r="253" spans="1:6" x14ac:dyDescent="0.25">
      <c r="A253" t="s">
        <v>6</v>
      </c>
      <c r="B253" t="s">
        <v>9</v>
      </c>
      <c r="C253" t="s">
        <v>15</v>
      </c>
      <c r="D253" t="s">
        <v>268</v>
      </c>
      <c r="E253" t="s">
        <v>1241</v>
      </c>
      <c r="F253" t="str">
        <f>HYPERLINK("C:\Users\longueni\Desktop\Chubb produits code\Fiche catalogue\Détection incendie\Accessoires_outils\CAT-CS_15_07-01_Fiche catalogue - Parafoudre alimentation MMP.pdf", "Fiche Produit")</f>
        <v>Fiche Produit</v>
      </c>
    </row>
    <row r="254" spans="1:6" x14ac:dyDescent="0.25">
      <c r="A254" t="s">
        <v>6</v>
      </c>
      <c r="B254" t="s">
        <v>9</v>
      </c>
      <c r="C254" t="s">
        <v>15</v>
      </c>
      <c r="D254" t="s">
        <v>269</v>
      </c>
      <c r="E254" t="s">
        <v>1242</v>
      </c>
      <c r="F254" t="str">
        <f>HYPERLINK("C:\Users\longueni\Desktop\Chubb produits code\Fiche catalogue\Détection incendie\Accessoires_outils\CAT-CS_15_01-01_Fiche catalogue - Parafoudre secteur Basse tension IT.pdf", "Fiche Produit")</f>
        <v>Fiche Produit</v>
      </c>
    </row>
    <row r="255" spans="1:6" x14ac:dyDescent="0.25">
      <c r="A255" t="s">
        <v>6</v>
      </c>
      <c r="B255" t="s">
        <v>9</v>
      </c>
      <c r="C255" t="s">
        <v>15</v>
      </c>
      <c r="D255" t="s">
        <v>270</v>
      </c>
      <c r="E255" t="s">
        <v>1243</v>
      </c>
      <c r="F255" t="str">
        <f>HYPERLINK("C:\Users\longueni\Desktop\Chubb produits code\Fiche catalogue\Détection incendie\Dispositif sonore _ lumineux\CAT-101_Fiche catalogue - ECSAV SECURIVOC - CSNF08-NF.pdf", "Fiche Produit")</f>
        <v>Fiche Produit</v>
      </c>
    </row>
    <row r="256" spans="1:6" x14ac:dyDescent="0.25">
      <c r="A256" t="s">
        <v>6</v>
      </c>
      <c r="B256" t="s">
        <v>9</v>
      </c>
      <c r="C256" t="s">
        <v>15</v>
      </c>
      <c r="D256" t="s">
        <v>271</v>
      </c>
      <c r="E256" t="s">
        <v>1244</v>
      </c>
      <c r="F256" t="str">
        <f>HYPERLINK("C:\Users\longueni\Desktop\Chubb produits code\CTLG-9001639_Catalogue - Produits et Systèmes CHUBB.pdf", "Fiche Produit")</f>
        <v>Fiche Produit</v>
      </c>
    </row>
    <row r="257" spans="1:6" x14ac:dyDescent="0.25">
      <c r="A257" t="s">
        <v>6</v>
      </c>
      <c r="B257" t="s">
        <v>9</v>
      </c>
      <c r="C257" t="s">
        <v>15</v>
      </c>
      <c r="D257" t="s">
        <v>272</v>
      </c>
      <c r="E257" t="s">
        <v>1245</v>
      </c>
      <c r="F257" t="str">
        <f>HYPERLINK("C:\Users\longueni\Desktop\Chubb produits code\CTLG-9001639_Catalogue - Produits et Systèmes CHUBB.pdf", "Fiche Produit")</f>
        <v>Fiche Produit</v>
      </c>
    </row>
    <row r="258" spans="1:6" x14ac:dyDescent="0.25">
      <c r="A258" t="s">
        <v>6</v>
      </c>
      <c r="B258" t="s">
        <v>9</v>
      </c>
      <c r="C258" t="s">
        <v>15</v>
      </c>
      <c r="D258" t="s">
        <v>273</v>
      </c>
      <c r="E258" t="s">
        <v>1246</v>
      </c>
      <c r="F258" t="str">
        <f>HYPERLINK("C:\Users\longueni\Desktop\Chubb produits code\CTLG-9001639_Catalogue - Produits et Systèmes CHUBB.pdf", "Fiche Produit")</f>
        <v>Fiche Produit</v>
      </c>
    </row>
    <row r="259" spans="1:6" x14ac:dyDescent="0.25">
      <c r="A259" t="s">
        <v>6</v>
      </c>
      <c r="B259" t="s">
        <v>9</v>
      </c>
      <c r="C259" t="s">
        <v>15</v>
      </c>
      <c r="D259" t="s">
        <v>274</v>
      </c>
      <c r="E259" t="s">
        <v>1247</v>
      </c>
      <c r="F259" t="str">
        <f>HYPERLINK("C:\Users\longueni\Desktop\Chubb produits code\CTLG-9001639_Catalogue - Produits et Systèmes CHUBB.pdf", "Fiche Produit")</f>
        <v>Fiche Produit</v>
      </c>
    </row>
    <row r="260" spans="1:6" x14ac:dyDescent="0.25">
      <c r="A260" t="s">
        <v>6</v>
      </c>
      <c r="B260" t="s">
        <v>9</v>
      </c>
      <c r="C260" t="s">
        <v>15</v>
      </c>
      <c r="D260" t="s">
        <v>275</v>
      </c>
      <c r="E260" t="s">
        <v>1248</v>
      </c>
      <c r="F260" t="str">
        <f>HYPERLINK("C:\Users\longueni\Desktop\Chubb produits code\Fiche catalogue\Détection incendie\Accessoires_outils\CAT-CS_01_69-01_Fiche catalogue - ACCESSOIRES Centrale.pdf", "Fiche Produit")</f>
        <v>Fiche Produit</v>
      </c>
    </row>
    <row r="261" spans="1:6" x14ac:dyDescent="0.25">
      <c r="A261" t="s">
        <v>6</v>
      </c>
      <c r="B261" t="s">
        <v>9</v>
      </c>
      <c r="C261" t="s">
        <v>15</v>
      </c>
      <c r="D261" t="s">
        <v>276</v>
      </c>
      <c r="E261" t="s">
        <v>1249</v>
      </c>
      <c r="F261" t="str">
        <f>HYPERLINK("C:\Users\longueni\Desktop\Chubb produits code\Fiche catalogue\Détection incendie\Accessoires_outils\CAT-CS_01_69-01_Fiche catalogue - ACCESSOIRES Centrale.pdf", "Fiche Produit")</f>
        <v>Fiche Produit</v>
      </c>
    </row>
    <row r="262" spans="1:6" x14ac:dyDescent="0.25">
      <c r="A262" t="s">
        <v>6</v>
      </c>
      <c r="B262" t="s">
        <v>9</v>
      </c>
      <c r="C262" t="s">
        <v>15</v>
      </c>
      <c r="D262" t="s">
        <v>277</v>
      </c>
      <c r="E262" t="s">
        <v>1250</v>
      </c>
      <c r="F262" t="str">
        <f>HYPERLINK("C:\Users\longueni\Desktop\Chubb produits code\Fiche catalogue\Extinction\Argo 55 _ Argo 55+\CAT-110_Fiche catalogue - VANNES DIRECTIONNELLES.pdf", "Fiche Produit")</f>
        <v>Fiche Produit</v>
      </c>
    </row>
    <row r="263" spans="1:6" x14ac:dyDescent="0.25">
      <c r="A263" t="s">
        <v>6</v>
      </c>
      <c r="B263" t="s">
        <v>9</v>
      </c>
      <c r="C263" t="s">
        <v>15</v>
      </c>
      <c r="D263" t="s">
        <v>278</v>
      </c>
      <c r="E263" t="s">
        <v>1251</v>
      </c>
      <c r="F263" t="str">
        <f>HYPERLINK("C:\Users\longueni\Desktop\Chubb produits code\Fiche catalogue\Extinction\Accessoires_outils\CAT-056_Fiche catalogue - DAOV électrique V3.pdf", "Fiche Produit")</f>
        <v>Fiche Produit</v>
      </c>
    </row>
    <row r="264" spans="1:6" x14ac:dyDescent="0.25">
      <c r="A264" t="s">
        <v>6</v>
      </c>
      <c r="B264" t="s">
        <v>9</v>
      </c>
      <c r="C264" t="s">
        <v>15</v>
      </c>
      <c r="D264" t="s">
        <v>279</v>
      </c>
      <c r="E264" t="s">
        <v>1252</v>
      </c>
      <c r="F264" t="str">
        <f>HYPERLINK("C:\Users\longueni\Desktop\Chubb produits code\Fiche catalogue\Extinction\Accessoires_outils\CAT-056_Fiche catalogue - DAOV électrique V3.pdf", "Fiche Produit")</f>
        <v>Fiche Produit</v>
      </c>
    </row>
    <row r="265" spans="1:6" x14ac:dyDescent="0.25">
      <c r="A265" t="s">
        <v>6</v>
      </c>
      <c r="B265" t="s">
        <v>9</v>
      </c>
      <c r="C265" t="s">
        <v>15</v>
      </c>
      <c r="D265" t="s">
        <v>280</v>
      </c>
      <c r="E265" t="s">
        <v>1253</v>
      </c>
      <c r="F265" t="str">
        <f>HYPERLINK("C:\Users\longueni\Desktop\Chubb produits code\Fiche catalogue\Détection incendie\Radio\R.Scan+\CAT-027_Fiche catalogue - Gamme radio R.Scan+.pdf", "Fiche Produit")</f>
        <v>Fiche Produit</v>
      </c>
    </row>
    <row r="266" spans="1:6" x14ac:dyDescent="0.25">
      <c r="A266" t="s">
        <v>6</v>
      </c>
      <c r="B266" t="s">
        <v>9</v>
      </c>
      <c r="C266" t="s">
        <v>16</v>
      </c>
      <c r="D266" t="s">
        <v>281</v>
      </c>
      <c r="E266" t="s">
        <v>1254</v>
      </c>
      <c r="F266" t="str">
        <f>HYPERLINK("C:\Users\longueni\Desktop\Chubb produits code\Fiche catalogue\Détection incendie\Détecteur _ socle\6500\CAT-CS_04_83-02_Fiche catalogue - 6500F_FS.pdf", "Fiche Produit")</f>
        <v>Fiche Produit</v>
      </c>
    </row>
    <row r="267" spans="1:6" x14ac:dyDescent="0.25">
      <c r="A267" t="s">
        <v>6</v>
      </c>
      <c r="B267" t="s">
        <v>9</v>
      </c>
      <c r="C267" t="s">
        <v>15</v>
      </c>
      <c r="D267" t="s">
        <v>282</v>
      </c>
      <c r="E267" t="s">
        <v>1255</v>
      </c>
      <c r="F267" t="str">
        <f>HYPERLINK("C:\Users\longueni\Desktop\Chubb produits code\Fiche catalogue\Détection incendie\Alimentation\CAT-140_Fiche catalogue - AES BOOSTEES SLAT.pdf", "Fiche Produit")</f>
        <v>Fiche Produit</v>
      </c>
    </row>
    <row r="268" spans="1:6" x14ac:dyDescent="0.25">
      <c r="A268" t="s">
        <v>6</v>
      </c>
      <c r="B268" t="s">
        <v>9</v>
      </c>
      <c r="C268" t="s">
        <v>15</v>
      </c>
      <c r="D268" t="s">
        <v>283</v>
      </c>
      <c r="E268" t="s">
        <v>1256</v>
      </c>
      <c r="F268" t="str">
        <f>HYPERLINK("C:\Users\longueni\Desktop\Chubb produits code\Fiche catalogue\Détection incendie\Alimentation\CAT-140_Fiche catalogue - AES BOOSTEES SLAT.pdf", "Fiche Produit")</f>
        <v>Fiche Produit</v>
      </c>
    </row>
    <row r="269" spans="1:6" x14ac:dyDescent="0.25">
      <c r="A269" t="s">
        <v>6</v>
      </c>
      <c r="B269" t="s">
        <v>9</v>
      </c>
      <c r="C269" t="s">
        <v>15</v>
      </c>
      <c r="D269" t="s">
        <v>284</v>
      </c>
      <c r="E269" t="s">
        <v>1257</v>
      </c>
      <c r="F269" t="str">
        <f>HYPERLINK("C:\Users\longueni\Desktop\Chubb produits code\Fiche catalogue\Détection incendie\Centrale\CAT-CS_01_60-01_Fiche catalogue - DEPORT LON FTT.pdf", "Fiche Produit")</f>
        <v>Fiche Produit</v>
      </c>
    </row>
    <row r="270" spans="1:6" x14ac:dyDescent="0.25">
      <c r="A270" t="s">
        <v>6</v>
      </c>
      <c r="B270" t="s">
        <v>9</v>
      </c>
      <c r="C270" t="s">
        <v>15</v>
      </c>
      <c r="D270" t="s">
        <v>285</v>
      </c>
      <c r="E270" t="s">
        <v>1258</v>
      </c>
      <c r="F270" t="str">
        <f>HYPERLINK("C:\Users\longueni\Desktop\Chubb produits code\Fiche catalogue\Détection incendie\Centrale\CAT-CS_01_61-01_Fiche catalogue - DEPORT LON LPT.pdf", "Fiche Produit")</f>
        <v>Fiche Produit</v>
      </c>
    </row>
    <row r="271" spans="1:6" x14ac:dyDescent="0.25">
      <c r="A271" t="s">
        <v>6</v>
      </c>
      <c r="B271" t="s">
        <v>9</v>
      </c>
      <c r="C271" t="s">
        <v>15</v>
      </c>
      <c r="D271" t="s">
        <v>286</v>
      </c>
      <c r="E271" t="s">
        <v>1259</v>
      </c>
      <c r="F271" t="str">
        <f>HYPERLINK("C:\Users\longueni\Desktop\Chubb produits code\Fiche catalogue\Détection incendie\Détecteur _ socle\A310E\CAT-CS_04_87-01_Fiche catalogue - A310E.pdf", "Fiche Produit")</f>
        <v>Fiche Produit</v>
      </c>
    </row>
    <row r="272" spans="1:6" x14ac:dyDescent="0.25">
      <c r="A272" t="s">
        <v>6</v>
      </c>
      <c r="B272" t="s">
        <v>9</v>
      </c>
      <c r="C272" t="s">
        <v>15</v>
      </c>
      <c r="D272" t="s">
        <v>287</v>
      </c>
      <c r="E272" t="s">
        <v>1260</v>
      </c>
      <c r="F272" t="str">
        <f>HYPERLINK("C:\Users\longueni\Desktop\Chubb produits code\Fiche catalogue\Détection incendie\Détecteur _ socle\A320E\CAT-CS_04_87-02_Fiche catalogue - A320E.pdf", "Fiche Produit")</f>
        <v>Fiche Produit</v>
      </c>
    </row>
    <row r="273" spans="1:6" x14ac:dyDescent="0.25">
      <c r="A273" t="s">
        <v>6</v>
      </c>
      <c r="B273" t="s">
        <v>9</v>
      </c>
      <c r="C273" t="s">
        <v>15</v>
      </c>
      <c r="D273" t="s">
        <v>288</v>
      </c>
      <c r="E273" t="s">
        <v>1261</v>
      </c>
      <c r="F273" t="str">
        <f>HYPERLINK("C:\Users\longueni\Desktop\Chubb produits code\Fiche catalogue\Détection incendie\Détecteur _ socle\6500\CAT-CS_04_83-01_Fiche catalogue - 6500R_RS.pdf", "Fiche Produit")</f>
        <v>Fiche Produit</v>
      </c>
    </row>
    <row r="274" spans="1:6" x14ac:dyDescent="0.25">
      <c r="A274" t="s">
        <v>6</v>
      </c>
      <c r="B274" t="s">
        <v>9</v>
      </c>
      <c r="C274" t="s">
        <v>15</v>
      </c>
      <c r="D274" t="s">
        <v>289</v>
      </c>
      <c r="E274" t="s">
        <v>1262</v>
      </c>
      <c r="F274" t="str">
        <f>HYPERLINK("C:\Users\longueni\Desktop\Chubb produits code\CTLG-9001639_Catalogue - Produits et Systèmes CHUBB.pdf", "Fiche Produit")</f>
        <v>Fiche Produit</v>
      </c>
    </row>
    <row r="275" spans="1:6" x14ac:dyDescent="0.25">
      <c r="A275" t="s">
        <v>6</v>
      </c>
      <c r="B275" t="s">
        <v>9</v>
      </c>
      <c r="C275" t="s">
        <v>15</v>
      </c>
      <c r="D275" t="s">
        <v>290</v>
      </c>
      <c r="E275" t="s">
        <v>1263</v>
      </c>
      <c r="F275" t="str">
        <f>HYPERLINK("C:\Users\longueni\Desktop\Chubb produits code\Fiche catalogue\Détection incendie\Détecteur _ socle\DET-TRONICS\CAT-097_Fiche catalogue - Détecteur DET-TRONICS X3301 IR.pdf", "Fiche Produit")</f>
        <v>Fiche Produit</v>
      </c>
    </row>
    <row r="276" spans="1:6" x14ac:dyDescent="0.25">
      <c r="A276" t="s">
        <v>6</v>
      </c>
      <c r="B276" t="s">
        <v>9</v>
      </c>
      <c r="C276" t="s">
        <v>15</v>
      </c>
      <c r="D276" t="s">
        <v>291</v>
      </c>
      <c r="E276" t="s">
        <v>1264</v>
      </c>
      <c r="F276" t="str">
        <f>HYPERLINK("C:\Users\longueni\Desktop\Chubb produits code\Fiche catalogue\Détection incendie\Dispositif sonore _ lumineux\CAT-040_Fiche catalogue - NEXUS PULSE DL DC.pdf", "Fiche Produit")</f>
        <v>Fiche Produit</v>
      </c>
    </row>
    <row r="277" spans="1:6" x14ac:dyDescent="0.25">
      <c r="A277" t="s">
        <v>6</v>
      </c>
      <c r="B277" t="s">
        <v>9</v>
      </c>
      <c r="C277" t="s">
        <v>15</v>
      </c>
      <c r="D277" t="s">
        <v>292</v>
      </c>
      <c r="E277" t="s">
        <v>1265</v>
      </c>
      <c r="F277" t="str">
        <f>HYPERLINK("C:\Users\longueni\Desktop\Chubb produits code\Fiche catalogue\Détection incendie\Dispositif sonore _ lumineux\CAT-040_Fiche catalogue - NEXUS PULSE DL DC.pdf", "Fiche Produit")</f>
        <v>Fiche Produit</v>
      </c>
    </row>
    <row r="278" spans="1:6" x14ac:dyDescent="0.25">
      <c r="A278" t="s">
        <v>6</v>
      </c>
      <c r="B278" t="s">
        <v>9</v>
      </c>
      <c r="C278" t="s">
        <v>15</v>
      </c>
      <c r="D278" t="s">
        <v>293</v>
      </c>
      <c r="E278" t="s">
        <v>1266</v>
      </c>
      <c r="F278" t="str">
        <f>HYPERLINK("C:\Users\longueni\Desktop\Chubb produits code\Fiche catalogue\Détection incendie\Dispositif sonore _ lumineux\CAT-087_Fiche catalogue - SONOS Pulse DL.pdf", "Fiche Produit")</f>
        <v>Fiche Produit</v>
      </c>
    </row>
    <row r="279" spans="1:6" x14ac:dyDescent="0.25">
      <c r="A279" t="s">
        <v>6</v>
      </c>
      <c r="B279" t="s">
        <v>9</v>
      </c>
      <c r="C279" t="s">
        <v>15</v>
      </c>
      <c r="D279" t="s">
        <v>294</v>
      </c>
      <c r="E279" t="s">
        <v>1267</v>
      </c>
      <c r="F279" t="str">
        <f>HYPERLINK("C:\Users\longueni\Desktop\Chubb produits code\Fiche catalogue\Détection incendie\Dispositif sonore _ lumineux\CAT-086_Fiche catalogue - SONOS Pulse DL DC.pdf", "Fiche Produit")</f>
        <v>Fiche Produit</v>
      </c>
    </row>
    <row r="280" spans="1:6" x14ac:dyDescent="0.25">
      <c r="A280" t="s">
        <v>6</v>
      </c>
      <c r="B280" t="s">
        <v>9</v>
      </c>
      <c r="C280" t="s">
        <v>15</v>
      </c>
      <c r="D280" t="s">
        <v>295</v>
      </c>
      <c r="E280" t="s">
        <v>1268</v>
      </c>
      <c r="F280" t="str">
        <f>HYPERLINK("C:\Users\longueni\Desktop\Chubb produits code\Fiche catalogue\Détection incendie\Dispositif sonore _ lumineux\CAT-086_Fiche catalogue - SONOS Pulse DL DC.pdf", "Fiche Produit")</f>
        <v>Fiche Produit</v>
      </c>
    </row>
    <row r="281" spans="1:6" x14ac:dyDescent="0.25">
      <c r="A281" t="s">
        <v>6</v>
      </c>
      <c r="B281" t="s">
        <v>9</v>
      </c>
      <c r="C281" t="s">
        <v>15</v>
      </c>
      <c r="D281" t="s">
        <v>296</v>
      </c>
      <c r="E281" t="s">
        <v>1269</v>
      </c>
      <c r="F281" t="str">
        <f>HYPERLINK("C:\Users\longueni\Desktop\Chubb produits code\Fiche catalogue\Détection incendie\Accessoires_outils\CAT-CS_04_99-01_Fiche catalogue - Détecteur multi ponctuel - ETBU.pdf", "Fiche Produit")</f>
        <v>Fiche Produit</v>
      </c>
    </row>
    <row r="282" spans="1:6" x14ac:dyDescent="0.25">
      <c r="A282" t="s">
        <v>6</v>
      </c>
      <c r="B282" t="s">
        <v>9</v>
      </c>
      <c r="C282" t="s">
        <v>15</v>
      </c>
      <c r="D282" t="s">
        <v>297</v>
      </c>
      <c r="E282" t="s">
        <v>1269</v>
      </c>
      <c r="F282" t="str">
        <f>HYPERLINK("C:\Users\longueni\Desktop\Chubb produits code\Fiche catalogue\Détection incendie\Accessoires_outils\CAT-CS_04_99-01_Fiche catalogue - Détecteur multi ponctuel - ETBU.pdf", "Fiche Produit")</f>
        <v>Fiche Produit</v>
      </c>
    </row>
    <row r="283" spans="1:6" x14ac:dyDescent="0.25">
      <c r="A283" t="s">
        <v>6</v>
      </c>
      <c r="B283" t="s">
        <v>9</v>
      </c>
      <c r="C283" t="s">
        <v>15</v>
      </c>
      <c r="D283" t="s">
        <v>298</v>
      </c>
      <c r="E283" t="s">
        <v>1270</v>
      </c>
      <c r="F283" t="str">
        <f>HYPERLINK("C:\Users\longueni\Desktop\Chubb produits code\Fiche catalogue\Détection incendie\Accessoires_outils\CAT-CS_04_99-01_Fiche catalogue - Détecteur multi ponctuel - ETBU.pdf", "Fiche Produit")</f>
        <v>Fiche Produit</v>
      </c>
    </row>
    <row r="284" spans="1:6" x14ac:dyDescent="0.25">
      <c r="A284" t="s">
        <v>6</v>
      </c>
      <c r="B284" t="s">
        <v>9</v>
      </c>
      <c r="C284" t="s">
        <v>15</v>
      </c>
      <c r="D284" t="s">
        <v>299</v>
      </c>
      <c r="E284" t="s">
        <v>1271</v>
      </c>
      <c r="F284" t="str">
        <f>HYPERLINK("C:\Users\longueni\Desktop\Chubb produits code\Fiche catalogue\Détection incendie\Accessoires_outils\CAT-CS_04_99-01_Fiche catalogue - Détecteur multi ponctuel - ETBU.pdf", "Fiche Produit")</f>
        <v>Fiche Produit</v>
      </c>
    </row>
    <row r="285" spans="1:6" x14ac:dyDescent="0.25">
      <c r="A285" t="s">
        <v>6</v>
      </c>
      <c r="B285" t="s">
        <v>9</v>
      </c>
      <c r="C285" t="s">
        <v>15</v>
      </c>
      <c r="D285" t="s">
        <v>300</v>
      </c>
      <c r="E285" t="s">
        <v>1272</v>
      </c>
      <c r="F285" t="str">
        <f>HYPERLINK("C:\Users\longueni\Desktop\Chubb produits code\Fiche catalogue\Détection incendie\Accessoires_outils\CAT-CS_15_07-01_Fiche catalogue - Parafoudre alimentation MMP.pdf", "Fiche Produit")</f>
        <v>Fiche Produit</v>
      </c>
    </row>
    <row r="286" spans="1:6" x14ac:dyDescent="0.25">
      <c r="A286" t="s">
        <v>6</v>
      </c>
      <c r="B286" t="s">
        <v>9</v>
      </c>
      <c r="C286" t="s">
        <v>15</v>
      </c>
      <c r="D286" t="s">
        <v>301</v>
      </c>
      <c r="E286" t="s">
        <v>1272</v>
      </c>
      <c r="F286" t="str">
        <f>HYPERLINK("C:\Users\longueni\Desktop\Chubb produits code\Fiche catalogue\Détection incendie\Accessoires_outils\CAT-CS_15_04-01_Fiche catalogue - Parafoudre alimentation 48V.pdf", "Fiche Produit")</f>
        <v>Fiche Produit</v>
      </c>
    </row>
    <row r="287" spans="1:6" x14ac:dyDescent="0.25">
      <c r="A287" t="s">
        <v>6</v>
      </c>
      <c r="B287" t="s">
        <v>9</v>
      </c>
      <c r="C287" t="s">
        <v>15</v>
      </c>
      <c r="D287" t="s">
        <v>302</v>
      </c>
      <c r="E287" t="s">
        <v>1272</v>
      </c>
      <c r="F287" t="str">
        <f>HYPERLINK("C:\Users\longueni\Desktop\Chubb produits code\Fiche catalogue\Détection incendie\Accessoires_outils\CAT-CS_15_05-01_Fiche catalogue - Parafoudre bus Lon FTT_I.Scan.pdf", "Fiche Produit")</f>
        <v>Fiche Produit</v>
      </c>
    </row>
    <row r="288" spans="1:6" x14ac:dyDescent="0.25">
      <c r="A288" t="s">
        <v>6</v>
      </c>
      <c r="B288" t="s">
        <v>9</v>
      </c>
      <c r="C288" t="s">
        <v>15</v>
      </c>
      <c r="D288" t="s">
        <v>303</v>
      </c>
      <c r="E288" t="s">
        <v>1272</v>
      </c>
      <c r="F288" t="str">
        <f>HYPERLINK("C:\Users\longueni\Desktop\Chubb produits code\Fiche catalogue\Détection incendie\Accessoires_outils\CAT-CS_15_08-01_Fiche catalogue - Parafoudre ligne collective.pdf", "Fiche Produit")</f>
        <v>Fiche Produit</v>
      </c>
    </row>
    <row r="289" spans="1:6" x14ac:dyDescent="0.25">
      <c r="A289" t="s">
        <v>6</v>
      </c>
      <c r="B289" t="s">
        <v>9</v>
      </c>
      <c r="C289" t="s">
        <v>15</v>
      </c>
      <c r="D289" t="s">
        <v>304</v>
      </c>
      <c r="E289" t="s">
        <v>1272</v>
      </c>
      <c r="F289" t="str">
        <f>HYPERLINK("C:\Users\longueni\Desktop\Chubb produits code\Fiche catalogue\Détection incendie\Accessoires_outils\CAT-CS_15_06-01_Fiche catalogue - Parafoudre communication MMP.pdf", "Fiche Produit")</f>
        <v>Fiche Produit</v>
      </c>
    </row>
    <row r="290" spans="1:6" x14ac:dyDescent="0.25">
      <c r="A290" t="s">
        <v>6</v>
      </c>
      <c r="B290" t="s">
        <v>9</v>
      </c>
      <c r="C290" t="s">
        <v>15</v>
      </c>
      <c r="D290" t="s">
        <v>305</v>
      </c>
      <c r="E290" t="s">
        <v>1272</v>
      </c>
      <c r="F290" t="str">
        <f>HYPERLINK("C:\Users\longueni\Desktop\Chubb produits code\Fiche catalogue\Détection incendie\Accessoires_outils\CAT-CS_15_01-01_Fiche catalogue - Parafoudre secteur Basse tension IT.pdf", "Fiche Produit")</f>
        <v>Fiche Produit</v>
      </c>
    </row>
    <row r="291" spans="1:6" x14ac:dyDescent="0.25">
      <c r="A291" t="s">
        <v>6</v>
      </c>
      <c r="B291" t="s">
        <v>9</v>
      </c>
      <c r="C291" t="s">
        <v>15</v>
      </c>
      <c r="D291" t="s">
        <v>306</v>
      </c>
      <c r="E291" t="s">
        <v>1272</v>
      </c>
      <c r="F291" t="str">
        <f>HYPERLINK("C:\Users\longueni\Desktop\Chubb produits code\Fiche catalogue\Détection incendie\Accessoires_outils\CAT-CS_15_03-01_Fiche catalogue - Parafoudre alimentation 24V_Bus Lon LPT.pdf", "Fiche Produit")</f>
        <v>Fiche Produit</v>
      </c>
    </row>
    <row r="292" spans="1:6" x14ac:dyDescent="0.25">
      <c r="A292" t="s">
        <v>6</v>
      </c>
      <c r="B292" t="s">
        <v>9</v>
      </c>
      <c r="C292" t="s">
        <v>15</v>
      </c>
      <c r="D292" t="s">
        <v>307</v>
      </c>
      <c r="E292" t="s">
        <v>1273</v>
      </c>
      <c r="F292" t="str">
        <f>HYPERLINK("C:\Users\longueni\Desktop\Chubb produits code\Fiche catalogue\Détection incendie\Détecteur _ socle\C.Scan _ C.Scan+\CAT-CS_04_50-01_Fiche catalogue - C.Scan+ I.pdf", "Fiche Produit")</f>
        <v>Fiche Produit</v>
      </c>
    </row>
    <row r="293" spans="1:6" x14ac:dyDescent="0.25">
      <c r="A293" t="s">
        <v>6</v>
      </c>
      <c r="B293" t="s">
        <v>9</v>
      </c>
      <c r="C293" t="s">
        <v>15</v>
      </c>
      <c r="D293" t="s">
        <v>308</v>
      </c>
      <c r="E293" t="s">
        <v>1273</v>
      </c>
      <c r="F293" t="str">
        <f>HYPERLINK("C:\Users\longueni\Desktop\Chubb produits code\Fiche catalogue\Détection incendie\Détecteur _ socle\C.Scan _ C.Scan+\CAT-CS_04_51-01_Fiche catalogue - C.Scan+ M.pdf", "Fiche Produit")</f>
        <v>Fiche Produit</v>
      </c>
    </row>
    <row r="294" spans="1:6" x14ac:dyDescent="0.25">
      <c r="A294" t="s">
        <v>6</v>
      </c>
      <c r="B294" t="s">
        <v>9</v>
      </c>
      <c r="C294" t="s">
        <v>15</v>
      </c>
      <c r="D294" t="s">
        <v>309</v>
      </c>
      <c r="E294" t="s">
        <v>1274</v>
      </c>
      <c r="F294" t="str">
        <f>HYPERLINK("C:\Users\longueni\Desktop\Chubb produits code\CTLG-9001639_Catalogue - Produits et Systèmes CHUBB.pdf", "Fiche Produit")</f>
        <v>Fiche Produit</v>
      </c>
    </row>
    <row r="295" spans="1:6" x14ac:dyDescent="0.25">
      <c r="A295" t="s">
        <v>6</v>
      </c>
      <c r="B295" t="s">
        <v>9</v>
      </c>
      <c r="C295" t="s">
        <v>15</v>
      </c>
      <c r="D295" t="s">
        <v>310</v>
      </c>
      <c r="E295" t="s">
        <v>1275</v>
      </c>
      <c r="F295" t="str">
        <f>HYPERLINK("C:\Users\longueni\Desktop\Chubb produits code\Fiche catalogue\Détection incendie\Accessoires_outils\CAT-CS_04_82-03_Fiche catalogue - ACCESSOIRES DÉTECTEURS MULTIPONCTUELS.pdf", "Fiche Produit")</f>
        <v>Fiche Produit</v>
      </c>
    </row>
    <row r="296" spans="1:6" x14ac:dyDescent="0.25">
      <c r="A296" t="s">
        <v>6</v>
      </c>
      <c r="B296" t="s">
        <v>9</v>
      </c>
      <c r="C296" t="s">
        <v>15</v>
      </c>
      <c r="D296" t="s">
        <v>311</v>
      </c>
      <c r="E296" t="s">
        <v>1276</v>
      </c>
      <c r="F296" t="str">
        <f>HYPERLINK("C:\Users\longueni\Desktop\Chubb produits code\CTLG-9001639_Catalogue - Produits et Systèmes CHUBB.pdf", "Fiche Produit")</f>
        <v>Fiche Produit</v>
      </c>
    </row>
    <row r="297" spans="1:6" x14ac:dyDescent="0.25">
      <c r="A297" t="s">
        <v>6</v>
      </c>
      <c r="B297" t="s">
        <v>9</v>
      </c>
      <c r="C297" t="s">
        <v>15</v>
      </c>
      <c r="D297" t="s">
        <v>312</v>
      </c>
      <c r="E297" t="s">
        <v>1277</v>
      </c>
      <c r="F297" t="str">
        <f>HYPERLINK("C:\Users\longueni\Desktop\Chubb produits code\CTLG-9001639_Catalogue - Produits et Systèmes CHUBB.pdf", "Fiche Produit")</f>
        <v>Fiche Produit</v>
      </c>
    </row>
    <row r="298" spans="1:6" x14ac:dyDescent="0.25">
      <c r="A298" t="s">
        <v>6</v>
      </c>
      <c r="B298" t="s">
        <v>9</v>
      </c>
      <c r="C298" t="s">
        <v>15</v>
      </c>
      <c r="D298" t="s">
        <v>313</v>
      </c>
      <c r="E298" t="s">
        <v>1278</v>
      </c>
      <c r="F298" t="str">
        <f>HYPERLINK("C:\Users\longueni\Desktop\Chubb produits code\Fiche catalogue\Détection incendie\Détecteur _ socle\CAT-CS_04_97-01_Fiche catalogue - Détecteur linéaire de chaleur DTS.pdf", "Fiche Produit")</f>
        <v>Fiche Produit</v>
      </c>
    </row>
    <row r="299" spans="1:6" x14ac:dyDescent="0.25">
      <c r="A299" t="s">
        <v>6</v>
      </c>
      <c r="B299" t="s">
        <v>9</v>
      </c>
      <c r="C299" t="s">
        <v>15</v>
      </c>
      <c r="D299" t="s">
        <v>314</v>
      </c>
      <c r="E299" t="s">
        <v>1279</v>
      </c>
      <c r="F299" t="str">
        <f>HYPERLINK("C:\Users\longueni\Desktop\Chubb produits code\Fiche catalogue\Détection incendie\Radio\R.Scan+\CAT-027_Fiche catalogue - Gamme radio R.Scan+.pdf", "Fiche Produit")</f>
        <v>Fiche Produit</v>
      </c>
    </row>
    <row r="300" spans="1:6" x14ac:dyDescent="0.25">
      <c r="A300" t="s">
        <v>6</v>
      </c>
      <c r="B300" t="s">
        <v>9</v>
      </c>
      <c r="C300" t="s">
        <v>15</v>
      </c>
      <c r="D300" t="s">
        <v>315</v>
      </c>
      <c r="E300" t="s">
        <v>1280</v>
      </c>
      <c r="F300" t="str">
        <f>HYPERLINK("C:\Users\longueni\Desktop\Chubb produits code\CTLG-9001639_Catalogue - Produits et Systèmes CHUBB.pdf", "Fiche Produit")</f>
        <v>Fiche Produit</v>
      </c>
    </row>
    <row r="301" spans="1:6" x14ac:dyDescent="0.25">
      <c r="A301" t="s">
        <v>6</v>
      </c>
      <c r="B301" t="s">
        <v>9</v>
      </c>
      <c r="C301" t="s">
        <v>15</v>
      </c>
      <c r="D301" t="s">
        <v>316</v>
      </c>
      <c r="E301" t="s">
        <v>1281</v>
      </c>
      <c r="F301" t="str">
        <f>HYPERLINK("C:\Users\longueni\Desktop\Chubb produits code\CTLG-9001639_Catalogue - Produits et Systèmes CHUBB.pdf", "Fiche Produit")</f>
        <v>Fiche Produit</v>
      </c>
    </row>
    <row r="302" spans="1:6" x14ac:dyDescent="0.25">
      <c r="A302" t="s">
        <v>6</v>
      </c>
      <c r="B302" t="s">
        <v>9</v>
      </c>
      <c r="C302" t="s">
        <v>15</v>
      </c>
      <c r="D302" t="s">
        <v>317</v>
      </c>
      <c r="E302" t="s">
        <v>1282</v>
      </c>
      <c r="F302" t="str">
        <f>HYPERLINK("C:\Users\longueni\Desktop\Chubb produits code\Fiche catalogue\Détection incendie\Détecteur _ socle\MODULASER\CAT-164_Fiche catalogue - Détecteur STRATOS Modulaser.pdf", "Fiche Produit")</f>
        <v>Fiche Produit</v>
      </c>
    </row>
    <row r="303" spans="1:6" x14ac:dyDescent="0.25">
      <c r="A303" t="s">
        <v>6</v>
      </c>
      <c r="B303" t="s">
        <v>9</v>
      </c>
      <c r="C303" t="s">
        <v>15</v>
      </c>
      <c r="D303" t="s">
        <v>318</v>
      </c>
      <c r="E303" t="s">
        <v>1283</v>
      </c>
      <c r="F303" t="str">
        <f>HYPERLINK("C:\Users\longueni\Desktop\Chubb produits code\Fiche catalogue\Détection incendie\Accessoires_outils\CAT-CS_15_10-01_Fiche catalogue - IMPRIMANTE IPP144.pdf", "Fiche Produit")</f>
        <v>Fiche Produit</v>
      </c>
    </row>
    <row r="304" spans="1:6" x14ac:dyDescent="0.25">
      <c r="A304" t="s">
        <v>6</v>
      </c>
      <c r="B304" t="s">
        <v>9</v>
      </c>
      <c r="C304" t="s">
        <v>15</v>
      </c>
      <c r="D304" t="s">
        <v>319</v>
      </c>
      <c r="E304" t="s">
        <v>1284</v>
      </c>
      <c r="F304" t="str">
        <f>HYPERLINK("C:\Users\longueni\Desktop\Chubb produits code\Fiche catalogue\Détection incendie\Détecteur _ socle\MODULASER\CAT-164_Fiche catalogue - Détecteur STRATOS Modulaser.pdf", "Fiche Produit")</f>
        <v>Fiche Produit</v>
      </c>
    </row>
    <row r="305" spans="1:6" x14ac:dyDescent="0.25">
      <c r="A305" t="s">
        <v>6</v>
      </c>
      <c r="B305" t="s">
        <v>9</v>
      </c>
      <c r="C305" t="s">
        <v>15</v>
      </c>
      <c r="D305" t="s">
        <v>320</v>
      </c>
      <c r="E305" t="s">
        <v>1285</v>
      </c>
      <c r="F305" t="str">
        <f>HYPERLINK("C:\Users\longueni\Desktop\Chubb produits code\Fiche catalogue\Détection incendie\Détecteur _ socle\CAT-CS_04_14-03_Fiche catalogue - OLFAR -  OLFAR R.pdf", "Fiche Produit")</f>
        <v>Fiche Produit</v>
      </c>
    </row>
    <row r="306" spans="1:6" x14ac:dyDescent="0.25">
      <c r="A306" t="s">
        <v>6</v>
      </c>
      <c r="B306" t="s">
        <v>9</v>
      </c>
      <c r="C306" t="s">
        <v>15</v>
      </c>
      <c r="D306" t="s">
        <v>321</v>
      </c>
      <c r="E306" t="s">
        <v>1286</v>
      </c>
      <c r="F306" t="str">
        <f>HYPERLINK("C:\Users\longueni\Desktop\Chubb produits code\Fiche catalogue\Extinction\Centrale\UTEX.Com\CAT-CS_N_16-01_Fiche catalogue - UTEX Com.pdf", "Fiche Produit")</f>
        <v>Fiche Produit</v>
      </c>
    </row>
    <row r="307" spans="1:6" x14ac:dyDescent="0.25">
      <c r="A307" t="s">
        <v>6</v>
      </c>
      <c r="B307" t="s">
        <v>9</v>
      </c>
      <c r="C307" t="s">
        <v>15</v>
      </c>
      <c r="D307" t="s">
        <v>322</v>
      </c>
      <c r="E307" t="s">
        <v>1287</v>
      </c>
      <c r="F307" t="str">
        <f>HYPERLINK("C:\Users\longueni\Desktop\Chubb produits code\Fiche catalogue\Détection incendie\Détecteur _ socle\CAT-CS_04_97-01_Fiche catalogue - Détecteur linéaire de chaleur DTS.pdf", "Fiche Produit")</f>
        <v>Fiche Produit</v>
      </c>
    </row>
    <row r="308" spans="1:6" x14ac:dyDescent="0.25">
      <c r="A308" t="s">
        <v>6</v>
      </c>
      <c r="B308" t="s">
        <v>9</v>
      </c>
      <c r="C308" t="s">
        <v>15</v>
      </c>
      <c r="D308" t="s">
        <v>323</v>
      </c>
      <c r="E308" t="s">
        <v>1287</v>
      </c>
      <c r="F308" t="str">
        <f>HYPERLINK("C:\Users\longueni\Desktop\Chubb produits code\Fiche catalogue\Détection incendie\Détecteur _ socle\CAT-CS_04_97-01_Fiche catalogue - Détecteur linéaire de chaleur DTS.pdf", "Fiche Produit")</f>
        <v>Fiche Produit</v>
      </c>
    </row>
    <row r="309" spans="1:6" x14ac:dyDescent="0.25">
      <c r="A309" t="s">
        <v>6</v>
      </c>
      <c r="B309" t="s">
        <v>9</v>
      </c>
      <c r="C309" t="s">
        <v>15</v>
      </c>
      <c r="D309" t="s">
        <v>324</v>
      </c>
      <c r="E309" t="s">
        <v>1288</v>
      </c>
      <c r="F309" t="str">
        <f>HYPERLINK("C:\Users\longueni\Desktop\Chubb produits code\Fiche catalogue\Détection incendie\Interface _ O.I. _ Report _ TRE\M501MEA\CAT-025_Fiche catalogue - M501MEA.pdf", "Fiche Produit")</f>
        <v>Fiche Produit</v>
      </c>
    </row>
    <row r="310" spans="1:6" x14ac:dyDescent="0.25">
      <c r="A310" t="s">
        <v>6</v>
      </c>
      <c r="B310" t="s">
        <v>9</v>
      </c>
      <c r="C310" t="s">
        <v>15</v>
      </c>
      <c r="D310" t="s">
        <v>325</v>
      </c>
      <c r="E310" t="s">
        <v>1289</v>
      </c>
      <c r="F310" t="str">
        <f>HYPERLINK("C:\Users\longueni\Desktop\Chubb produits code\Fiche catalogue\Détection incendie\Accessoires_outils\CAT-104_Fiche catalogue - Imprimante Resonance Rack V3.pdf", "Fiche Produit")</f>
        <v>Fiche Produit</v>
      </c>
    </row>
    <row r="311" spans="1:6" x14ac:dyDescent="0.25">
      <c r="A311" t="s">
        <v>6</v>
      </c>
      <c r="B311" t="s">
        <v>9</v>
      </c>
      <c r="C311" t="s">
        <v>15</v>
      </c>
      <c r="D311" t="s">
        <v>326</v>
      </c>
      <c r="E311" t="s">
        <v>1290</v>
      </c>
      <c r="F311" t="str">
        <f>HYPERLINK("C:\Users\longueni\Desktop\Chubb produits code\Fiche catalogue\Détection incendie\Interface _ O.I. _ Report _ TRE\TRE\CAT-107_Fiche catalogue - Répétiteur TRE RS485 - IN.Rep+ EXT.pdf", "Fiche Produit")</f>
        <v>Fiche Produit</v>
      </c>
    </row>
    <row r="312" spans="1:6" x14ac:dyDescent="0.25">
      <c r="A312" t="s">
        <v>6</v>
      </c>
      <c r="B312" t="s">
        <v>9</v>
      </c>
      <c r="C312" t="s">
        <v>15</v>
      </c>
      <c r="D312" t="s">
        <v>327</v>
      </c>
      <c r="E312" t="s">
        <v>1291</v>
      </c>
      <c r="F312" t="str">
        <f>HYPERLINK("C:\Users\longueni\Desktop\Chubb produits code\Fiche catalogue\Détection incendie\Transmetteur\CAT-161_Fiche catalogue - Transmetteur ATS1500A-IP-MM.pdf", "Fiche Produit")</f>
        <v>Fiche Produit</v>
      </c>
    </row>
    <row r="313" spans="1:6" x14ac:dyDescent="0.25">
      <c r="A313" t="s">
        <v>6</v>
      </c>
      <c r="B313" t="s">
        <v>9</v>
      </c>
      <c r="C313" t="s">
        <v>15</v>
      </c>
      <c r="D313" t="s">
        <v>328</v>
      </c>
      <c r="E313" t="s">
        <v>1292</v>
      </c>
      <c r="F313" t="str">
        <f>HYPERLINK("C:\Users\longueni\Desktop\Chubb produits code\Fiche catalogue\CAT-228_Fiche catalogue - Switch Ethernet SDI-880.pdf", "Fiche Produit")</f>
        <v>Fiche Produit</v>
      </c>
    </row>
    <row r="314" spans="1:6" x14ac:dyDescent="0.25">
      <c r="A314" t="s">
        <v>6</v>
      </c>
      <c r="B314" t="s">
        <v>9</v>
      </c>
      <c r="C314" t="s">
        <v>15</v>
      </c>
      <c r="D314" t="s">
        <v>329</v>
      </c>
      <c r="E314" t="s">
        <v>1293</v>
      </c>
      <c r="F314" t="str">
        <f>HYPERLINK("C:\Users\longueni\Desktop\Chubb produits code\Fiche catalogue\Détection incendie\Centrale\Accessoires_outils\CAT-CS_02_46-01_Fiche catalogue - MODULE 1 RELAIS RÉSONANCE.pdf", "Fiche Produit")</f>
        <v>Fiche Produit</v>
      </c>
    </row>
    <row r="315" spans="1:6" x14ac:dyDescent="0.25">
      <c r="A315" t="s">
        <v>6</v>
      </c>
      <c r="B315" t="s">
        <v>9</v>
      </c>
      <c r="C315" t="s">
        <v>15</v>
      </c>
      <c r="D315" t="s">
        <v>330</v>
      </c>
      <c r="E315" t="s">
        <v>1294</v>
      </c>
      <c r="F315" t="str">
        <f>HYPERLINK("C:\Users\longueni\Desktop\Chubb produits code\Fiche catalogue\Détection incendie\Interface _ O.I. _ Report _ TRE\INTERFACE\CAT-CS_02_65-01_Fiche catalogue - Prolongateur Ethernet DDW-120.pdf", "Fiche Produit")</f>
        <v>Fiche Produit</v>
      </c>
    </row>
    <row r="316" spans="1:6" x14ac:dyDescent="0.25">
      <c r="A316" t="s">
        <v>6</v>
      </c>
      <c r="B316" t="s">
        <v>9</v>
      </c>
      <c r="C316" t="s">
        <v>15</v>
      </c>
      <c r="D316" t="s">
        <v>331</v>
      </c>
      <c r="E316" t="s">
        <v>1295</v>
      </c>
      <c r="F316" t="str">
        <f>HYPERLINK("C:\Users\longueni\Desktop\Chubb produits code\Fiche catalogue\Détection incendie\Détecteur _ socle\6500\CAT-CS_04_81-01_Fiche catalogue - 6500R_RS_F_FS.pdf", "Fiche Produit")</f>
        <v>Fiche Produit</v>
      </c>
    </row>
    <row r="317" spans="1:6" x14ac:dyDescent="0.25">
      <c r="A317" t="s">
        <v>6</v>
      </c>
      <c r="B317" t="s">
        <v>9</v>
      </c>
      <c r="C317" t="s">
        <v>15</v>
      </c>
      <c r="D317" t="s">
        <v>332</v>
      </c>
      <c r="E317" t="s">
        <v>1296</v>
      </c>
      <c r="F317" t="str">
        <f>HYPERLINK("C:\Users\longueni\Desktop\Chubb produits code\Fiche catalogue\Détection incendie\Détecteur _ socle\6500\CAT-CS_04_83-01_Fiche catalogue - 6500R_RS.pdf", "Fiche Produit")</f>
        <v>Fiche Produit</v>
      </c>
    </row>
    <row r="318" spans="1:6" x14ac:dyDescent="0.25">
      <c r="A318" t="s">
        <v>6</v>
      </c>
      <c r="B318" t="s">
        <v>9</v>
      </c>
      <c r="C318" t="s">
        <v>15</v>
      </c>
      <c r="D318" t="s">
        <v>333</v>
      </c>
      <c r="E318" t="s">
        <v>1297</v>
      </c>
      <c r="F318" t="str">
        <f>HYPERLINK("C:\Users\longueni\Desktop\Chubb produits code\Fiche catalogue\Détection incendie\Détecteur _ socle\6500\CAT-CS_04_83-02_Fiche catalogue - 6500F_FS.pdf", "Fiche Produit")</f>
        <v>Fiche Produit</v>
      </c>
    </row>
    <row r="319" spans="1:6" x14ac:dyDescent="0.25">
      <c r="A319" t="s">
        <v>6</v>
      </c>
      <c r="B319" t="s">
        <v>9</v>
      </c>
      <c r="C319" t="s">
        <v>15</v>
      </c>
      <c r="D319" t="s">
        <v>334</v>
      </c>
      <c r="E319" t="s">
        <v>1298</v>
      </c>
      <c r="F319" t="str">
        <f>HYPERLINK("C:\Users\longueni\Desktop\Chubb produits code\Fiche catalogue\Détection incendie\Interface _ O.I. _ Report _ TRE\REPORT\CAT-CS_09_02-02_Fiche catalogue - DAGS BZ1L.pdf", "Fiche Produit")</f>
        <v>Fiche Produit</v>
      </c>
    </row>
    <row r="320" spans="1:6" x14ac:dyDescent="0.25">
      <c r="A320" t="s">
        <v>6</v>
      </c>
      <c r="B320" t="s">
        <v>9</v>
      </c>
      <c r="C320" t="s">
        <v>15</v>
      </c>
      <c r="D320" t="s">
        <v>335</v>
      </c>
      <c r="E320" t="s">
        <v>1299</v>
      </c>
      <c r="F320" t="str">
        <f>HYPERLINK("C:\Users\longueni\Desktop\Chubb produits code\Fiche catalogue\Détection incendie\Détecteur _ socle\OSID\CAT-018_Fiche catalogue - Détecteur de fumée - OSID.pdf", "Fiche Produit")</f>
        <v>Fiche Produit</v>
      </c>
    </row>
    <row r="321" spans="1:6" x14ac:dyDescent="0.25">
      <c r="A321" t="s">
        <v>6</v>
      </c>
      <c r="B321" t="s">
        <v>9</v>
      </c>
      <c r="C321" t="s">
        <v>15</v>
      </c>
      <c r="D321" t="s">
        <v>336</v>
      </c>
      <c r="E321" t="s">
        <v>1300</v>
      </c>
      <c r="F321" t="str">
        <f>HYPERLINK("C:\Users\longueni\Desktop\Chubb produits code\Fiche catalogue\Détection incendie\Centrale\CAT-CS_02_37-01_Fiche catalogue - SATC LON LPT.pdf", "Fiche Produit")</f>
        <v>Fiche Produit</v>
      </c>
    </row>
    <row r="322" spans="1:6" x14ac:dyDescent="0.25">
      <c r="A322" t="s">
        <v>6</v>
      </c>
      <c r="B322" t="s">
        <v>9</v>
      </c>
      <c r="C322" t="s">
        <v>15</v>
      </c>
      <c r="D322" t="s">
        <v>337</v>
      </c>
      <c r="E322" t="s">
        <v>1301</v>
      </c>
      <c r="F322" t="str">
        <f>HYPERLINK("C:\Users\longueni\Desktop\Chubb produits code\Fiche catalogue\Détection incendie\Accessoires_outils\CAT-CS_04_99-02_Fiche catalogue - Détecteur multi ponctuel - Filtre en ligne.pdf", "Fiche Produit")</f>
        <v>Fiche Produit</v>
      </c>
    </row>
    <row r="323" spans="1:6" x14ac:dyDescent="0.25">
      <c r="A323" t="s">
        <v>6</v>
      </c>
      <c r="B323" t="s">
        <v>9</v>
      </c>
      <c r="C323" t="s">
        <v>15</v>
      </c>
      <c r="D323" t="s">
        <v>338</v>
      </c>
      <c r="E323" t="s">
        <v>1302</v>
      </c>
      <c r="F323" t="str">
        <f>HYPERLINK("C:\Users\longueni\Desktop\Chubb produits code\Fiche catalogue\Détection incendie\Centrale\UTI.Micro Pack\CAT-CS_01_85-01_Fiche catalogue - UTI.Micro Pack.pdf", "Fiche Produit")</f>
        <v>Fiche Produit</v>
      </c>
    </row>
    <row r="324" spans="1:6" x14ac:dyDescent="0.25">
      <c r="A324" t="s">
        <v>6</v>
      </c>
      <c r="B324" t="s">
        <v>9</v>
      </c>
      <c r="C324" t="s">
        <v>15</v>
      </c>
      <c r="D324" t="s">
        <v>339</v>
      </c>
      <c r="E324" t="s">
        <v>1303</v>
      </c>
      <c r="F324" t="str">
        <f>HYPERLINK("C:\Users\longueni\Desktop\Chubb produits code\Fiche catalogue\Détection incendie\Détecteur _ socle\VESDA\CAT-008_Fiche catalogue - VESDA Laser COMPACT Exd.pdf", "Fiche Produit")</f>
        <v>Fiche Produit</v>
      </c>
    </row>
    <row r="325" spans="1:6" x14ac:dyDescent="0.25">
      <c r="A325" t="s">
        <v>6</v>
      </c>
      <c r="B325" t="s">
        <v>9</v>
      </c>
      <c r="C325" t="s">
        <v>15</v>
      </c>
      <c r="D325" t="s">
        <v>340</v>
      </c>
      <c r="E325" t="s">
        <v>1304</v>
      </c>
      <c r="F325" t="str">
        <f>HYPERLINK("C:\Users\longueni\Desktop\Chubb produits code\CTLG-9001639_Catalogue - Produits et Systèmes CHUBB.pdf", "Fiche Produit")</f>
        <v>Fiche Produit</v>
      </c>
    </row>
    <row r="326" spans="1:6" x14ac:dyDescent="0.25">
      <c r="A326" t="s">
        <v>6</v>
      </c>
      <c r="B326" t="s">
        <v>9</v>
      </c>
      <c r="C326" t="s">
        <v>15</v>
      </c>
      <c r="D326" t="s">
        <v>341</v>
      </c>
      <c r="E326" t="s">
        <v>1305</v>
      </c>
      <c r="F326" t="str">
        <f>HYPERLINK("C:\Users\longueni\Desktop\Chubb produits code\Fiche catalogue\Détection incendie\Déclencheur manuel\CAT-CS_05_08-01_Fiche catalogue - WR4001-CG1-910.pdf", "Fiche Produit")</f>
        <v>Fiche Produit</v>
      </c>
    </row>
    <row r="327" spans="1:6" x14ac:dyDescent="0.25">
      <c r="A327" t="s">
        <v>6</v>
      </c>
      <c r="B327" t="s">
        <v>9</v>
      </c>
      <c r="C327" t="s">
        <v>15</v>
      </c>
      <c r="D327" t="s">
        <v>342</v>
      </c>
      <c r="E327" t="s">
        <v>1306</v>
      </c>
      <c r="F327" t="str">
        <f>HYPERLINK("C:\Users\longueni\Desktop\Chubb produits code\Fiche catalogue\Détection incendie\DAAF\CAT-021_Fiche catalogue - 10Y29 _ DF31 - DF18.pdf", "Fiche Produit")</f>
        <v>Fiche Produit</v>
      </c>
    </row>
    <row r="328" spans="1:6" x14ac:dyDescent="0.25">
      <c r="A328" t="s">
        <v>6</v>
      </c>
      <c r="B328" t="s">
        <v>9</v>
      </c>
      <c r="C328" t="s">
        <v>15</v>
      </c>
      <c r="D328" t="s">
        <v>343</v>
      </c>
      <c r="E328" t="s">
        <v>1307</v>
      </c>
      <c r="F328" t="str">
        <f>HYPERLINK("C:\Users\longueni\Desktop\Chubb produits code\Fiche catalogue\Détection incendie\DAAF\CAT-022_Fiche catalogue - DAACO - 900-0233 standard.pdf", "Fiche Produit")</f>
        <v>Fiche Produit</v>
      </c>
    </row>
    <row r="329" spans="1:6" x14ac:dyDescent="0.25">
      <c r="A329" t="s">
        <v>6</v>
      </c>
      <c r="B329" t="s">
        <v>9</v>
      </c>
      <c r="C329" t="s">
        <v>15</v>
      </c>
      <c r="D329" t="s">
        <v>344</v>
      </c>
      <c r="E329" t="s">
        <v>1308</v>
      </c>
      <c r="F329" t="str">
        <f>HYPERLINK("C:\Users\longueni\Desktop\Chubb produits code\Fiche catalogue\Détection incendie\DAAF\Domestique\CAT-001_Fiche catalogue - 29-FR _ DF13.pdf", "Fiche Produit")</f>
        <v>Fiche Produit</v>
      </c>
    </row>
    <row r="330" spans="1:6" x14ac:dyDescent="0.25">
      <c r="A330" t="s">
        <v>6</v>
      </c>
      <c r="B330" t="s">
        <v>9</v>
      </c>
      <c r="C330" t="s">
        <v>15</v>
      </c>
      <c r="D330" t="s">
        <v>345</v>
      </c>
      <c r="E330" t="s">
        <v>1309</v>
      </c>
      <c r="F330" t="str">
        <f>HYPERLINK("C:\Users\longueni\Desktop\Chubb produits code\Fiche catalogue\Détection incendie\Détecteur _ socle\OSID\CAT-018_Fiche catalogue - Détecteur de fumée - OSID.pdf", "Fiche Produit")</f>
        <v>Fiche Produit</v>
      </c>
    </row>
    <row r="331" spans="1:6" x14ac:dyDescent="0.25">
      <c r="A331" t="s">
        <v>6</v>
      </c>
      <c r="B331" t="s">
        <v>9</v>
      </c>
      <c r="C331" t="s">
        <v>15</v>
      </c>
      <c r="D331" t="s">
        <v>346</v>
      </c>
      <c r="E331" t="s">
        <v>1310</v>
      </c>
      <c r="F331" t="str">
        <f>HYPERLINK("C:\Users\longueni\Desktop\Chubb produits code\Fiche catalogue\Détection incendie\Détecteur _ socle\CAT-130_Fiche catalogue - Socle haut S3 - C.Scan+.pdf", "Fiche Produit")</f>
        <v>Fiche Produit</v>
      </c>
    </row>
    <row r="332" spans="1:6" x14ac:dyDescent="0.25">
      <c r="A332" t="s">
        <v>6</v>
      </c>
      <c r="B332" t="s">
        <v>9</v>
      </c>
      <c r="C332" t="s">
        <v>15</v>
      </c>
      <c r="D332" t="s">
        <v>347</v>
      </c>
      <c r="E332" t="s">
        <v>1311</v>
      </c>
      <c r="F332" t="str">
        <f>HYPERLINK("C:\Users\longueni\Desktop\Chubb produits code\Fiche catalogue\Détection incendie\Accessoires_outils\CAT-CS_04_16-01_Fiche catalogue - ACCESSOIRES DÉTECTEURS PONCTUELS.pdf", "Fiche Produit")</f>
        <v>Fiche Produit</v>
      </c>
    </row>
    <row r="333" spans="1:6" x14ac:dyDescent="0.25">
      <c r="A333" t="s">
        <v>6</v>
      </c>
      <c r="B333" t="s">
        <v>9</v>
      </c>
      <c r="C333" t="s">
        <v>15</v>
      </c>
      <c r="D333" t="s">
        <v>348</v>
      </c>
      <c r="E333" t="s">
        <v>1312</v>
      </c>
      <c r="F333" t="str">
        <f>HYPERLINK("C:\Users\longueni\Desktop\Chubb produits code\Fiche catalogue\Détection incendie\Dispositif sonore _ lumineux\CAT-CS_07_15-01_Fiche catalogue - HATARI.pdf", "Fiche Produit")</f>
        <v>Fiche Produit</v>
      </c>
    </row>
    <row r="334" spans="1:6" x14ac:dyDescent="0.25">
      <c r="A334" t="s">
        <v>6</v>
      </c>
      <c r="B334" t="s">
        <v>9</v>
      </c>
      <c r="C334" t="s">
        <v>15</v>
      </c>
      <c r="D334" t="s">
        <v>349</v>
      </c>
      <c r="E334" t="s">
        <v>1313</v>
      </c>
      <c r="F334" t="str">
        <f>HYPERLINK("C:\Users\longueni\Desktop\Chubb produits code\Fiche catalogue\Extinction\Argo 55 _ Argo 55+\CAT-110_Fiche catalogue - VANNES DIRECTIONNELLES.pdf", "Fiche Produit")</f>
        <v>Fiche Produit</v>
      </c>
    </row>
    <row r="335" spans="1:6" x14ac:dyDescent="0.25">
      <c r="A335" t="s">
        <v>6</v>
      </c>
      <c r="B335" t="s">
        <v>9</v>
      </c>
      <c r="C335" t="s">
        <v>15</v>
      </c>
      <c r="D335" t="s">
        <v>350</v>
      </c>
      <c r="E335" t="s">
        <v>1314</v>
      </c>
      <c r="F335" t="str">
        <f>HYPERLINK("C:\Users\longueni\Desktop\Chubb produits code\Fiche catalogue\Détection incendie\Détecteur _ socle\CAT-CS_04_80-01_Fiche catalogue - DIR 200 C _ DIR 210 C.pdf", "Fiche Produit")</f>
        <v>Fiche Produit</v>
      </c>
    </row>
    <row r="336" spans="1:6" x14ac:dyDescent="0.25">
      <c r="A336" t="s">
        <v>6</v>
      </c>
      <c r="B336" t="s">
        <v>9</v>
      </c>
      <c r="C336" t="s">
        <v>15</v>
      </c>
      <c r="D336" t="s">
        <v>351</v>
      </c>
      <c r="E336" t="s">
        <v>1315</v>
      </c>
      <c r="F336" t="str">
        <f>HYPERLINK("C:\Users\longueni\Desktop\Chubb produits code\Fiche catalogue\Détection incendie\Détecteur _ socle\CAT-CS_04_80-01_Fiche catalogue - DIR 200 C _ DIR 210 C.pdf", "Fiche Produit")</f>
        <v>Fiche Produit</v>
      </c>
    </row>
    <row r="337" spans="1:6" x14ac:dyDescent="0.25">
      <c r="A337" t="s">
        <v>6</v>
      </c>
      <c r="B337" t="s">
        <v>9</v>
      </c>
      <c r="C337" t="s">
        <v>15</v>
      </c>
      <c r="D337" t="s">
        <v>352</v>
      </c>
      <c r="E337" t="s">
        <v>1316</v>
      </c>
      <c r="F337" t="str">
        <f>HYPERLINK("C:\Users\longueni\Desktop\Chubb produits code\Fiche catalogue\Détection incendie\Radio\R.Scan+\CAT-027_Fiche catalogue - Gamme radio R.Scan+.pdf", "Fiche Produit")</f>
        <v>Fiche Produit</v>
      </c>
    </row>
    <row r="338" spans="1:6" x14ac:dyDescent="0.25">
      <c r="A338" t="s">
        <v>6</v>
      </c>
      <c r="B338" t="s">
        <v>9</v>
      </c>
      <c r="C338" t="s">
        <v>15</v>
      </c>
      <c r="D338" t="s">
        <v>353</v>
      </c>
      <c r="E338" t="s">
        <v>1316</v>
      </c>
      <c r="F338" t="str">
        <f>HYPERLINK("C:\Users\longueni\Desktop\Chubb produits code\Fiche catalogue\Détection incendie\Radio\R.Scan+\CAT-027_Fiche catalogue - Gamme radio R.Scan+.pdf", "Fiche Produit")</f>
        <v>Fiche Produit</v>
      </c>
    </row>
    <row r="339" spans="1:6" x14ac:dyDescent="0.25">
      <c r="A339" t="s">
        <v>6</v>
      </c>
      <c r="B339" t="s">
        <v>9</v>
      </c>
      <c r="C339" t="s">
        <v>15</v>
      </c>
      <c r="D339" t="s">
        <v>354</v>
      </c>
      <c r="E339" t="s">
        <v>1317</v>
      </c>
      <c r="F339" t="str">
        <f>HYPERLINK("C:\Users\longueni\Desktop\Chubb produits code\Fiche catalogue\Détection incendie\Détecteur _ socle\CAT-CS_04_80-01_Fiche catalogue - DIR 200 C _ DIR 210 C.pdf", "Fiche Produit")</f>
        <v>Fiche Produit</v>
      </c>
    </row>
    <row r="340" spans="1:6" x14ac:dyDescent="0.25">
      <c r="A340" t="s">
        <v>6</v>
      </c>
      <c r="B340" t="s">
        <v>9</v>
      </c>
      <c r="C340" t="s">
        <v>15</v>
      </c>
      <c r="D340" t="s">
        <v>355</v>
      </c>
      <c r="E340" t="s">
        <v>1318</v>
      </c>
      <c r="F340" t="str">
        <f>HYPERLINK("C:\Users\longueni\Desktop\Chubb produits code\Fiche catalogue\Détection incendie\Interface _ O.I. _ Report _ TRE\ICC\CAT-CS_01_72-04_Fiche catalogue - ICC UAI AD1000.pdf", "Fiche Produit")</f>
        <v>Fiche Produit</v>
      </c>
    </row>
    <row r="341" spans="1:6" x14ac:dyDescent="0.25">
      <c r="A341" t="s">
        <v>6</v>
      </c>
      <c r="B341" t="s">
        <v>9</v>
      </c>
      <c r="C341" t="s">
        <v>15</v>
      </c>
      <c r="D341" t="s">
        <v>356</v>
      </c>
      <c r="E341" t="s">
        <v>1319</v>
      </c>
      <c r="F341" t="str">
        <f>HYPERLINK("C:\Users\longueni\Desktop\Chubb produits code\Fiche catalogue\Détection incendie\Centrale\UTH.Pack\CAT-CS_01_84-01_Fiche catalogue - UTH.Pack.pdf", "Fiche Produit")</f>
        <v>Fiche Produit</v>
      </c>
    </row>
    <row r="342" spans="1:6" x14ac:dyDescent="0.25">
      <c r="A342" t="s">
        <v>6</v>
      </c>
      <c r="B342" t="s">
        <v>9</v>
      </c>
      <c r="C342" t="s">
        <v>15</v>
      </c>
      <c r="D342" t="s">
        <v>357</v>
      </c>
      <c r="E342" t="s">
        <v>1320</v>
      </c>
      <c r="F342" t="str">
        <f>HYPERLINK("C:\Users\longueni\Desktop\Chubb produits code\Fiche catalogue\Détection incendie\Interface _ O.I. _ Report _ TRE\INTERFACE\CAT-CS_02_60-01_Fiche catalogue - INTERFACE I-LON10.pdf", "Fiche Produit")</f>
        <v>Fiche Produit</v>
      </c>
    </row>
    <row r="343" spans="1:6" x14ac:dyDescent="0.25">
      <c r="A343" t="s">
        <v>6</v>
      </c>
      <c r="B343" t="s">
        <v>9</v>
      </c>
      <c r="C343" t="s">
        <v>15</v>
      </c>
      <c r="D343" t="s">
        <v>358</v>
      </c>
      <c r="E343" t="s">
        <v>1321</v>
      </c>
      <c r="F343" t="str">
        <f>HYPERLINK("C:\Users\longueni\Desktop\Chubb produits code\Fiche catalogue\Détection incendie\Centrale\INitium\CAT-049_Fiche catalogue - INitium-I ECS-CMSI.pdf", "Fiche Produit")</f>
        <v>Fiche Produit</v>
      </c>
    </row>
    <row r="344" spans="1:6" x14ac:dyDescent="0.25">
      <c r="A344" t="s">
        <v>6</v>
      </c>
      <c r="B344" t="s">
        <v>9</v>
      </c>
      <c r="C344" t="s">
        <v>15</v>
      </c>
      <c r="D344" t="s">
        <v>359</v>
      </c>
      <c r="E344" t="s">
        <v>1322</v>
      </c>
      <c r="F344" t="str">
        <f>HYPERLINK("C:\Users\longueni\Desktop\Chubb produits code\Fiche catalogue\Détection incendie\Centrale\CAT-176_Fiche catalogue - Détecteur de flammes IRY2.pdf", "Fiche Produit")</f>
        <v>Fiche Produit</v>
      </c>
    </row>
    <row r="345" spans="1:6" x14ac:dyDescent="0.25">
      <c r="A345" t="s">
        <v>6</v>
      </c>
      <c r="B345" t="s">
        <v>9</v>
      </c>
      <c r="C345" t="s">
        <v>15</v>
      </c>
      <c r="D345" t="s">
        <v>360</v>
      </c>
      <c r="E345" t="s">
        <v>1323</v>
      </c>
      <c r="F345" t="str">
        <f>HYPERLINK("C:\Users\longueni\Desktop\Chubb produits code\Fiche catalogue\Détection incendie\Centrale\INitium\CAT-050_Fiche catalogue - INitium-S.pdf", "Fiche Produit")</f>
        <v>Fiche Produit</v>
      </c>
    </row>
    <row r="346" spans="1:6" x14ac:dyDescent="0.25">
      <c r="A346" t="s">
        <v>6</v>
      </c>
      <c r="B346" t="s">
        <v>9</v>
      </c>
      <c r="C346" t="s">
        <v>15</v>
      </c>
      <c r="D346" t="s">
        <v>361</v>
      </c>
      <c r="E346" t="s">
        <v>1324</v>
      </c>
      <c r="F346" t="str">
        <f>HYPERLINK("C:\Users\longueni\Desktop\Chubb produits code\Fiche catalogue\Détection incendie\Centrale\INitium\CAT-050_Fiche catalogue - INitium-S.pdf", "Fiche Produit")</f>
        <v>Fiche Produit</v>
      </c>
    </row>
    <row r="347" spans="1:6" x14ac:dyDescent="0.25">
      <c r="A347" t="s">
        <v>6</v>
      </c>
      <c r="B347" t="s">
        <v>9</v>
      </c>
      <c r="C347" t="s">
        <v>15</v>
      </c>
      <c r="D347" t="s">
        <v>362</v>
      </c>
      <c r="E347" t="s">
        <v>1325</v>
      </c>
      <c r="F347" t="str">
        <f>HYPERLINK("C:\Users\longueni\Desktop\Chubb produits code\Fiche catalogue\Détection incendie\Radio\T4RF\CAT-158_Fiche catalogue - Alarme T4 SECTEUR RF Chubb.pdf", "Fiche Produit")</f>
        <v>Fiche Produit</v>
      </c>
    </row>
    <row r="348" spans="1:6" x14ac:dyDescent="0.25">
      <c r="A348" t="s">
        <v>6</v>
      </c>
      <c r="B348" t="s">
        <v>9</v>
      </c>
      <c r="C348" t="s">
        <v>15</v>
      </c>
      <c r="D348" t="s">
        <v>363</v>
      </c>
      <c r="E348" t="s">
        <v>1326</v>
      </c>
      <c r="F348" t="str">
        <f>HYPERLINK("C:\Users\longueni\Desktop\Chubb produits code\Fiche catalogue\Détection incendie\Centrale\CAT-176_Fiche catalogue - Détecteur de flammes IRY2.pdf", "Fiche Produit")</f>
        <v>Fiche Produit</v>
      </c>
    </row>
    <row r="349" spans="1:6" x14ac:dyDescent="0.25">
      <c r="A349" t="s">
        <v>6</v>
      </c>
      <c r="B349" t="s">
        <v>9</v>
      </c>
      <c r="C349" t="s">
        <v>15</v>
      </c>
      <c r="D349" t="s">
        <v>364</v>
      </c>
      <c r="E349" t="s">
        <v>1327</v>
      </c>
      <c r="F349" t="str">
        <f>HYPERLINK("C:\Users\longueni\Desktop\Chubb produits code\Fiche catalogue\Détection incendie\Centrale\UTH.Pack\CAT-CS_01_84-01_Fiche catalogue - UTH.Pack.pdf", "Fiche Produit")</f>
        <v>Fiche Produit</v>
      </c>
    </row>
    <row r="350" spans="1:6" x14ac:dyDescent="0.25">
      <c r="A350" t="s">
        <v>6</v>
      </c>
      <c r="B350" t="s">
        <v>9</v>
      </c>
      <c r="C350" t="s">
        <v>15</v>
      </c>
      <c r="D350" t="s">
        <v>365</v>
      </c>
      <c r="E350" t="s">
        <v>1328</v>
      </c>
      <c r="F350" t="str">
        <f>HYPERLINK("C:\Users\longueni\Desktop\Chubb produits code\Fiche catalogue\Détection incendie\Accessoires_outils\CAT-CS_15_10-01_Fiche catalogue - IMPRIMANTE IPP144.pdf", "Fiche Produit")</f>
        <v>Fiche Produit</v>
      </c>
    </row>
    <row r="351" spans="1:6" x14ac:dyDescent="0.25">
      <c r="A351" t="s">
        <v>6</v>
      </c>
      <c r="B351" t="s">
        <v>9</v>
      </c>
      <c r="C351" t="s">
        <v>15</v>
      </c>
      <c r="D351" t="s">
        <v>366</v>
      </c>
      <c r="E351" t="s">
        <v>1329</v>
      </c>
      <c r="F351" t="str">
        <f>HYPERLINK("C:\Users\longueni\Desktop\Chubb produits code\Fiche catalogue\Détection incendie\Accessoires_outils\CAT-CS_15_12-01_Fiche catalogue - Imprimante KYORACK.pdf", "Fiche Produit")</f>
        <v>Fiche Produit</v>
      </c>
    </row>
    <row r="352" spans="1:6" x14ac:dyDescent="0.25">
      <c r="A352" t="s">
        <v>6</v>
      </c>
      <c r="B352" t="s">
        <v>9</v>
      </c>
      <c r="C352" t="s">
        <v>15</v>
      </c>
      <c r="D352" t="s">
        <v>367</v>
      </c>
      <c r="E352" t="s">
        <v>1330</v>
      </c>
      <c r="F352" t="str">
        <f>HYPERLINK("C:\Users\longueni\Desktop\Chubb produits code\Fiche catalogue\Détection incendie\Détecteur _ socle\C.Scan _ C.Scan+\CAT-CS_04_50-01_Fiche catalogue - C.Scan+ I.pdf", "Fiche Produit")</f>
        <v>Fiche Produit</v>
      </c>
    </row>
    <row r="353" spans="1:6" x14ac:dyDescent="0.25">
      <c r="A353" t="s">
        <v>6</v>
      </c>
      <c r="B353" t="s">
        <v>9</v>
      </c>
      <c r="C353" t="s">
        <v>15</v>
      </c>
      <c r="D353" t="s">
        <v>368</v>
      </c>
      <c r="E353" t="s">
        <v>1331</v>
      </c>
      <c r="F353" t="str">
        <f>HYPERLINK("C:\Users\longueni\Desktop\Chubb produits code\Fiche catalogue\Détection incendie\Détecteur _ socle\C.Scan _ C.Scan+\CAT-CS_04_50-01_Fiche catalogue - C.Scan+ I.pdf", "Fiche Produit")</f>
        <v>Fiche Produit</v>
      </c>
    </row>
    <row r="354" spans="1:6" x14ac:dyDescent="0.25">
      <c r="A354" t="s">
        <v>6</v>
      </c>
      <c r="B354" t="s">
        <v>9</v>
      </c>
      <c r="C354" t="s">
        <v>15</v>
      </c>
      <c r="D354" t="s">
        <v>369</v>
      </c>
      <c r="E354" t="s">
        <v>1332</v>
      </c>
      <c r="F354" t="str">
        <f>HYPERLINK("C:\Users\longueni\Desktop\Chubb produits code\Fiche catalogue\Détection incendie\Détecteur _ socle\CAT-CS_04_101-01_Fiche catalogue - Détecteur de flammes UV -55000-025 APOLLO.pdf", "Fiche Produit")</f>
        <v>Fiche Produit</v>
      </c>
    </row>
    <row r="355" spans="1:6" x14ac:dyDescent="0.25">
      <c r="A355" t="s">
        <v>6</v>
      </c>
      <c r="B355" t="s">
        <v>9</v>
      </c>
      <c r="C355" t="s">
        <v>15</v>
      </c>
      <c r="D355" t="s">
        <v>370</v>
      </c>
      <c r="E355" t="s">
        <v>1333</v>
      </c>
      <c r="F355" t="str">
        <f>HYPERLINK("C:\Users\longueni\Desktop\Chubb produits code\Fiche catalogue\Détection incendie\Détecteur _ socle\I.Scan _ I.Scan+\CAT-157_Fiche catalogue - LASER.Scan 2.pdf", "Fiche Produit")</f>
        <v>Fiche Produit</v>
      </c>
    </row>
    <row r="356" spans="1:6" x14ac:dyDescent="0.25">
      <c r="A356" t="s">
        <v>6</v>
      </c>
      <c r="B356" t="s">
        <v>9</v>
      </c>
      <c r="C356" t="s">
        <v>15</v>
      </c>
      <c r="D356" t="s">
        <v>371</v>
      </c>
      <c r="E356" t="s">
        <v>1334</v>
      </c>
      <c r="F356" t="str">
        <f>HYPERLINK("C:\Users\longueni\Desktop\Chubb produits code\Fiche catalogue\Détection incendie\Détecteur _ socle\I.Scan _ I.Scan+\CAT-157_Fiche catalogue - LASER.Scan 2.pdf", "Fiche Produit")</f>
        <v>Fiche Produit</v>
      </c>
    </row>
    <row r="357" spans="1:6" x14ac:dyDescent="0.25">
      <c r="A357" t="s">
        <v>6</v>
      </c>
      <c r="B357" t="s">
        <v>9</v>
      </c>
      <c r="C357" t="s">
        <v>15</v>
      </c>
      <c r="D357" t="s">
        <v>372</v>
      </c>
      <c r="E357" t="s">
        <v>1335</v>
      </c>
      <c r="F357" t="str">
        <f>HYPERLINK("C:\Users\longueni\Desktop\Chubb produits code\Fiche catalogue\Détection incendie\Détecteur _ socle\I.Scan _ I.Scan+\CAT-157_Fiche catalogue - LASER.Scan 2.pdf", "Fiche Produit")</f>
        <v>Fiche Produit</v>
      </c>
    </row>
    <row r="358" spans="1:6" x14ac:dyDescent="0.25">
      <c r="A358" t="s">
        <v>6</v>
      </c>
      <c r="B358" t="s">
        <v>9</v>
      </c>
      <c r="C358" t="s">
        <v>15</v>
      </c>
      <c r="D358" t="s">
        <v>373</v>
      </c>
      <c r="E358" t="s">
        <v>1336</v>
      </c>
      <c r="F358" t="str">
        <f>HYPERLINK("C:\Users\longueni\Desktop\Chubb produits code\Fiche catalogue\Détection incendie\Détecteur _ socle\I.Scan _ I.Scan+\CAT-157_Fiche catalogue - LASER.Scan 2.pdf", "Fiche Produit")</f>
        <v>Fiche Produit</v>
      </c>
    </row>
    <row r="359" spans="1:6" x14ac:dyDescent="0.25">
      <c r="A359" t="s">
        <v>6</v>
      </c>
      <c r="B359" t="s">
        <v>9</v>
      </c>
      <c r="C359" t="s">
        <v>15</v>
      </c>
      <c r="D359" t="s">
        <v>374</v>
      </c>
      <c r="E359" t="s">
        <v>1337</v>
      </c>
      <c r="F359" t="str">
        <f>HYPERLINK("C:\Users\longueni\Desktop\Chubb produits code\Fiche catalogue\CAT-229_Fiche catalogue - Etiquettes activité Extinction automatique.pdf", "Fiche Produit")</f>
        <v>Fiche Produit</v>
      </c>
    </row>
    <row r="360" spans="1:6" x14ac:dyDescent="0.25">
      <c r="A360" t="s">
        <v>6</v>
      </c>
      <c r="B360" t="s">
        <v>9</v>
      </c>
      <c r="C360" t="s">
        <v>15</v>
      </c>
      <c r="D360" t="s">
        <v>375</v>
      </c>
      <c r="E360" t="s">
        <v>1338</v>
      </c>
      <c r="F360" t="str">
        <f>HYPERLINK("C:\Users\longueni\Desktop\Chubb produits code\Fiche catalogue\Détection incendie\Interface _ O.I. _ Report _ TRE\INTERFACE\CAT-CS_02_66-01_Fiche catalogue - INTERFACE EDW-100.pdf", "Fiche Produit")</f>
        <v>Fiche Produit</v>
      </c>
    </row>
    <row r="361" spans="1:6" x14ac:dyDescent="0.25">
      <c r="A361" t="s">
        <v>6</v>
      </c>
      <c r="B361" t="s">
        <v>9</v>
      </c>
      <c r="C361" t="s">
        <v>15</v>
      </c>
      <c r="D361" t="s">
        <v>376</v>
      </c>
      <c r="E361" t="s">
        <v>1339</v>
      </c>
      <c r="F361" t="str">
        <f>HYPERLINK("C:\Users\longueni\Desktop\Chubb produits code\Fiche catalogue\Détection incendie\Détecteur _ socle\VESDA\CAT-CS_04_32-01_Fiche catalogue - VESDA LASER PLUS.pdf", "Fiche Produit")</f>
        <v>Fiche Produit</v>
      </c>
    </row>
    <row r="362" spans="1:6" x14ac:dyDescent="0.25">
      <c r="A362" t="s">
        <v>6</v>
      </c>
      <c r="B362" t="s">
        <v>9</v>
      </c>
      <c r="C362" t="s">
        <v>15</v>
      </c>
      <c r="D362" t="s">
        <v>377</v>
      </c>
      <c r="E362" t="s">
        <v>1340</v>
      </c>
      <c r="F362" t="str">
        <f>HYPERLINK("C:\Users\longueni\Desktop\Chubb produits code\Fiche catalogue\Détection incendie\Détecteur _ socle\OC05FEX\CAT-089_Fiche catalogue - Détecteur OC05FEX.pdf", "Fiche Produit")</f>
        <v>Fiche Produit</v>
      </c>
    </row>
    <row r="363" spans="1:6" x14ac:dyDescent="0.25">
      <c r="A363" t="s">
        <v>6</v>
      </c>
      <c r="B363" t="s">
        <v>9</v>
      </c>
      <c r="C363" t="s">
        <v>15</v>
      </c>
      <c r="D363" t="s">
        <v>378</v>
      </c>
      <c r="E363" t="s">
        <v>1341</v>
      </c>
      <c r="F363" t="str">
        <f>HYPERLINK("C:\Users\longueni\Desktop\Chubb produits code\Fiche catalogue\Détection incendie\Centrale\CAT-CS_04_85-01_Fiche catalogue - GAMME RADIO.pdf", "Fiche Produit")</f>
        <v>Fiche Produit</v>
      </c>
    </row>
    <row r="364" spans="1:6" x14ac:dyDescent="0.25">
      <c r="A364" t="s">
        <v>6</v>
      </c>
      <c r="B364" t="s">
        <v>9</v>
      </c>
      <c r="C364" t="s">
        <v>15</v>
      </c>
      <c r="D364" t="s">
        <v>379</v>
      </c>
      <c r="E364" t="s">
        <v>1342</v>
      </c>
      <c r="F364" t="str">
        <f>HYPERLINK("C:\Users\longueni\Desktop\Chubb produits code\Fiche catalogue\Détection incendie\Détecteur _ socle\CAT-CS_04_103-01_Fiche catalogue - IR² ATEX 16511.pdf", "Fiche Produit")</f>
        <v>Fiche Produit</v>
      </c>
    </row>
    <row r="365" spans="1:6" x14ac:dyDescent="0.25">
      <c r="A365" t="s">
        <v>6</v>
      </c>
      <c r="B365" t="s">
        <v>9</v>
      </c>
      <c r="C365" t="s">
        <v>15</v>
      </c>
      <c r="D365" t="s">
        <v>380</v>
      </c>
      <c r="E365" t="s">
        <v>1343</v>
      </c>
      <c r="F365" t="str">
        <f>HYPERLINK("C:\Users\longueni\Desktop\Chubb produits code\Fiche catalogue\CAT-229_Fiche catalogue - Etiquettes activité Extinction automatique.pdf", "Fiche Produit")</f>
        <v>Fiche Produit</v>
      </c>
    </row>
    <row r="366" spans="1:6" x14ac:dyDescent="0.25">
      <c r="A366" t="s">
        <v>6</v>
      </c>
      <c r="B366" t="s">
        <v>9</v>
      </c>
      <c r="C366" t="s">
        <v>15</v>
      </c>
      <c r="D366" t="s">
        <v>381</v>
      </c>
      <c r="E366" t="s">
        <v>1344</v>
      </c>
      <c r="F366" t="str">
        <f>HYPERLINK("C:\Users\longueni\Desktop\Chubb produits code\Fiche catalogue\Détection incendie\Détecteur _ socle\CAT-CS_04_14-03_Fiche catalogue - OLFAR -  OLFAR R.pdf", "Fiche Produit")</f>
        <v>Fiche Produit</v>
      </c>
    </row>
    <row r="367" spans="1:6" x14ac:dyDescent="0.25">
      <c r="A367" t="s">
        <v>6</v>
      </c>
      <c r="B367" t="s">
        <v>9</v>
      </c>
      <c r="C367" t="s">
        <v>15</v>
      </c>
      <c r="D367" t="s">
        <v>382</v>
      </c>
      <c r="E367" t="s">
        <v>1345</v>
      </c>
      <c r="F367" t="str">
        <f>HYPERLINK("C:\Users\longueni\Desktop\Chubb produits code\Fiche catalogue\Détection incendie\Détecteur _ socle\CAT-CS_04_14-03_Fiche catalogue - OLFAR -  OLFAR R.pdf", "Fiche Produit")</f>
        <v>Fiche Produit</v>
      </c>
    </row>
    <row r="368" spans="1:6" x14ac:dyDescent="0.25">
      <c r="A368" t="s">
        <v>6</v>
      </c>
      <c r="B368" t="s">
        <v>9</v>
      </c>
      <c r="C368" t="s">
        <v>15</v>
      </c>
      <c r="D368" t="s">
        <v>383</v>
      </c>
      <c r="E368" t="s">
        <v>1346</v>
      </c>
      <c r="F368" t="str">
        <f>HYPERLINK("C:\Users\longueni\Desktop\Chubb produits code\Fiche catalogue\Détection incendie\Accessoires_outils\CAT-CS_04_82-03_Fiche catalogue - ACCESSOIRES DÉTECTEURS MULTIPONCTUELS.pdf", "Fiche Produit")</f>
        <v>Fiche Produit</v>
      </c>
    </row>
    <row r="369" spans="1:6" x14ac:dyDescent="0.25">
      <c r="A369" t="s">
        <v>6</v>
      </c>
      <c r="B369" t="s">
        <v>9</v>
      </c>
      <c r="C369" t="s">
        <v>15</v>
      </c>
      <c r="D369" t="s">
        <v>384</v>
      </c>
      <c r="E369" t="s">
        <v>1347</v>
      </c>
      <c r="F369" t="str">
        <f>HYPERLINK("C:\Users\longueni\Desktop\Chubb produits code\CTLG-9001639_Catalogue - Produits et Systèmes CHUBB.pdf", "Fiche Produit")</f>
        <v>Fiche Produit</v>
      </c>
    </row>
    <row r="370" spans="1:6" x14ac:dyDescent="0.25">
      <c r="A370" t="s">
        <v>6</v>
      </c>
      <c r="B370" t="s">
        <v>9</v>
      </c>
      <c r="C370" t="s">
        <v>15</v>
      </c>
      <c r="D370" t="s">
        <v>385</v>
      </c>
      <c r="E370" t="s">
        <v>1348</v>
      </c>
      <c r="F370" t="str">
        <f>HYPERLINK("C:\Users\longueni\Desktop\Chubb produits code\Fiche catalogue\Détection incendie\Interface _ O.I. _ Report _ TRE\INTERFACE\CAT-CS_02_63-02_Fiche catalogue - CONVERTISSEUR LON_FO LRW-100.pdf", "Fiche Produit")</f>
        <v>Fiche Produit</v>
      </c>
    </row>
    <row r="371" spans="1:6" x14ac:dyDescent="0.25">
      <c r="A371" t="s">
        <v>6</v>
      </c>
      <c r="B371" t="s">
        <v>9</v>
      </c>
      <c r="C371" t="s">
        <v>15</v>
      </c>
      <c r="D371" t="s">
        <v>386</v>
      </c>
      <c r="E371" t="s">
        <v>1349</v>
      </c>
      <c r="F371" t="str">
        <f>HYPERLINK("C:\Users\longueni\Desktop\Chubb produits code\Fiche catalogue\Détection incendie\Accessoires_outils\CAT-058_Fiche catalogue - Kit Filtre Déport Lon LPT_MD8V.pdf", "Fiche Produit")</f>
        <v>Fiche Produit</v>
      </c>
    </row>
    <row r="372" spans="1:6" x14ac:dyDescent="0.25">
      <c r="A372" t="s">
        <v>6</v>
      </c>
      <c r="B372" t="s">
        <v>9</v>
      </c>
      <c r="C372" t="s">
        <v>15</v>
      </c>
      <c r="D372" t="s">
        <v>387</v>
      </c>
      <c r="E372" t="s">
        <v>1350</v>
      </c>
      <c r="F372" t="str">
        <f>HYPERLINK("C:\Users\longueni\Desktop\Chubb produits code\Fiche catalogue\Détection incendie\Détecteur _ socle\OSID\CAT-018_Fiche catalogue - Détecteur de fumée - OSID.pdf", "Fiche Produit")</f>
        <v>Fiche Produit</v>
      </c>
    </row>
    <row r="373" spans="1:6" x14ac:dyDescent="0.25">
      <c r="A373" t="s">
        <v>6</v>
      </c>
      <c r="B373" t="s">
        <v>9</v>
      </c>
      <c r="C373" t="s">
        <v>15</v>
      </c>
      <c r="D373" t="s">
        <v>388</v>
      </c>
      <c r="E373" t="s">
        <v>1351</v>
      </c>
      <c r="F373" t="str">
        <f>HYPERLINK("C:\Users\longueni\Desktop\Chubb produits code\Fiche catalogue\Détection incendie\Détecteur _ socle\DET-TRONICS\CAT-097_Fiche catalogue - Détecteur DET-TRONICS X3301 IR.pdf", "Fiche Produit")</f>
        <v>Fiche Produit</v>
      </c>
    </row>
    <row r="374" spans="1:6" x14ac:dyDescent="0.25">
      <c r="A374" t="s">
        <v>6</v>
      </c>
      <c r="B374" t="s">
        <v>9</v>
      </c>
      <c r="C374" t="s">
        <v>15</v>
      </c>
      <c r="D374" t="s">
        <v>389</v>
      </c>
      <c r="E374" t="s">
        <v>1352</v>
      </c>
      <c r="F374" t="str">
        <f>HYPERLINK("C:\Users\longueni\Desktop\Chubb produits code\Fiche catalogue\Détection incendie\Détecteur _ socle\CAT-CS_04_84-01_Fiche catalogue - Laser.Scan.pdf", "Fiche Produit")</f>
        <v>Fiche Produit</v>
      </c>
    </row>
    <row r="375" spans="1:6" x14ac:dyDescent="0.25">
      <c r="A375" t="s">
        <v>6</v>
      </c>
      <c r="B375" t="s">
        <v>9</v>
      </c>
      <c r="C375" t="s">
        <v>15</v>
      </c>
      <c r="D375" t="s">
        <v>390</v>
      </c>
      <c r="E375" t="s">
        <v>1353</v>
      </c>
      <c r="F375" t="str">
        <f>HYPERLINK("C:\Users\longueni\Desktop\Chubb produits code\Fiche catalogue\Détection incendie\Interface _ O.I. _ Report _ TRE\INTERFACE\CAT-CS_02_63-02_Fiche catalogue - CONVERTISSEUR LON_FO LRW-100.pdf", "Fiche Produit")</f>
        <v>Fiche Produit</v>
      </c>
    </row>
    <row r="376" spans="1:6" x14ac:dyDescent="0.25">
      <c r="A376" t="s">
        <v>6</v>
      </c>
      <c r="B376" t="s">
        <v>9</v>
      </c>
      <c r="C376" t="s">
        <v>15</v>
      </c>
      <c r="D376" t="s">
        <v>391</v>
      </c>
      <c r="E376" t="s">
        <v>1354</v>
      </c>
      <c r="F376" t="str">
        <f>HYPERLINK("C:\Users\longueni\Desktop\Chubb produits code\Fiche catalogue\Détection incendie\Détecteur _ socle\CAT-CS_04_101-01_Fiche catalogue - Détecteur de flammes UV -55000-025 APOLLO.pdf", "Fiche Produit")</f>
        <v>Fiche Produit</v>
      </c>
    </row>
    <row r="377" spans="1:6" x14ac:dyDescent="0.25">
      <c r="A377" t="s">
        <v>6</v>
      </c>
      <c r="B377" t="s">
        <v>9</v>
      </c>
      <c r="C377" t="s">
        <v>15</v>
      </c>
      <c r="D377" t="s">
        <v>392</v>
      </c>
      <c r="E377" t="s">
        <v>1355</v>
      </c>
      <c r="F377" t="str">
        <f>HYPERLINK("C:\Users\longueni\Desktop\Chubb produits code\Fiche catalogue\Extinction\Argo 55 _ Argo 55+\CAT-110_Fiche catalogue - VANNES DIRECTIONNELLES.pdf", "Fiche Produit")</f>
        <v>Fiche Produit</v>
      </c>
    </row>
    <row r="378" spans="1:6" x14ac:dyDescent="0.25">
      <c r="A378" t="s">
        <v>6</v>
      </c>
      <c r="B378" t="s">
        <v>9</v>
      </c>
      <c r="C378" t="s">
        <v>15</v>
      </c>
      <c r="D378" t="s">
        <v>393</v>
      </c>
      <c r="E378" t="s">
        <v>1356</v>
      </c>
      <c r="F378" t="str">
        <f>HYPERLINK("C:\Users\longueni\Desktop\Chubb produits code\Fiche catalogue\Détection incendie\Détecteur _ socle\VESDA\CAT-CS_04_32-01_Fiche catalogue - VESDA LASER PLUS.pdf", "Fiche Produit")</f>
        <v>Fiche Produit</v>
      </c>
    </row>
    <row r="379" spans="1:6" x14ac:dyDescent="0.25">
      <c r="A379" t="s">
        <v>6</v>
      </c>
      <c r="B379" t="s">
        <v>9</v>
      </c>
      <c r="C379" t="s">
        <v>15</v>
      </c>
      <c r="D379" t="s">
        <v>394</v>
      </c>
      <c r="E379" t="s">
        <v>1357</v>
      </c>
      <c r="F379" t="str">
        <f>HYPERLINK("C:\Users\longueni\Desktop\Chubb produits code\Fiche catalogue\Détection incendie\Interface _ O.I. _ Report _ TRE\TRE\CAT-CS_09_11-01_Fiche catalogue - TRE LON.Rep.pdf", "Fiche Produit")</f>
        <v>Fiche Produit</v>
      </c>
    </row>
    <row r="380" spans="1:6" x14ac:dyDescent="0.25">
      <c r="A380" t="s">
        <v>6</v>
      </c>
      <c r="B380" t="s">
        <v>9</v>
      </c>
      <c r="C380" t="s">
        <v>15</v>
      </c>
      <c r="D380" t="s">
        <v>395</v>
      </c>
      <c r="E380" t="s">
        <v>1358</v>
      </c>
      <c r="F380" t="str">
        <f>HYPERLINK("C:\Users\longueni\Desktop\Chubb produits code\Fiche catalogue\Détection incendie\Interface _ O.I. _ Report _ TRE\TRE\CAT-CS_09_11-01_Fiche catalogue - TRE LON.Rep.pdf", "Fiche Produit")</f>
        <v>Fiche Produit</v>
      </c>
    </row>
    <row r="381" spans="1:6" x14ac:dyDescent="0.25">
      <c r="A381" t="s">
        <v>6</v>
      </c>
      <c r="B381" t="s">
        <v>9</v>
      </c>
      <c r="C381" t="s">
        <v>15</v>
      </c>
      <c r="D381" t="s">
        <v>396</v>
      </c>
      <c r="E381" t="s">
        <v>1359</v>
      </c>
      <c r="F381" t="str">
        <f>HYPERLINK("C:\Users\longueni\Desktop\Chubb produits code\Fiche catalogue\Extinction\Argo 55 _ Argo 55+\CAT-110_Fiche catalogue - VANNES DIRECTIONNELLES.pdf", "Fiche Produit")</f>
        <v>Fiche Produit</v>
      </c>
    </row>
    <row r="382" spans="1:6" x14ac:dyDescent="0.25">
      <c r="A382" t="s">
        <v>6</v>
      </c>
      <c r="B382" t="s">
        <v>9</v>
      </c>
      <c r="C382" t="s">
        <v>15</v>
      </c>
      <c r="D382" t="s">
        <v>397</v>
      </c>
      <c r="E382" t="s">
        <v>1359</v>
      </c>
      <c r="F382" t="str">
        <f>HYPERLINK("C:\Users\longueni\Desktop\Chubb produits code\Fiche catalogue\Extinction\Argo 55 _ Argo 55+\CAT-110_Fiche catalogue - VANNES DIRECTIONNELLES.pdf", "Fiche Produit")</f>
        <v>Fiche Produit</v>
      </c>
    </row>
    <row r="383" spans="1:6" x14ac:dyDescent="0.25">
      <c r="A383" t="s">
        <v>6</v>
      </c>
      <c r="B383" t="s">
        <v>9</v>
      </c>
      <c r="C383" t="s">
        <v>15</v>
      </c>
      <c r="D383" t="s">
        <v>398</v>
      </c>
      <c r="E383" t="s">
        <v>1360</v>
      </c>
      <c r="F383" t="str">
        <f>HYPERLINK("C:\Users\longueni\Desktop\Chubb produits code\Fiche catalogue\Détection incendie\Interface _ O.I. _ Report _ TRE\M503ME\CAT-CS_05_15-01_Fiche catalogue - M503ME.pdf", "Fiche Produit")</f>
        <v>Fiche Produit</v>
      </c>
    </row>
    <row r="384" spans="1:6" x14ac:dyDescent="0.25">
      <c r="A384" t="s">
        <v>6</v>
      </c>
      <c r="B384" t="s">
        <v>9</v>
      </c>
      <c r="C384" t="s">
        <v>15</v>
      </c>
      <c r="D384" t="s">
        <v>399</v>
      </c>
      <c r="E384" t="s">
        <v>1361</v>
      </c>
      <c r="F384" t="str">
        <f>HYPERLINK("C:\Users\longueni\Desktop\Chubb produits code\Fiche catalogue\Détection incendie\Alimentation\VARIATION 940\CAT-CS_08_23-03_Fiche catalogue - VARIATION 940 - Coffret.pdf", "Fiche Produit")</f>
        <v>Fiche Produit</v>
      </c>
    </row>
    <row r="385" spans="1:6" x14ac:dyDescent="0.25">
      <c r="A385" t="s">
        <v>6</v>
      </c>
      <c r="B385" t="s">
        <v>9</v>
      </c>
      <c r="C385" t="s">
        <v>15</v>
      </c>
      <c r="D385" t="s">
        <v>400</v>
      </c>
      <c r="E385" t="s">
        <v>1362</v>
      </c>
      <c r="F385" t="str">
        <f>HYPERLINK("C:\Users\longueni\Desktop\Chubb produits code\Fiche catalogue\Détection incendie\Alimentation\VARIATION 940\CAT-CS_08_23-03_Fiche catalogue - VARIATION 940 - Coffret.pdf", "Fiche Produit")</f>
        <v>Fiche Produit</v>
      </c>
    </row>
    <row r="386" spans="1:6" x14ac:dyDescent="0.25">
      <c r="A386" t="s">
        <v>6</v>
      </c>
      <c r="B386" t="s">
        <v>9</v>
      </c>
      <c r="C386" t="s">
        <v>15</v>
      </c>
      <c r="D386" t="s">
        <v>401</v>
      </c>
      <c r="E386" t="s">
        <v>1363</v>
      </c>
      <c r="F386" t="str">
        <f>HYPERLINK("C:\Users\longueni\Desktop\Chubb produits code\Fiche catalogue\Détection incendie\Détecteur _ socle\MODULASER\CAT-164_Fiche catalogue - Détecteur STRATOS Modulaser.pdf", "Fiche Produit")</f>
        <v>Fiche Produit</v>
      </c>
    </row>
    <row r="387" spans="1:6" x14ac:dyDescent="0.25">
      <c r="A387" t="s">
        <v>6</v>
      </c>
      <c r="B387" t="s">
        <v>9</v>
      </c>
      <c r="C387" t="s">
        <v>15</v>
      </c>
      <c r="D387" t="s">
        <v>402</v>
      </c>
      <c r="E387" t="s">
        <v>1364</v>
      </c>
      <c r="F387" t="str">
        <f t="shared" ref="F387:F392" si="4">HYPERLINK("C:\Users\longueni\Desktop\Chubb produits code\Fiche catalogue\Détection incendie\Alimentation\VARIATION 940\CAT-CS_08_23-03_Fiche catalogue - VARIATION 940 - Coffret.pdf", "Fiche Produit")</f>
        <v>Fiche Produit</v>
      </c>
    </row>
    <row r="388" spans="1:6" x14ac:dyDescent="0.25">
      <c r="A388" t="s">
        <v>6</v>
      </c>
      <c r="B388" t="s">
        <v>9</v>
      </c>
      <c r="C388" t="s">
        <v>15</v>
      </c>
      <c r="D388" t="s">
        <v>403</v>
      </c>
      <c r="E388" t="s">
        <v>1365</v>
      </c>
      <c r="F388" t="str">
        <f t="shared" si="4"/>
        <v>Fiche Produit</v>
      </c>
    </row>
    <row r="389" spans="1:6" x14ac:dyDescent="0.25">
      <c r="A389" t="s">
        <v>6</v>
      </c>
      <c r="B389" t="s">
        <v>9</v>
      </c>
      <c r="C389" t="s">
        <v>15</v>
      </c>
      <c r="D389" t="s">
        <v>404</v>
      </c>
      <c r="E389" t="s">
        <v>1366</v>
      </c>
      <c r="F389" t="str">
        <f t="shared" si="4"/>
        <v>Fiche Produit</v>
      </c>
    </row>
    <row r="390" spans="1:6" x14ac:dyDescent="0.25">
      <c r="A390" t="s">
        <v>6</v>
      </c>
      <c r="B390" t="s">
        <v>9</v>
      </c>
      <c r="C390" t="s">
        <v>15</v>
      </c>
      <c r="D390" t="s">
        <v>405</v>
      </c>
      <c r="E390" t="s">
        <v>1367</v>
      </c>
      <c r="F390" t="str">
        <f t="shared" si="4"/>
        <v>Fiche Produit</v>
      </c>
    </row>
    <row r="391" spans="1:6" x14ac:dyDescent="0.25">
      <c r="A391" t="s">
        <v>6</v>
      </c>
      <c r="B391" t="s">
        <v>9</v>
      </c>
      <c r="C391" t="s">
        <v>15</v>
      </c>
      <c r="D391" t="s">
        <v>406</v>
      </c>
      <c r="E391" t="s">
        <v>1368</v>
      </c>
      <c r="F391" t="str">
        <f t="shared" si="4"/>
        <v>Fiche Produit</v>
      </c>
    </row>
    <row r="392" spans="1:6" x14ac:dyDescent="0.25">
      <c r="A392" t="s">
        <v>6</v>
      </c>
      <c r="B392" t="s">
        <v>9</v>
      </c>
      <c r="C392" t="s">
        <v>15</v>
      </c>
      <c r="D392" t="s">
        <v>407</v>
      </c>
      <c r="E392" t="s">
        <v>1369</v>
      </c>
      <c r="F392" t="str">
        <f t="shared" si="4"/>
        <v>Fiche Produit</v>
      </c>
    </row>
    <row r="393" spans="1:6" x14ac:dyDescent="0.25">
      <c r="A393" t="s">
        <v>6</v>
      </c>
      <c r="B393" t="s">
        <v>9</v>
      </c>
      <c r="C393" t="s">
        <v>15</v>
      </c>
      <c r="D393" t="s">
        <v>408</v>
      </c>
      <c r="E393" t="s">
        <v>1370</v>
      </c>
      <c r="F393" t="str">
        <f>HYPERLINK("C:\Users\longueni\Desktop\Chubb produits code\Fiche catalogue\Détection incendie\Centrale\UTC.Pack\CAT-033_Fiche catalogue - UTC.Pack.pdf", "Fiche Produit")</f>
        <v>Fiche Produit</v>
      </c>
    </row>
    <row r="394" spans="1:6" x14ac:dyDescent="0.25">
      <c r="A394" t="s">
        <v>6</v>
      </c>
      <c r="B394" t="s">
        <v>9</v>
      </c>
      <c r="C394" t="s">
        <v>15</v>
      </c>
      <c r="D394" t="s">
        <v>409</v>
      </c>
      <c r="E394" t="s">
        <v>1371</v>
      </c>
      <c r="F394" t="str">
        <f>HYPERLINK("C:\Users\longueni\Desktop\Chubb produits code\CTLG-9001639_Catalogue - Produits et Systèmes CHUBB.pdf", "Fiche Produit")</f>
        <v>Fiche Produit</v>
      </c>
    </row>
    <row r="395" spans="1:6" x14ac:dyDescent="0.25">
      <c r="A395" t="s">
        <v>6</v>
      </c>
      <c r="B395" t="s">
        <v>9</v>
      </c>
      <c r="C395" t="s">
        <v>15</v>
      </c>
      <c r="D395" t="s">
        <v>410</v>
      </c>
      <c r="E395" t="s">
        <v>1372</v>
      </c>
      <c r="F395" t="str">
        <f>HYPERLINK("C:\Users\longueni\Desktop\Chubb produits code\Fiche catalogue\Détection incendie\DAS_DAC\CAT-126_Fiche catalogue - Maintien magnétique 24V Rupture 120KG Issue de secours.PDF", "Fiche Produit")</f>
        <v>Fiche Produit</v>
      </c>
    </row>
    <row r="396" spans="1:6" x14ac:dyDescent="0.25">
      <c r="A396" t="s">
        <v>6</v>
      </c>
      <c r="B396" t="s">
        <v>9</v>
      </c>
      <c r="C396" t="s">
        <v>15</v>
      </c>
      <c r="D396" t="s">
        <v>411</v>
      </c>
      <c r="E396" t="s">
        <v>1372</v>
      </c>
      <c r="F396" t="str">
        <f>HYPERLINK("C:\Users\longueni\Desktop\Chubb produits code\Fiche catalogue\Détection incendie\DAS_DAC\CAT-116_Fiche catalogue - Maintien magnétique 48V Rupture + Socle articulé.pdf", "Fiche Produit")</f>
        <v>Fiche Produit</v>
      </c>
    </row>
    <row r="397" spans="1:6" x14ac:dyDescent="0.25">
      <c r="A397" t="s">
        <v>6</v>
      </c>
      <c r="B397" t="s">
        <v>9</v>
      </c>
      <c r="C397" t="s">
        <v>15</v>
      </c>
      <c r="D397" t="s">
        <v>412</v>
      </c>
      <c r="E397" t="s">
        <v>1372</v>
      </c>
      <c r="F397" t="str">
        <f>HYPERLINK("C:\Users\longueni\Desktop\Chubb produits code\Fiche catalogue\Détection incendie\DAS_DAC\CAT-127_Fiche catalogue - Maintien magnétique 48V Rupture 120KG Issue de secours.pdf", "Fiche Produit")</f>
        <v>Fiche Produit</v>
      </c>
    </row>
    <row r="398" spans="1:6" x14ac:dyDescent="0.25">
      <c r="A398" t="s">
        <v>6</v>
      </c>
      <c r="B398" t="s">
        <v>9</v>
      </c>
      <c r="C398" t="s">
        <v>15</v>
      </c>
      <c r="D398" t="s">
        <v>413</v>
      </c>
      <c r="E398" t="s">
        <v>1372</v>
      </c>
      <c r="F398" t="str">
        <f>HYPERLINK("C:\Users\longueni\Desktop\Chubb produits code\Fiche catalogue\Détection incendie\DAS_DAC\CAT-125_Fiche catalogue - Maintien magnétique 48V Rupture 20KG.PDF", "Fiche Produit")</f>
        <v>Fiche Produit</v>
      </c>
    </row>
    <row r="399" spans="1:6" x14ac:dyDescent="0.25">
      <c r="A399" t="s">
        <v>6</v>
      </c>
      <c r="B399" t="s">
        <v>9</v>
      </c>
      <c r="C399" t="s">
        <v>15</v>
      </c>
      <c r="D399" t="s">
        <v>414</v>
      </c>
      <c r="E399" t="s">
        <v>1373</v>
      </c>
      <c r="F399" t="str">
        <f>HYPERLINK("C:\Users\longueni\Desktop\Chubb produits code\Fiche catalogue\Détection incendie\Accessoires_outils\CAT-CS_04_82-03_Fiche catalogue - ACCESSOIRES DÉTECTEURS MULTIPONCTUELS.pdf", "Fiche Produit")</f>
        <v>Fiche Produit</v>
      </c>
    </row>
    <row r="400" spans="1:6" x14ac:dyDescent="0.25">
      <c r="A400" t="s">
        <v>6</v>
      </c>
      <c r="B400" t="s">
        <v>9</v>
      </c>
      <c r="C400" t="s">
        <v>15</v>
      </c>
      <c r="D400" t="s">
        <v>415</v>
      </c>
      <c r="E400" t="s">
        <v>1374</v>
      </c>
      <c r="F400" t="str">
        <f>HYPERLINK("C:\Users\longueni\Desktop\Chubb produits code\Fiche catalogue\Détection incendie\Détecteur _ socle\CAT-CS_04_97-01_Fiche catalogue - Détecteur linéaire de chaleur DTS.pdf", "Fiche Produit")</f>
        <v>Fiche Produit</v>
      </c>
    </row>
    <row r="401" spans="1:6" x14ac:dyDescent="0.25">
      <c r="A401" t="s">
        <v>6</v>
      </c>
      <c r="B401" t="s">
        <v>9</v>
      </c>
      <c r="C401" t="s">
        <v>15</v>
      </c>
      <c r="D401" t="s">
        <v>416</v>
      </c>
      <c r="E401" t="s">
        <v>1375</v>
      </c>
      <c r="F401" t="str">
        <f>HYPERLINK("C:\Users\longueni\Desktop\Chubb produits code\Fiche catalogue\Extinction\Accessoires_outils\CAT-056_Fiche catalogue - DAOV électrique V3.pdf", "Fiche Produit")</f>
        <v>Fiche Produit</v>
      </c>
    </row>
    <row r="402" spans="1:6" x14ac:dyDescent="0.25">
      <c r="A402" t="s">
        <v>6</v>
      </c>
      <c r="B402" t="s">
        <v>9</v>
      </c>
      <c r="C402" t="s">
        <v>15</v>
      </c>
      <c r="D402" t="s">
        <v>417</v>
      </c>
      <c r="E402" t="s">
        <v>1376</v>
      </c>
      <c r="F402" t="str">
        <f>HYPERLINK("C:\Users\longueni\Desktop\Chubb produits code\Fiche catalogue\Détection incendie\Déclencheur manuel\CAT-CS_05_01-01_Fiche catalogue - DM WR 2004_SR-910.pdf", "Fiche Produit")</f>
        <v>Fiche Produit</v>
      </c>
    </row>
    <row r="403" spans="1:6" x14ac:dyDescent="0.25">
      <c r="A403" t="s">
        <v>6</v>
      </c>
      <c r="B403" t="s">
        <v>9</v>
      </c>
      <c r="C403" t="s">
        <v>15</v>
      </c>
      <c r="D403" t="s">
        <v>418</v>
      </c>
      <c r="E403" t="s">
        <v>1377</v>
      </c>
      <c r="F403" t="str">
        <f>HYPERLINK("C:\Users\longueni\Desktop\Chubb produits code\Fiche catalogue\Détection incendie\Détecteur _ socle\CAT-CS_04_97-01_Fiche catalogue - Détecteur linéaire de chaleur DTS.pdf", "Fiche Produit")</f>
        <v>Fiche Produit</v>
      </c>
    </row>
    <row r="404" spans="1:6" x14ac:dyDescent="0.25">
      <c r="A404" t="s">
        <v>6</v>
      </c>
      <c r="B404" t="s">
        <v>9</v>
      </c>
      <c r="C404" t="s">
        <v>15</v>
      </c>
      <c r="D404" t="s">
        <v>419</v>
      </c>
      <c r="E404" t="s">
        <v>1378</v>
      </c>
      <c r="F404" t="str">
        <f>HYPERLINK("C:\Users\longueni\Desktop\Chubb produits code\Fiche catalogue\Détection incendie\supervision\CAT-CS_02_59-03_Fiche catalogue - TERMINAL.COM MCO.pdf", "Fiche Produit")</f>
        <v>Fiche Produit</v>
      </c>
    </row>
    <row r="405" spans="1:6" x14ac:dyDescent="0.25">
      <c r="A405" t="s">
        <v>6</v>
      </c>
      <c r="B405" t="s">
        <v>9</v>
      </c>
      <c r="C405" t="s">
        <v>15</v>
      </c>
      <c r="D405" t="s">
        <v>420</v>
      </c>
      <c r="E405" t="s">
        <v>1379</v>
      </c>
      <c r="F405" t="str">
        <f>HYPERLINK("C:\Users\longueni\Desktop\Chubb produits code\Fiche catalogue\Détection incendie\Centrale\CAT-168_Fiche catalogue - Bloc gestion alim coffret _ rack.pdf", "Fiche Produit")</f>
        <v>Fiche Produit</v>
      </c>
    </row>
    <row r="406" spans="1:6" x14ac:dyDescent="0.25">
      <c r="A406" t="s">
        <v>6</v>
      </c>
      <c r="B406" t="s">
        <v>9</v>
      </c>
      <c r="C406" t="s">
        <v>15</v>
      </c>
      <c r="D406" t="s">
        <v>421</v>
      </c>
      <c r="E406" t="s">
        <v>1380</v>
      </c>
      <c r="F406" t="str">
        <f>HYPERLINK("C:\Users\longueni\Desktop\Chubb produits code\CTLG-9001639_Catalogue - Produits et Systèmes CHUBB.pdf", "Fiche Produit")</f>
        <v>Fiche Produit</v>
      </c>
    </row>
    <row r="407" spans="1:6" x14ac:dyDescent="0.25">
      <c r="A407" t="s">
        <v>6</v>
      </c>
      <c r="B407" t="s">
        <v>9</v>
      </c>
      <c r="C407" t="s">
        <v>15</v>
      </c>
      <c r="D407" t="s">
        <v>422</v>
      </c>
      <c r="E407" t="s">
        <v>1381</v>
      </c>
      <c r="F407" t="str">
        <f>HYPERLINK("C:\Users\longueni\Desktop\Chubb produits code\CTLG-9001639_Catalogue - Produits et Systèmes CHUBB.pdf", "Fiche Produit")</f>
        <v>Fiche Produit</v>
      </c>
    </row>
    <row r="408" spans="1:6" x14ac:dyDescent="0.25">
      <c r="A408" t="s">
        <v>6</v>
      </c>
      <c r="B408" t="s">
        <v>9</v>
      </c>
      <c r="C408" t="s">
        <v>15</v>
      </c>
      <c r="D408" t="s">
        <v>423</v>
      </c>
      <c r="E408" t="s">
        <v>1382</v>
      </c>
      <c r="F408" t="str">
        <f>HYPERLINK("C:\Users\longueni\Desktop\Chubb produits code\CTLG-9001639_Catalogue - Produits et Systèmes CHUBB.pdf", "Fiche Produit")</f>
        <v>Fiche Produit</v>
      </c>
    </row>
    <row r="409" spans="1:6" x14ac:dyDescent="0.25">
      <c r="A409" t="s">
        <v>6</v>
      </c>
      <c r="B409" t="s">
        <v>9</v>
      </c>
      <c r="C409" t="s">
        <v>15</v>
      </c>
      <c r="D409" t="s">
        <v>424</v>
      </c>
      <c r="E409" t="s">
        <v>1383</v>
      </c>
      <c r="F409" t="str">
        <f>HYPERLINK("C:\Users\longueni\Desktop\Chubb produits code\Fiche catalogue\Détection incendie\Transmetteur\CAT-CS_02_64-01_Fiche catalogue - TRANSMETTEUR RSE.pdf", "Fiche Produit")</f>
        <v>Fiche Produit</v>
      </c>
    </row>
    <row r="410" spans="1:6" x14ac:dyDescent="0.25">
      <c r="A410" t="s">
        <v>6</v>
      </c>
      <c r="B410" t="s">
        <v>9</v>
      </c>
      <c r="C410" t="s">
        <v>15</v>
      </c>
      <c r="D410" t="s">
        <v>425</v>
      </c>
      <c r="E410" t="s">
        <v>1384</v>
      </c>
      <c r="F410" t="str">
        <f>HYPERLINK("C:\Users\longueni\Desktop\Chubb produits code\CTLG-9001639_Catalogue - Produits et Systèmes CHUBB.pdf", "Fiche Produit")</f>
        <v>Fiche Produit</v>
      </c>
    </row>
    <row r="411" spans="1:6" x14ac:dyDescent="0.25">
      <c r="A411" t="s">
        <v>6</v>
      </c>
      <c r="B411" t="s">
        <v>9</v>
      </c>
      <c r="C411" t="s">
        <v>15</v>
      </c>
      <c r="D411" t="s">
        <v>426</v>
      </c>
      <c r="E411" t="s">
        <v>1385</v>
      </c>
      <c r="F411" t="str">
        <f>HYPERLINK("C:\Users\longueni\Desktop\Chubb produits code\CTLG-9001639_Catalogue - Produits et Systèmes CHUBB.pdf", "Fiche Produit")</f>
        <v>Fiche Produit</v>
      </c>
    </row>
    <row r="412" spans="1:6" x14ac:dyDescent="0.25">
      <c r="A412" t="s">
        <v>6</v>
      </c>
      <c r="B412" t="s">
        <v>9</v>
      </c>
      <c r="C412" t="s">
        <v>15</v>
      </c>
      <c r="D412" t="s">
        <v>427</v>
      </c>
      <c r="E412" t="s">
        <v>1386</v>
      </c>
      <c r="F412" t="str">
        <f>HYPERLINK("C:\Users\longueni\Desktop\Chubb produits code\Fiche catalogue\Détection incendie\Détecteur _ socle\CAT-CS_04_97-01_Fiche catalogue - Détecteur linéaire de chaleur DTS.pdf", "Fiche Produit")</f>
        <v>Fiche Produit</v>
      </c>
    </row>
    <row r="413" spans="1:6" x14ac:dyDescent="0.25">
      <c r="A413" t="s">
        <v>6</v>
      </c>
      <c r="B413" t="s">
        <v>9</v>
      </c>
      <c r="C413" t="s">
        <v>15</v>
      </c>
      <c r="D413" t="s">
        <v>428</v>
      </c>
      <c r="E413" t="s">
        <v>1387</v>
      </c>
      <c r="F413" t="str">
        <f>HYPERLINK("C:\Users\longueni\Desktop\Chubb produits code\Fiche catalogue\Détection incendie\Centrale\CAT-CS_02_37-01_Fiche catalogue - SATC LON LPT.pdf", "Fiche Produit")</f>
        <v>Fiche Produit</v>
      </c>
    </row>
    <row r="414" spans="1:6" x14ac:dyDescent="0.25">
      <c r="A414" t="s">
        <v>6</v>
      </c>
      <c r="B414" t="s">
        <v>9</v>
      </c>
      <c r="C414" t="s">
        <v>15</v>
      </c>
      <c r="D414" t="s">
        <v>429</v>
      </c>
      <c r="E414" t="s">
        <v>1388</v>
      </c>
      <c r="F414" t="str">
        <f>HYPERLINK("C:\Users\longueni\Desktop\Chubb produits code\Fiche catalogue\Détection incendie\Centrale\CAT-CS_02_37-01_Fiche catalogue - SATC LON LPT.pdf", "Fiche Produit")</f>
        <v>Fiche Produit</v>
      </c>
    </row>
    <row r="415" spans="1:6" x14ac:dyDescent="0.25">
      <c r="A415" t="s">
        <v>6</v>
      </c>
      <c r="B415" t="s">
        <v>9</v>
      </c>
      <c r="C415" t="s">
        <v>15</v>
      </c>
      <c r="D415" t="s">
        <v>430</v>
      </c>
      <c r="E415" t="s">
        <v>1389</v>
      </c>
      <c r="F415" t="str">
        <f>HYPERLINK("C:\Users\longueni\Desktop\Chubb produits code\Fiche catalogue\Détection incendie\Détecteur _ socle\VIEX\CAT-CS_04_78-01_Fiche catalogue - VIEX.pdf", "Fiche Produit")</f>
        <v>Fiche Produit</v>
      </c>
    </row>
    <row r="416" spans="1:6" x14ac:dyDescent="0.25">
      <c r="A416" t="s">
        <v>6</v>
      </c>
      <c r="B416" t="s">
        <v>9</v>
      </c>
      <c r="C416" t="s">
        <v>15</v>
      </c>
      <c r="D416" t="s">
        <v>431</v>
      </c>
      <c r="E416" t="s">
        <v>1390</v>
      </c>
      <c r="F416" t="str">
        <f>HYPERLINK("C:\Users\longueni\Desktop\Chubb produits code\Fiche catalogue\Détection incendie\Interface _ O.I. _ Report _ TRE\INTERFACE\CAT-CS_15_13-01_Fiche catalogue - MODULE IT.pdf", "Fiche Produit")</f>
        <v>Fiche Produit</v>
      </c>
    </row>
    <row r="417" spans="1:6" x14ac:dyDescent="0.25">
      <c r="A417" t="s">
        <v>6</v>
      </c>
      <c r="B417" t="s">
        <v>9</v>
      </c>
      <c r="C417" t="s">
        <v>15</v>
      </c>
      <c r="D417" t="s">
        <v>432</v>
      </c>
      <c r="E417" t="s">
        <v>1391</v>
      </c>
      <c r="F417" t="str">
        <f>HYPERLINK("C:\Users\longueni\Desktop\Chubb produits code\Fiche catalogue\Détection incendie\Centrale\CAT-CS_02_37-01_Fiche catalogue - SATC LON LPT.pdf", "Fiche Produit")</f>
        <v>Fiche Produit</v>
      </c>
    </row>
    <row r="418" spans="1:6" x14ac:dyDescent="0.25">
      <c r="A418" t="s">
        <v>6</v>
      </c>
      <c r="B418" t="s">
        <v>9</v>
      </c>
      <c r="C418" t="s">
        <v>15</v>
      </c>
      <c r="D418" t="s">
        <v>433</v>
      </c>
      <c r="E418" t="s">
        <v>1392</v>
      </c>
      <c r="F418" t="str">
        <f>HYPERLINK("C:\Users\longueni\Desktop\Chubb produits code\Fiche catalogue\Détection incendie\BAAS\SON'ECLA\CAT-CS_07_11-02_Fiche catalogue - SON'ECLA BAAS Ma NFS V.pdf", "Fiche Produit")</f>
        <v>Fiche Produit</v>
      </c>
    </row>
    <row r="419" spans="1:6" x14ac:dyDescent="0.25">
      <c r="A419" t="s">
        <v>6</v>
      </c>
      <c r="B419" t="s">
        <v>9</v>
      </c>
      <c r="C419" t="s">
        <v>15</v>
      </c>
      <c r="D419" t="s">
        <v>434</v>
      </c>
      <c r="E419" t="s">
        <v>1393</v>
      </c>
      <c r="F419" t="str">
        <f>HYPERLINK("C:\Users\longueni\Desktop\Chubb produits code\Fiche catalogue\Détection incendie\BAAS\SON'ECLA\CAT-100_Fiche catalogue - SON'ECLA TYPE 4S NN.pdf", "Fiche Produit")</f>
        <v>Fiche Produit</v>
      </c>
    </row>
    <row r="420" spans="1:6" x14ac:dyDescent="0.25">
      <c r="A420" t="s">
        <v>6</v>
      </c>
      <c r="B420" t="s">
        <v>9</v>
      </c>
      <c r="C420" t="s">
        <v>15</v>
      </c>
      <c r="D420" t="s">
        <v>435</v>
      </c>
      <c r="E420" t="s">
        <v>1394</v>
      </c>
      <c r="F420" t="str">
        <f>HYPERLINK("C:\Users\longueni\Desktop\Chubb produits code\Fiche catalogue\Détection incendie\Centrale\CAT-CS_02_39-01_Fiche catalogue - CF 4ZA Lon FTT.pdf", "Fiche Produit")</f>
        <v>Fiche Produit</v>
      </c>
    </row>
    <row r="421" spans="1:6" x14ac:dyDescent="0.25">
      <c r="A421" t="s">
        <v>6</v>
      </c>
      <c r="B421" t="s">
        <v>9</v>
      </c>
      <c r="C421" t="s">
        <v>15</v>
      </c>
      <c r="D421" t="s">
        <v>436</v>
      </c>
      <c r="E421" t="s">
        <v>1395</v>
      </c>
      <c r="F421" t="str">
        <f>HYPERLINK("C:\Users\longueni\Desktop\Chubb produits code\Fiche catalogue\Détection incendie\Radio\PPMS\CAT-162_Fiche catalogue - PPMS à Pile RF Chubb.pdf", "Fiche Produit")</f>
        <v>Fiche Produit</v>
      </c>
    </row>
    <row r="422" spans="1:6" x14ac:dyDescent="0.25">
      <c r="A422" t="s">
        <v>6</v>
      </c>
      <c r="B422" t="s">
        <v>9</v>
      </c>
      <c r="C422" t="s">
        <v>15</v>
      </c>
      <c r="D422" t="s">
        <v>437</v>
      </c>
      <c r="E422" t="s">
        <v>1396</v>
      </c>
      <c r="F422" t="str">
        <f>HYPERLINK("C:\Users\longueni\Desktop\Chubb produits code\Fiche catalogue\Détection incendie\Centrale\UTI.Micro Pack\CAT-CS_01_85-01_Fiche catalogue - UTI.Micro Pack.pdf", "Fiche Produit")</f>
        <v>Fiche Produit</v>
      </c>
    </row>
    <row r="423" spans="1:6" x14ac:dyDescent="0.25">
      <c r="A423" t="s">
        <v>6</v>
      </c>
      <c r="B423" t="s">
        <v>9</v>
      </c>
      <c r="C423" t="s">
        <v>15</v>
      </c>
      <c r="D423" t="s">
        <v>438</v>
      </c>
      <c r="E423" t="s">
        <v>1397</v>
      </c>
      <c r="F423" t="str">
        <f>HYPERLINK("C:\Users\longueni\Desktop\Chubb produits code\CTLG-9001639_Catalogue - Produits et Systèmes CHUBB.pdf", "Fiche Produit")</f>
        <v>Fiche Produit</v>
      </c>
    </row>
    <row r="424" spans="1:6" x14ac:dyDescent="0.25">
      <c r="A424" t="s">
        <v>6</v>
      </c>
      <c r="B424" t="s">
        <v>9</v>
      </c>
      <c r="C424" t="s">
        <v>15</v>
      </c>
      <c r="D424" t="s">
        <v>439</v>
      </c>
      <c r="E424" t="s">
        <v>1398</v>
      </c>
      <c r="F424" t="str">
        <f>HYPERLINK("C:\Users\longueni\Desktop\Chubb produits code\Fiche catalogue\Détection incendie\Centrale\UTH.Pack\CAT-CS_01_84-01_Fiche catalogue - UTH.Pack.pdf", "Fiche Produit")</f>
        <v>Fiche Produit</v>
      </c>
    </row>
    <row r="425" spans="1:6" x14ac:dyDescent="0.25">
      <c r="A425" t="s">
        <v>6</v>
      </c>
      <c r="B425" t="s">
        <v>9</v>
      </c>
      <c r="C425" t="s">
        <v>15</v>
      </c>
      <c r="D425" t="s">
        <v>440</v>
      </c>
      <c r="E425" t="s">
        <v>1399</v>
      </c>
      <c r="F425" t="str">
        <f>HYPERLINK("C:\Users\longueni\Desktop\Chubb produits code\Fiche catalogue\Détection incendie\Interface _ O.I. _ Report _ TRE\INTERFACE\CAT-035_Fiche catalogue -  NIC709-USB100.pdf", "Fiche Produit")</f>
        <v>Fiche Produit</v>
      </c>
    </row>
    <row r="426" spans="1:6" x14ac:dyDescent="0.25">
      <c r="A426" t="s">
        <v>6</v>
      </c>
      <c r="B426" t="s">
        <v>9</v>
      </c>
      <c r="C426" t="s">
        <v>15</v>
      </c>
      <c r="D426" t="s">
        <v>441</v>
      </c>
      <c r="E426" t="s">
        <v>1400</v>
      </c>
      <c r="F426" t="str">
        <f t="shared" ref="F426:F431" si="5">HYPERLINK("C:\Users\longueni\Desktop\Chubb produits code\Fiche catalogue\Détection incendie\Détecteur _ socle\VESDA\CAT-CS_04_32-01_Fiche catalogue - VESDA LASER PLUS.pdf", "Fiche Produit")</f>
        <v>Fiche Produit</v>
      </c>
    </row>
    <row r="427" spans="1:6" x14ac:dyDescent="0.25">
      <c r="A427" t="s">
        <v>6</v>
      </c>
      <c r="B427" t="s">
        <v>9</v>
      </c>
      <c r="C427" t="s">
        <v>15</v>
      </c>
      <c r="D427" t="s">
        <v>442</v>
      </c>
      <c r="E427" t="s">
        <v>1401</v>
      </c>
      <c r="F427" t="str">
        <f t="shared" si="5"/>
        <v>Fiche Produit</v>
      </c>
    </row>
    <row r="428" spans="1:6" x14ac:dyDescent="0.25">
      <c r="A428" t="s">
        <v>6</v>
      </c>
      <c r="B428" t="s">
        <v>9</v>
      </c>
      <c r="C428" t="s">
        <v>15</v>
      </c>
      <c r="D428" t="s">
        <v>443</v>
      </c>
      <c r="E428" t="s">
        <v>1402</v>
      </c>
      <c r="F428" t="str">
        <f t="shared" si="5"/>
        <v>Fiche Produit</v>
      </c>
    </row>
    <row r="429" spans="1:6" x14ac:dyDescent="0.25">
      <c r="A429" t="s">
        <v>6</v>
      </c>
      <c r="B429" t="s">
        <v>9</v>
      </c>
      <c r="C429" t="s">
        <v>15</v>
      </c>
      <c r="D429" t="s">
        <v>444</v>
      </c>
      <c r="E429" t="s">
        <v>1403</v>
      </c>
      <c r="F429" t="str">
        <f t="shared" si="5"/>
        <v>Fiche Produit</v>
      </c>
    </row>
    <row r="430" spans="1:6" x14ac:dyDescent="0.25">
      <c r="A430" t="s">
        <v>6</v>
      </c>
      <c r="B430" t="s">
        <v>9</v>
      </c>
      <c r="C430" t="s">
        <v>15</v>
      </c>
      <c r="D430" t="s">
        <v>445</v>
      </c>
      <c r="E430" t="s">
        <v>1404</v>
      </c>
      <c r="F430" t="str">
        <f t="shared" si="5"/>
        <v>Fiche Produit</v>
      </c>
    </row>
    <row r="431" spans="1:6" x14ac:dyDescent="0.25">
      <c r="A431" t="s">
        <v>6</v>
      </c>
      <c r="B431" t="s">
        <v>9</v>
      </c>
      <c r="C431" t="s">
        <v>15</v>
      </c>
      <c r="D431" t="s">
        <v>446</v>
      </c>
      <c r="E431" t="s">
        <v>1405</v>
      </c>
      <c r="F431" t="str">
        <f t="shared" si="5"/>
        <v>Fiche Produit</v>
      </c>
    </row>
    <row r="432" spans="1:6" x14ac:dyDescent="0.25">
      <c r="A432" t="s">
        <v>6</v>
      </c>
      <c r="B432" t="s">
        <v>9</v>
      </c>
      <c r="C432" t="s">
        <v>15</v>
      </c>
      <c r="D432" t="s">
        <v>447</v>
      </c>
      <c r="E432" t="s">
        <v>1406</v>
      </c>
      <c r="F432" t="str">
        <f>HYPERLINK("C:\Users\longueni\Desktop\Chubb produits code\Fiche catalogue\Détection incendie\Détecteur _ socle\OC05FEX\CAT-089_Fiche catalogue - Détecteur OC05FEX.pdf", "Fiche Produit")</f>
        <v>Fiche Produit</v>
      </c>
    </row>
    <row r="433" spans="1:6" x14ac:dyDescent="0.25">
      <c r="A433" t="s">
        <v>6</v>
      </c>
      <c r="B433" t="s">
        <v>9</v>
      </c>
      <c r="C433" t="s">
        <v>15</v>
      </c>
      <c r="D433" t="s">
        <v>448</v>
      </c>
      <c r="E433" t="s">
        <v>1407</v>
      </c>
      <c r="F433" t="str">
        <f>HYPERLINK("C:\Users\longueni\Desktop\Chubb produits code\Fiche catalogue\Détection incendie\Détecteur _ socle\CAT-CS_04_14-03_Fiche catalogue - OLFAR -  OLFAR R.pdf", "Fiche Produit")</f>
        <v>Fiche Produit</v>
      </c>
    </row>
    <row r="434" spans="1:6" x14ac:dyDescent="0.25">
      <c r="A434" t="s">
        <v>6</v>
      </c>
      <c r="B434" t="s">
        <v>9</v>
      </c>
      <c r="C434" t="s">
        <v>15</v>
      </c>
      <c r="D434" t="s">
        <v>449</v>
      </c>
      <c r="E434" t="s">
        <v>1407</v>
      </c>
      <c r="F434" t="str">
        <f>HYPERLINK("C:\Users\longueni\Desktop\Chubb produits code\Fiche catalogue\Détection incendie\Détecteur _ socle\CAT-CS_04_14-03_Fiche catalogue - OLFAR -  OLFAR R.pdf", "Fiche Produit")</f>
        <v>Fiche Produit</v>
      </c>
    </row>
    <row r="435" spans="1:6" x14ac:dyDescent="0.25">
      <c r="A435" t="s">
        <v>6</v>
      </c>
      <c r="B435" t="s">
        <v>9</v>
      </c>
      <c r="C435" t="s">
        <v>15</v>
      </c>
      <c r="D435" t="s">
        <v>450</v>
      </c>
      <c r="E435" t="s">
        <v>1408</v>
      </c>
      <c r="F435" t="str">
        <f>HYPERLINK("C:\Users\longueni\Desktop\Chubb produits code\Fiche catalogue\Détection incendie\Détecteur _ socle\CAT-CS_04_14-03_Fiche catalogue - OLFAR -  OLFAR R.pdf", "Fiche Produit")</f>
        <v>Fiche Produit</v>
      </c>
    </row>
    <row r="436" spans="1:6" x14ac:dyDescent="0.25">
      <c r="A436" t="s">
        <v>6</v>
      </c>
      <c r="B436" t="s">
        <v>9</v>
      </c>
      <c r="C436" t="s">
        <v>15</v>
      </c>
      <c r="D436" t="s">
        <v>451</v>
      </c>
      <c r="E436" t="s">
        <v>1409</v>
      </c>
      <c r="F436" t="str">
        <f>HYPERLINK("C:\Users\longueni\Desktop\Chubb produits code\CTLG-9001639_Catalogue - Produits et Systèmes CHUBB.pdf", "Fiche Produit")</f>
        <v>Fiche Produit</v>
      </c>
    </row>
    <row r="437" spans="1:6" x14ac:dyDescent="0.25">
      <c r="A437" t="s">
        <v>6</v>
      </c>
      <c r="B437" t="s">
        <v>9</v>
      </c>
      <c r="C437" t="s">
        <v>15</v>
      </c>
      <c r="D437" t="s">
        <v>452</v>
      </c>
      <c r="E437" t="s">
        <v>1410</v>
      </c>
      <c r="F437" t="str">
        <f>HYPERLINK("C:\Users\longueni\Desktop\Chubb produits code\Fiche catalogue\Détection incendie\Accessoires_outils\CAT-CS_04_16-01_Fiche catalogue - ACCESSOIRES DÉTECTEURS PONCTUELS.pdf", "Fiche Produit")</f>
        <v>Fiche Produit</v>
      </c>
    </row>
    <row r="438" spans="1:6" x14ac:dyDescent="0.25">
      <c r="A438" t="s">
        <v>6</v>
      </c>
      <c r="B438" t="s">
        <v>9</v>
      </c>
      <c r="C438" t="s">
        <v>15</v>
      </c>
      <c r="D438" t="s">
        <v>453</v>
      </c>
      <c r="E438" t="s">
        <v>1411</v>
      </c>
      <c r="F438" t="str">
        <f>HYPERLINK("C:\Users\longueni\Desktop\Chubb produits code\Fiche catalogue\Détection incendie\Détecteur _ socle\I.Scan _ I.Scan+\CAT-157_Fiche catalogue - LASER.Scan 2.pdf", "Fiche Produit")</f>
        <v>Fiche Produit</v>
      </c>
    </row>
    <row r="439" spans="1:6" x14ac:dyDescent="0.25">
      <c r="A439" t="s">
        <v>6</v>
      </c>
      <c r="B439" t="s">
        <v>9</v>
      </c>
      <c r="C439" t="s">
        <v>15</v>
      </c>
      <c r="D439" t="s">
        <v>454</v>
      </c>
      <c r="E439" t="s">
        <v>1411</v>
      </c>
      <c r="F439" t="str">
        <f>HYPERLINK("C:\Users\longueni\Desktop\Chubb produits code\Fiche catalogue\Détection incendie\Détecteur _ socle\I.Scan _ I.Scan+\CAT-CS_04_71-02_Fiche catalogue - I.Scan+ M ICC.pdf", "Fiche Produit")</f>
        <v>Fiche Produit</v>
      </c>
    </row>
    <row r="440" spans="1:6" x14ac:dyDescent="0.25">
      <c r="A440" t="s">
        <v>6</v>
      </c>
      <c r="B440" t="s">
        <v>9</v>
      </c>
      <c r="C440" t="s">
        <v>15</v>
      </c>
      <c r="D440" t="s">
        <v>455</v>
      </c>
      <c r="E440" t="s">
        <v>1411</v>
      </c>
      <c r="F440" t="str">
        <f>HYPERLINK("C:\Users\longueni\Desktop\Chubb produits code\Fiche catalogue\Détection incendie\Détecteur _ socle\I.Scan _ I.Scan+\CAT-CS_04_73-03_Fiche catalogue - I.Scan+ T78 ICC.pdf", "Fiche Produit")</f>
        <v>Fiche Produit</v>
      </c>
    </row>
    <row r="441" spans="1:6" x14ac:dyDescent="0.25">
      <c r="A441" t="s">
        <v>6</v>
      </c>
      <c r="B441" t="s">
        <v>9</v>
      </c>
      <c r="C441" t="s">
        <v>15</v>
      </c>
      <c r="D441" t="s">
        <v>456</v>
      </c>
      <c r="E441" t="s">
        <v>1411</v>
      </c>
      <c r="F441" t="str">
        <f>HYPERLINK("C:\Users\longueni\Desktop\Chubb produits code\Fiche catalogue\Détection incendie\Détecteur _ socle\I.Scan _ I.Scan+\CAT-CS_04_72-02_Fiche catalogue - I.Scan+ O.pdf", "Fiche Produit")</f>
        <v>Fiche Produit</v>
      </c>
    </row>
    <row r="442" spans="1:6" x14ac:dyDescent="0.25">
      <c r="A442" t="s">
        <v>6</v>
      </c>
      <c r="B442" t="s">
        <v>9</v>
      </c>
      <c r="C442" t="s">
        <v>15</v>
      </c>
      <c r="D442" t="s">
        <v>457</v>
      </c>
      <c r="E442" t="s">
        <v>1411</v>
      </c>
      <c r="F442" t="str">
        <f>HYPERLINK("C:\Users\longueni\Desktop\Chubb produits code\Fiche catalogue\Détection incendie\Détecteur _ socle\I.Scan _ I.Scan+\CAT-CS_04_74-02_Fiche catalogue - I.Scan+ TV ICC.pdf", "Fiche Produit")</f>
        <v>Fiche Produit</v>
      </c>
    </row>
    <row r="443" spans="1:6" x14ac:dyDescent="0.25">
      <c r="A443" t="s">
        <v>6</v>
      </c>
      <c r="B443" t="s">
        <v>9</v>
      </c>
      <c r="C443" t="s">
        <v>15</v>
      </c>
      <c r="D443" t="s">
        <v>458</v>
      </c>
      <c r="E443" t="s">
        <v>1411</v>
      </c>
      <c r="F443" t="str">
        <f>HYPERLINK("C:\Users\longueni\Desktop\Chubb produits code\Fiche catalogue\Détection incendie\Détecteur _ socle\I.Scan _ I.Scan+\CAT-CS_04_73-02_Fiche catalogue - I.Scan+ T58 ICC.pdf", "Fiche Produit")</f>
        <v>Fiche Produit</v>
      </c>
    </row>
    <row r="444" spans="1:6" x14ac:dyDescent="0.25">
      <c r="A444" t="s">
        <v>6</v>
      </c>
      <c r="B444" t="s">
        <v>9</v>
      </c>
      <c r="C444" t="s">
        <v>15</v>
      </c>
      <c r="D444" t="s">
        <v>459</v>
      </c>
      <c r="E444" t="s">
        <v>1412</v>
      </c>
      <c r="F444" t="str">
        <f>HYPERLINK("C:\Users\longueni\Desktop\Chubb produits code\Fiche catalogue\Détection incendie\Accessoires_outils\CAT-CS_01_69-01_Fiche catalogue - ACCESSOIRES Centrale.pdf", "Fiche Produit")</f>
        <v>Fiche Produit</v>
      </c>
    </row>
    <row r="445" spans="1:6" x14ac:dyDescent="0.25">
      <c r="A445" t="s">
        <v>6</v>
      </c>
      <c r="B445" t="s">
        <v>9</v>
      </c>
      <c r="C445" t="s">
        <v>15</v>
      </c>
      <c r="D445" t="s">
        <v>460</v>
      </c>
      <c r="E445" t="s">
        <v>1413</v>
      </c>
      <c r="F445" t="str">
        <f t="shared" ref="F445:F464" si="6">HYPERLINK("C:\Users\longueni\Desktop\Chubb produits code\Fiche catalogue\Détection incendie\supervision\OPTIMA VISION\CAT-029_Fiche catalogue - Optima Vision UAE.pdf", "Fiche Produit")</f>
        <v>Fiche Produit</v>
      </c>
    </row>
    <row r="446" spans="1:6" x14ac:dyDescent="0.25">
      <c r="A446" t="s">
        <v>6</v>
      </c>
      <c r="B446" t="s">
        <v>9</v>
      </c>
      <c r="C446" t="s">
        <v>15</v>
      </c>
      <c r="D446" t="s">
        <v>461</v>
      </c>
      <c r="E446" t="s">
        <v>1414</v>
      </c>
      <c r="F446" t="str">
        <f t="shared" si="6"/>
        <v>Fiche Produit</v>
      </c>
    </row>
    <row r="447" spans="1:6" x14ac:dyDescent="0.25">
      <c r="A447" t="s">
        <v>6</v>
      </c>
      <c r="B447" t="s">
        <v>9</v>
      </c>
      <c r="C447" t="s">
        <v>15</v>
      </c>
      <c r="D447" t="s">
        <v>462</v>
      </c>
      <c r="E447" t="s">
        <v>1415</v>
      </c>
      <c r="F447" t="str">
        <f t="shared" si="6"/>
        <v>Fiche Produit</v>
      </c>
    </row>
    <row r="448" spans="1:6" x14ac:dyDescent="0.25">
      <c r="A448" t="s">
        <v>6</v>
      </c>
      <c r="B448" t="s">
        <v>9</v>
      </c>
      <c r="C448" t="s">
        <v>15</v>
      </c>
      <c r="D448" t="s">
        <v>463</v>
      </c>
      <c r="E448" t="s">
        <v>1416</v>
      </c>
      <c r="F448" t="str">
        <f t="shared" si="6"/>
        <v>Fiche Produit</v>
      </c>
    </row>
    <row r="449" spans="1:6" x14ac:dyDescent="0.25">
      <c r="A449" t="s">
        <v>6</v>
      </c>
      <c r="B449" t="s">
        <v>9</v>
      </c>
      <c r="C449" t="s">
        <v>15</v>
      </c>
      <c r="D449" t="s">
        <v>464</v>
      </c>
      <c r="E449" t="s">
        <v>1417</v>
      </c>
      <c r="F449" t="str">
        <f t="shared" si="6"/>
        <v>Fiche Produit</v>
      </c>
    </row>
    <row r="450" spans="1:6" x14ac:dyDescent="0.25">
      <c r="A450" t="s">
        <v>6</v>
      </c>
      <c r="B450" t="s">
        <v>9</v>
      </c>
      <c r="C450" t="s">
        <v>15</v>
      </c>
      <c r="D450" t="s">
        <v>465</v>
      </c>
      <c r="E450" t="s">
        <v>1418</v>
      </c>
      <c r="F450" t="str">
        <f t="shared" si="6"/>
        <v>Fiche Produit</v>
      </c>
    </row>
    <row r="451" spans="1:6" x14ac:dyDescent="0.25">
      <c r="A451" t="s">
        <v>6</v>
      </c>
      <c r="B451" t="s">
        <v>9</v>
      </c>
      <c r="C451" t="s">
        <v>15</v>
      </c>
      <c r="D451" t="s">
        <v>466</v>
      </c>
      <c r="E451" t="s">
        <v>1419</v>
      </c>
      <c r="F451" t="str">
        <f t="shared" si="6"/>
        <v>Fiche Produit</v>
      </c>
    </row>
    <row r="452" spans="1:6" x14ac:dyDescent="0.25">
      <c r="A452" t="s">
        <v>6</v>
      </c>
      <c r="B452" t="s">
        <v>9</v>
      </c>
      <c r="C452" t="s">
        <v>15</v>
      </c>
      <c r="D452" t="s">
        <v>467</v>
      </c>
      <c r="E452" t="s">
        <v>1420</v>
      </c>
      <c r="F452" t="str">
        <f t="shared" si="6"/>
        <v>Fiche Produit</v>
      </c>
    </row>
    <row r="453" spans="1:6" x14ac:dyDescent="0.25">
      <c r="A453" t="s">
        <v>6</v>
      </c>
      <c r="B453" t="s">
        <v>9</v>
      </c>
      <c r="C453" t="s">
        <v>15</v>
      </c>
      <c r="D453" t="s">
        <v>468</v>
      </c>
      <c r="E453" t="s">
        <v>1421</v>
      </c>
      <c r="F453" t="str">
        <f t="shared" si="6"/>
        <v>Fiche Produit</v>
      </c>
    </row>
    <row r="454" spans="1:6" x14ac:dyDescent="0.25">
      <c r="A454" t="s">
        <v>6</v>
      </c>
      <c r="B454" t="s">
        <v>9</v>
      </c>
      <c r="C454" t="s">
        <v>15</v>
      </c>
      <c r="D454" t="s">
        <v>469</v>
      </c>
      <c r="E454" t="s">
        <v>1422</v>
      </c>
      <c r="F454" t="str">
        <f t="shared" si="6"/>
        <v>Fiche Produit</v>
      </c>
    </row>
    <row r="455" spans="1:6" x14ac:dyDescent="0.25">
      <c r="A455" t="s">
        <v>6</v>
      </c>
      <c r="B455" t="s">
        <v>9</v>
      </c>
      <c r="C455" t="s">
        <v>15</v>
      </c>
      <c r="D455" t="s">
        <v>470</v>
      </c>
      <c r="E455" t="s">
        <v>1423</v>
      </c>
      <c r="F455" t="str">
        <f t="shared" si="6"/>
        <v>Fiche Produit</v>
      </c>
    </row>
    <row r="456" spans="1:6" x14ac:dyDescent="0.25">
      <c r="A456" t="s">
        <v>6</v>
      </c>
      <c r="B456" t="s">
        <v>9</v>
      </c>
      <c r="C456" t="s">
        <v>15</v>
      </c>
      <c r="D456" t="s">
        <v>471</v>
      </c>
      <c r="E456" t="s">
        <v>1424</v>
      </c>
      <c r="F456" t="str">
        <f t="shared" si="6"/>
        <v>Fiche Produit</v>
      </c>
    </row>
    <row r="457" spans="1:6" x14ac:dyDescent="0.25">
      <c r="A457" t="s">
        <v>6</v>
      </c>
      <c r="B457" t="s">
        <v>9</v>
      </c>
      <c r="C457" t="s">
        <v>15</v>
      </c>
      <c r="D457" t="s">
        <v>472</v>
      </c>
      <c r="E457" t="s">
        <v>1425</v>
      </c>
      <c r="F457" t="str">
        <f t="shared" si="6"/>
        <v>Fiche Produit</v>
      </c>
    </row>
    <row r="458" spans="1:6" x14ac:dyDescent="0.25">
      <c r="A458" t="s">
        <v>6</v>
      </c>
      <c r="B458" t="s">
        <v>9</v>
      </c>
      <c r="C458" t="s">
        <v>15</v>
      </c>
      <c r="D458" t="s">
        <v>473</v>
      </c>
      <c r="E458" t="s">
        <v>1426</v>
      </c>
      <c r="F458" t="str">
        <f t="shared" si="6"/>
        <v>Fiche Produit</v>
      </c>
    </row>
    <row r="459" spans="1:6" x14ac:dyDescent="0.25">
      <c r="A459" t="s">
        <v>6</v>
      </c>
      <c r="B459" t="s">
        <v>9</v>
      </c>
      <c r="C459" t="s">
        <v>15</v>
      </c>
      <c r="D459" t="s">
        <v>474</v>
      </c>
      <c r="E459" t="s">
        <v>1427</v>
      </c>
      <c r="F459" t="str">
        <f t="shared" si="6"/>
        <v>Fiche Produit</v>
      </c>
    </row>
    <row r="460" spans="1:6" x14ac:dyDescent="0.25">
      <c r="A460" t="s">
        <v>6</v>
      </c>
      <c r="B460" t="s">
        <v>9</v>
      </c>
      <c r="C460" t="s">
        <v>15</v>
      </c>
      <c r="D460" t="s">
        <v>475</v>
      </c>
      <c r="E460" t="s">
        <v>1428</v>
      </c>
      <c r="F460" t="str">
        <f t="shared" si="6"/>
        <v>Fiche Produit</v>
      </c>
    </row>
    <row r="461" spans="1:6" x14ac:dyDescent="0.25">
      <c r="A461" t="s">
        <v>6</v>
      </c>
      <c r="B461" t="s">
        <v>9</v>
      </c>
      <c r="C461" t="s">
        <v>15</v>
      </c>
      <c r="D461" t="s">
        <v>476</v>
      </c>
      <c r="E461" t="s">
        <v>1429</v>
      </c>
      <c r="F461" t="str">
        <f t="shared" si="6"/>
        <v>Fiche Produit</v>
      </c>
    </row>
    <row r="462" spans="1:6" x14ac:dyDescent="0.25">
      <c r="A462" t="s">
        <v>6</v>
      </c>
      <c r="B462" t="s">
        <v>9</v>
      </c>
      <c r="C462" t="s">
        <v>15</v>
      </c>
      <c r="D462" t="s">
        <v>477</v>
      </c>
      <c r="E462" t="s">
        <v>1430</v>
      </c>
      <c r="F462" t="str">
        <f t="shared" si="6"/>
        <v>Fiche Produit</v>
      </c>
    </row>
    <row r="463" spans="1:6" x14ac:dyDescent="0.25">
      <c r="A463" t="s">
        <v>6</v>
      </c>
      <c r="B463" t="s">
        <v>9</v>
      </c>
      <c r="C463" t="s">
        <v>15</v>
      </c>
      <c r="D463" t="s">
        <v>478</v>
      </c>
      <c r="E463" t="s">
        <v>1431</v>
      </c>
      <c r="F463" t="str">
        <f t="shared" si="6"/>
        <v>Fiche Produit</v>
      </c>
    </row>
    <row r="464" spans="1:6" x14ac:dyDescent="0.25">
      <c r="A464" t="s">
        <v>6</v>
      </c>
      <c r="B464" t="s">
        <v>9</v>
      </c>
      <c r="C464" t="s">
        <v>15</v>
      </c>
      <c r="D464" t="s">
        <v>479</v>
      </c>
      <c r="E464" t="s">
        <v>1432</v>
      </c>
      <c r="F464" t="str">
        <f t="shared" si="6"/>
        <v>Fiche Produit</v>
      </c>
    </row>
    <row r="465" spans="1:6" x14ac:dyDescent="0.25">
      <c r="A465" t="s">
        <v>6</v>
      </c>
      <c r="B465" t="s">
        <v>9</v>
      </c>
      <c r="C465" t="s">
        <v>15</v>
      </c>
      <c r="D465" t="s">
        <v>480</v>
      </c>
      <c r="E465" t="s">
        <v>1433</v>
      </c>
      <c r="F465" t="str">
        <f>HYPERLINK("C:\Users\longueni\Desktop\Chubb produits code\Fiche catalogue\Détection incendie\Détecteur _ socle\CAT-CS_04_14-03_Fiche catalogue - OLFAR -  OLFAR R.pdf", "Fiche Produit")</f>
        <v>Fiche Produit</v>
      </c>
    </row>
    <row r="466" spans="1:6" x14ac:dyDescent="0.25">
      <c r="A466" t="s">
        <v>6</v>
      </c>
      <c r="B466" t="s">
        <v>9</v>
      </c>
      <c r="C466" t="s">
        <v>15</v>
      </c>
      <c r="D466" t="s">
        <v>481</v>
      </c>
      <c r="E466" t="s">
        <v>1434</v>
      </c>
      <c r="F466" t="str">
        <f>HYPERLINK("C:\Users\longueni\Desktop\Chubb produits code\CTLG-9001639_Catalogue - Produits et Systèmes CHUBB.pdf", "Fiche Produit")</f>
        <v>Fiche Produit</v>
      </c>
    </row>
    <row r="467" spans="1:6" x14ac:dyDescent="0.25">
      <c r="A467" t="s">
        <v>6</v>
      </c>
      <c r="B467" t="s">
        <v>9</v>
      </c>
      <c r="C467" t="s">
        <v>15</v>
      </c>
      <c r="D467" t="s">
        <v>482</v>
      </c>
      <c r="E467" t="s">
        <v>1435</v>
      </c>
      <c r="F467" t="str">
        <f>HYPERLINK("C:\Users\longueni\Desktop\Chubb produits code\Fiche catalogue\Détection incendie\Détecteur _ socle\OSID\CAT-018_Fiche catalogue - Détecteur de fumée - OSID.pdf", "Fiche Produit")</f>
        <v>Fiche Produit</v>
      </c>
    </row>
    <row r="468" spans="1:6" x14ac:dyDescent="0.25">
      <c r="A468" t="s">
        <v>6</v>
      </c>
      <c r="B468" t="s">
        <v>9</v>
      </c>
      <c r="C468" t="s">
        <v>15</v>
      </c>
      <c r="D468" t="s">
        <v>483</v>
      </c>
      <c r="E468" t="s">
        <v>1436</v>
      </c>
      <c r="F468" t="str">
        <f>HYPERLINK("C:\Users\longueni\Desktop\Chubb produits code\CTLG-9001639_Catalogue - Produits et Systèmes CHUBB.pdf", "Fiche Produit")</f>
        <v>Fiche Produit</v>
      </c>
    </row>
    <row r="469" spans="1:6" x14ac:dyDescent="0.25">
      <c r="A469" t="s">
        <v>6</v>
      </c>
      <c r="B469" t="s">
        <v>9</v>
      </c>
      <c r="C469" t="s">
        <v>15</v>
      </c>
      <c r="D469" t="s">
        <v>484</v>
      </c>
      <c r="E469" t="s">
        <v>1437</v>
      </c>
      <c r="F469" t="str">
        <f t="shared" ref="F469:F475" si="7">HYPERLINK("C:\Users\longueni\Desktop\Chubb produits code\Fiche catalogue\Détection incendie\Détecteur _ socle\VESDA\CAT-054_Fiche catalogue - Soufflage automatique Vesda - THE PAC.pdf", "Fiche Produit")</f>
        <v>Fiche Produit</v>
      </c>
    </row>
    <row r="470" spans="1:6" x14ac:dyDescent="0.25">
      <c r="A470" t="s">
        <v>6</v>
      </c>
      <c r="B470" t="s">
        <v>9</v>
      </c>
      <c r="C470" t="s">
        <v>15</v>
      </c>
      <c r="D470" t="s">
        <v>485</v>
      </c>
      <c r="E470" t="s">
        <v>1438</v>
      </c>
      <c r="F470" t="str">
        <f t="shared" si="7"/>
        <v>Fiche Produit</v>
      </c>
    </row>
    <row r="471" spans="1:6" x14ac:dyDescent="0.25">
      <c r="A471" t="s">
        <v>6</v>
      </c>
      <c r="B471" t="s">
        <v>9</v>
      </c>
      <c r="C471" t="s">
        <v>15</v>
      </c>
      <c r="D471" t="s">
        <v>486</v>
      </c>
      <c r="E471" t="s">
        <v>1439</v>
      </c>
      <c r="F471" t="str">
        <f t="shared" si="7"/>
        <v>Fiche Produit</v>
      </c>
    </row>
    <row r="472" spans="1:6" x14ac:dyDescent="0.25">
      <c r="A472" t="s">
        <v>6</v>
      </c>
      <c r="B472" t="s">
        <v>9</v>
      </c>
      <c r="C472" t="s">
        <v>15</v>
      </c>
      <c r="D472" t="s">
        <v>487</v>
      </c>
      <c r="E472" t="s">
        <v>1440</v>
      </c>
      <c r="F472" t="str">
        <f t="shared" si="7"/>
        <v>Fiche Produit</v>
      </c>
    </row>
    <row r="473" spans="1:6" x14ac:dyDescent="0.25">
      <c r="A473" t="s">
        <v>6</v>
      </c>
      <c r="B473" t="s">
        <v>9</v>
      </c>
      <c r="C473" t="s">
        <v>15</v>
      </c>
      <c r="D473" t="s">
        <v>488</v>
      </c>
      <c r="E473" t="s">
        <v>1441</v>
      </c>
      <c r="F473" t="str">
        <f t="shared" si="7"/>
        <v>Fiche Produit</v>
      </c>
    </row>
    <row r="474" spans="1:6" x14ac:dyDescent="0.25">
      <c r="A474" t="s">
        <v>6</v>
      </c>
      <c r="B474" t="s">
        <v>9</v>
      </c>
      <c r="C474" t="s">
        <v>15</v>
      </c>
      <c r="D474" t="s">
        <v>489</v>
      </c>
      <c r="E474" t="s">
        <v>1442</v>
      </c>
      <c r="F474" t="str">
        <f t="shared" si="7"/>
        <v>Fiche Produit</v>
      </c>
    </row>
    <row r="475" spans="1:6" x14ac:dyDescent="0.25">
      <c r="A475" t="s">
        <v>6</v>
      </c>
      <c r="B475" t="s">
        <v>9</v>
      </c>
      <c r="C475" t="s">
        <v>15</v>
      </c>
      <c r="D475" t="s">
        <v>490</v>
      </c>
      <c r="E475" t="s">
        <v>1443</v>
      </c>
      <c r="F475" t="str">
        <f t="shared" si="7"/>
        <v>Fiche Produit</v>
      </c>
    </row>
    <row r="476" spans="1:6" x14ac:dyDescent="0.25">
      <c r="A476" t="s">
        <v>6</v>
      </c>
      <c r="B476" t="s">
        <v>9</v>
      </c>
      <c r="C476" t="s">
        <v>15</v>
      </c>
      <c r="D476" t="s">
        <v>491</v>
      </c>
      <c r="E476" t="s">
        <v>1444</v>
      </c>
      <c r="F476" t="str">
        <f>HYPERLINK("C:\Users\longueni\Desktop\Chubb produits code\Fiche catalogue\Détection incendie\supervision\CAT-171_Fiche catalogue - PC standard W11 64 bits.pdf", "Fiche Produit")</f>
        <v>Fiche Produit</v>
      </c>
    </row>
    <row r="477" spans="1:6" x14ac:dyDescent="0.25">
      <c r="A477" t="s">
        <v>6</v>
      </c>
      <c r="B477" t="s">
        <v>9</v>
      </c>
      <c r="C477" t="s">
        <v>15</v>
      </c>
      <c r="D477" t="s">
        <v>492</v>
      </c>
      <c r="E477" t="s">
        <v>1445</v>
      </c>
      <c r="F477" t="str">
        <f>HYPERLINK("C:\Users\longueni\Desktop\Chubb produits code\Fiche catalogue\Détection incendie\Dispositif sonore _ lumineux\CAT-CS_07_25-02_Fiche catalogue - NEXUS DL DC.pdf", "Fiche Produit")</f>
        <v>Fiche Produit</v>
      </c>
    </row>
    <row r="478" spans="1:6" x14ac:dyDescent="0.25">
      <c r="A478" t="s">
        <v>6</v>
      </c>
      <c r="B478" t="s">
        <v>9</v>
      </c>
      <c r="C478" t="s">
        <v>15</v>
      </c>
      <c r="D478" t="s">
        <v>493</v>
      </c>
      <c r="E478" t="s">
        <v>1446</v>
      </c>
      <c r="F478" t="str">
        <f>HYPERLINK("C:\Users\longueni\Desktop\Chubb produits code\Fiche catalogue\Détection incendie\Dispositif sonore _ lumineux\CAT-CS_07_25-01_Fiche catalogue - NEXUS DC.pdf", "Fiche Produit")</f>
        <v>Fiche Produit</v>
      </c>
    </row>
    <row r="479" spans="1:6" x14ac:dyDescent="0.25">
      <c r="A479" t="s">
        <v>6</v>
      </c>
      <c r="B479" t="s">
        <v>9</v>
      </c>
      <c r="C479" t="s">
        <v>15</v>
      </c>
      <c r="D479" t="s">
        <v>494</v>
      </c>
      <c r="E479" t="s">
        <v>1447</v>
      </c>
      <c r="F479" t="str">
        <f>HYPERLINK("C:\Users\longueni\Desktop\Chubb produits code\Fiche catalogue\Détection incendie\Radio\PPMS\CAT-162_Fiche catalogue - PPMS à Pile RF Chubb.pdf", "Fiche Produit")</f>
        <v>Fiche Produit</v>
      </c>
    </row>
    <row r="480" spans="1:6" x14ac:dyDescent="0.25">
      <c r="A480" t="s">
        <v>6</v>
      </c>
      <c r="B480" t="s">
        <v>9</v>
      </c>
      <c r="C480" t="s">
        <v>15</v>
      </c>
      <c r="D480" t="s">
        <v>495</v>
      </c>
      <c r="E480" t="s">
        <v>1448</v>
      </c>
      <c r="F480" t="str">
        <f>HYPERLINK("C:\Users\longueni\Desktop\Chubb produits code\Fiche catalogue\Détection incendie\Radio\PPMS\CAT-162_Fiche catalogue - PPMS à Pile RF Chubb.pdf", "Fiche Produit")</f>
        <v>Fiche Produit</v>
      </c>
    </row>
    <row r="481" spans="1:6" x14ac:dyDescent="0.25">
      <c r="A481" t="s">
        <v>6</v>
      </c>
      <c r="B481" t="s">
        <v>9</v>
      </c>
      <c r="C481" t="s">
        <v>15</v>
      </c>
      <c r="D481" t="s">
        <v>496</v>
      </c>
      <c r="E481" t="s">
        <v>1449</v>
      </c>
      <c r="F481" t="str">
        <f>HYPERLINK("C:\Users\longueni\Desktop\Chubb produits code\Fiche catalogue\Détection incendie\Accessoires_outils\CAT-074_Fiche catalogue - Boitier de Réarmement à Distance.pdf", "Fiche Produit")</f>
        <v>Fiche Produit</v>
      </c>
    </row>
    <row r="482" spans="1:6" x14ac:dyDescent="0.25">
      <c r="A482" t="s">
        <v>6</v>
      </c>
      <c r="B482" t="s">
        <v>9</v>
      </c>
      <c r="C482" t="s">
        <v>15</v>
      </c>
      <c r="D482" t="s">
        <v>497</v>
      </c>
      <c r="E482" t="s">
        <v>1449</v>
      </c>
      <c r="F482" t="str">
        <f>HYPERLINK("C:\Users\longueni\Desktop\Chubb produits code\Fiche catalogue\Détection incendie\DAS_DAC\CAT-060_Fiche catalogue - Dispositif Adaptateur de Commande - DAC EE.pdf", "Fiche Produit")</f>
        <v>Fiche Produit</v>
      </c>
    </row>
    <row r="483" spans="1:6" x14ac:dyDescent="0.25">
      <c r="A483" t="s">
        <v>6</v>
      </c>
      <c r="B483" t="s">
        <v>9</v>
      </c>
      <c r="C483" t="s">
        <v>15</v>
      </c>
      <c r="D483" t="s">
        <v>498</v>
      </c>
      <c r="E483" t="s">
        <v>1450</v>
      </c>
      <c r="F483" t="str">
        <f>HYPERLINK("C:\Users\longueni\Desktop\Chubb produits code\Fiche catalogue\Extinction\Accessoires_outils\CAT-056_Fiche catalogue - DAOV électrique V3.pdf", "Fiche Produit")</f>
        <v>Fiche Produit</v>
      </c>
    </row>
    <row r="484" spans="1:6" x14ac:dyDescent="0.25">
      <c r="A484" t="s">
        <v>6</v>
      </c>
      <c r="B484" t="s">
        <v>9</v>
      </c>
      <c r="C484" t="s">
        <v>15</v>
      </c>
      <c r="D484" t="s">
        <v>499</v>
      </c>
      <c r="E484" t="s">
        <v>1450</v>
      </c>
      <c r="F484" t="str">
        <f>HYPERLINK("C:\Users\longueni\Desktop\Chubb produits code\Fiche catalogue\Détection incendie\Détecteur _ socle\CAT-CS_04_103-01_Fiche catalogue - IR² ATEX 16511.pdf", "Fiche Produit")</f>
        <v>Fiche Produit</v>
      </c>
    </row>
    <row r="485" spans="1:6" x14ac:dyDescent="0.25">
      <c r="A485" t="s">
        <v>6</v>
      </c>
      <c r="B485" t="s">
        <v>9</v>
      </c>
      <c r="C485" t="s">
        <v>15</v>
      </c>
      <c r="D485" t="s">
        <v>500</v>
      </c>
      <c r="E485" t="s">
        <v>1450</v>
      </c>
      <c r="F485" t="str">
        <f>HYPERLINK("C:\Users\longueni\Desktop\Chubb produits code\Fiche catalogue\Détection incendie\Détecteur _ socle\VESDA\CAT-054_Fiche catalogue - Soufflage automatique Vesda - THE PAC.pdf", "Fiche Produit")</f>
        <v>Fiche Produit</v>
      </c>
    </row>
    <row r="486" spans="1:6" x14ac:dyDescent="0.25">
      <c r="A486" t="s">
        <v>6</v>
      </c>
      <c r="B486" t="s">
        <v>9</v>
      </c>
      <c r="C486" t="s">
        <v>15</v>
      </c>
      <c r="D486" t="s">
        <v>501</v>
      </c>
      <c r="E486" t="s">
        <v>1451</v>
      </c>
      <c r="F486" t="str">
        <f>HYPERLINK("C:\Users\longueni\Desktop\Chubb produits code\Fiche catalogue\Détection incendie\Alimentation\CAT-140_Fiche catalogue - AES BOOSTEES SLAT.pdf", "Fiche Produit")</f>
        <v>Fiche Produit</v>
      </c>
    </row>
    <row r="487" spans="1:6" x14ac:dyDescent="0.25">
      <c r="A487" t="s">
        <v>6</v>
      </c>
      <c r="B487" t="s">
        <v>9</v>
      </c>
      <c r="C487" t="s">
        <v>15</v>
      </c>
      <c r="D487" t="s">
        <v>502</v>
      </c>
      <c r="E487" t="s">
        <v>1452</v>
      </c>
      <c r="F487" t="str">
        <f>HYPERLINK("C:\Users\longueni\Desktop\Chubb produits code\Fiche catalogue\Détection incendie\Centrale\CAT-CS_01_64-01_Fiche catalogue - UCR LON FTT.pdf", "Fiche Produit")</f>
        <v>Fiche Produit</v>
      </c>
    </row>
    <row r="488" spans="1:6" x14ac:dyDescent="0.25">
      <c r="A488" t="s">
        <v>6</v>
      </c>
      <c r="B488" t="s">
        <v>9</v>
      </c>
      <c r="C488" t="s">
        <v>15</v>
      </c>
      <c r="D488" t="s">
        <v>503</v>
      </c>
      <c r="E488" t="s">
        <v>1453</v>
      </c>
      <c r="F488" t="str">
        <f>HYPERLINK("C:\Users\longueni\Desktop\Chubb produits code\Fiche catalogue\Détection incendie\Radio\R.Scan+\CAT-027_Fiche catalogue - Gamme radio R.Scan+.pdf", "Fiche Produit")</f>
        <v>Fiche Produit</v>
      </c>
    </row>
    <row r="489" spans="1:6" x14ac:dyDescent="0.25">
      <c r="A489" t="s">
        <v>6</v>
      </c>
      <c r="B489" t="s">
        <v>9</v>
      </c>
      <c r="C489" t="s">
        <v>15</v>
      </c>
      <c r="D489" t="s">
        <v>504</v>
      </c>
      <c r="E489" t="s">
        <v>1454</v>
      </c>
      <c r="F489" t="str">
        <f>HYPERLINK("C:\Users\longueni\Desktop\Chubb produits code\Fiche catalogue\Détection incendie\Accessoires_outils\CAT-CS_04_98-01_Fiche catalogue - TESTIFIRE.pdf", "Fiche Produit")</f>
        <v>Fiche Produit</v>
      </c>
    </row>
    <row r="490" spans="1:6" x14ac:dyDescent="0.25">
      <c r="A490" t="s">
        <v>6</v>
      </c>
      <c r="B490" t="s">
        <v>9</v>
      </c>
      <c r="C490" t="s">
        <v>15</v>
      </c>
      <c r="D490" t="s">
        <v>505</v>
      </c>
      <c r="E490" t="s">
        <v>1455</v>
      </c>
      <c r="F490" t="str">
        <f>HYPERLINK("C:\Users\longueni\Desktop\Chubb produits code\Fiche catalogue\Extinction\Centrale\UTEX.Com\CAT-CS_N_16-01_Fiche catalogue - UTEX Com.pdf", "Fiche Produit")</f>
        <v>Fiche Produit</v>
      </c>
    </row>
    <row r="491" spans="1:6" x14ac:dyDescent="0.25">
      <c r="A491" t="s">
        <v>6</v>
      </c>
      <c r="B491" t="s">
        <v>9</v>
      </c>
      <c r="C491" t="s">
        <v>15</v>
      </c>
      <c r="D491" t="s">
        <v>506</v>
      </c>
      <c r="E491" t="s">
        <v>1456</v>
      </c>
      <c r="F491" t="str">
        <f>HYPERLINK("C:\Users\longueni\Desktop\Chubb produits code\Fiche catalogue\Détection incendie\Accessoires_outils\CAT-CS_04_16-01_Fiche catalogue - ACCESSOIRES DÉTECTEURS PONCTUELS.pdf", "Fiche Produit")</f>
        <v>Fiche Produit</v>
      </c>
    </row>
    <row r="492" spans="1:6" x14ac:dyDescent="0.25">
      <c r="A492" t="s">
        <v>6</v>
      </c>
      <c r="B492" t="s">
        <v>9</v>
      </c>
      <c r="C492" t="s">
        <v>15</v>
      </c>
      <c r="D492" t="s">
        <v>507</v>
      </c>
      <c r="E492" t="s">
        <v>1457</v>
      </c>
      <c r="F492" t="str">
        <f>HYPERLINK("C:\Users\longueni\Desktop\Chubb produits code\Fiche catalogue\Détection incendie\Détecteur _ socle\C.Scan _ C.Scan+\CAT-CS_04_51-01_Fiche catalogue - C.Scan+ M.pdf", "Fiche Produit")</f>
        <v>Fiche Produit</v>
      </c>
    </row>
    <row r="493" spans="1:6" x14ac:dyDescent="0.25">
      <c r="A493" t="s">
        <v>6</v>
      </c>
      <c r="B493" t="s">
        <v>9</v>
      </c>
      <c r="C493" t="s">
        <v>15</v>
      </c>
      <c r="D493" t="s">
        <v>508</v>
      </c>
      <c r="E493" t="s">
        <v>1458</v>
      </c>
      <c r="F493" t="str">
        <f>HYPERLINK("C:\Users\longueni\Desktop\Chubb produits code\Fiche catalogue\Détection incendie\Centrale\CAT-176_Fiche catalogue - Détecteur de flammes IRY2.pdf", "Fiche Produit")</f>
        <v>Fiche Produit</v>
      </c>
    </row>
    <row r="494" spans="1:6" x14ac:dyDescent="0.25">
      <c r="A494" t="s">
        <v>6</v>
      </c>
      <c r="B494" t="s">
        <v>9</v>
      </c>
      <c r="C494" t="s">
        <v>15</v>
      </c>
      <c r="D494" t="s">
        <v>509</v>
      </c>
      <c r="E494" t="s">
        <v>1459</v>
      </c>
      <c r="F494" t="str">
        <f>HYPERLINK("C:\Users\longueni\Desktop\Chubb produits code\Fiche catalogue\Détection incendie\Détecteur _ socle\VIEX\CAT-CS_04_78-01_Fiche catalogue - VIEX.pdf", "Fiche Produit")</f>
        <v>Fiche Produit</v>
      </c>
    </row>
    <row r="495" spans="1:6" x14ac:dyDescent="0.25">
      <c r="A495" t="s">
        <v>6</v>
      </c>
      <c r="B495" t="s">
        <v>9</v>
      </c>
      <c r="C495" t="s">
        <v>15</v>
      </c>
      <c r="D495" t="s">
        <v>510</v>
      </c>
      <c r="E495" t="s">
        <v>1459</v>
      </c>
      <c r="F495" t="str">
        <f>HYPERLINK("C:\Users\longueni\Desktop\Chubb produits code\Fiche catalogue\Détection incendie\Détecteur _ socle\VOEX\CAT-CS_04_78-05_Fiche catalogue - VOEX.pdf", "Fiche Produit")</f>
        <v>Fiche Produit</v>
      </c>
    </row>
    <row r="496" spans="1:6" x14ac:dyDescent="0.25">
      <c r="A496" t="s">
        <v>6</v>
      </c>
      <c r="B496" t="s">
        <v>9</v>
      </c>
      <c r="C496" t="s">
        <v>15</v>
      </c>
      <c r="D496" t="s">
        <v>511</v>
      </c>
      <c r="E496" t="s">
        <v>1460</v>
      </c>
      <c r="F496" t="str">
        <f t="shared" ref="F496:F509" si="8">HYPERLINK("C:\Users\longueni\Desktop\Chubb produits code\CTLG-9001639_Catalogue - Produits et Systèmes CHUBB.pdf", "Fiche Produit")</f>
        <v>Fiche Produit</v>
      </c>
    </row>
    <row r="497" spans="1:6" x14ac:dyDescent="0.25">
      <c r="A497" t="s">
        <v>6</v>
      </c>
      <c r="B497" t="s">
        <v>9</v>
      </c>
      <c r="C497" t="s">
        <v>15</v>
      </c>
      <c r="D497" t="s">
        <v>512</v>
      </c>
      <c r="E497" t="s">
        <v>1460</v>
      </c>
      <c r="F497" t="str">
        <f t="shared" si="8"/>
        <v>Fiche Produit</v>
      </c>
    </row>
    <row r="498" spans="1:6" x14ac:dyDescent="0.25">
      <c r="A498" t="s">
        <v>6</v>
      </c>
      <c r="B498" t="s">
        <v>9</v>
      </c>
      <c r="C498" t="s">
        <v>15</v>
      </c>
      <c r="D498" t="s">
        <v>513</v>
      </c>
      <c r="E498" t="s">
        <v>1460</v>
      </c>
      <c r="F498" t="str">
        <f t="shared" si="8"/>
        <v>Fiche Produit</v>
      </c>
    </row>
    <row r="499" spans="1:6" x14ac:dyDescent="0.25">
      <c r="A499" t="s">
        <v>6</v>
      </c>
      <c r="B499" t="s">
        <v>9</v>
      </c>
      <c r="C499" t="s">
        <v>15</v>
      </c>
      <c r="D499" t="s">
        <v>514</v>
      </c>
      <c r="E499" t="s">
        <v>1460</v>
      </c>
      <c r="F499" t="str">
        <f t="shared" si="8"/>
        <v>Fiche Produit</v>
      </c>
    </row>
    <row r="500" spans="1:6" x14ac:dyDescent="0.25">
      <c r="A500" t="s">
        <v>6</v>
      </c>
      <c r="B500" t="s">
        <v>9</v>
      </c>
      <c r="C500" t="s">
        <v>15</v>
      </c>
      <c r="D500" t="s">
        <v>515</v>
      </c>
      <c r="E500" t="s">
        <v>1460</v>
      </c>
      <c r="F500" t="str">
        <f t="shared" si="8"/>
        <v>Fiche Produit</v>
      </c>
    </row>
    <row r="501" spans="1:6" x14ac:dyDescent="0.25">
      <c r="A501" t="s">
        <v>6</v>
      </c>
      <c r="B501" t="s">
        <v>9</v>
      </c>
      <c r="C501" t="s">
        <v>15</v>
      </c>
      <c r="D501" t="s">
        <v>516</v>
      </c>
      <c r="E501" t="s">
        <v>1460</v>
      </c>
      <c r="F501" t="str">
        <f t="shared" si="8"/>
        <v>Fiche Produit</v>
      </c>
    </row>
    <row r="502" spans="1:6" x14ac:dyDescent="0.25">
      <c r="A502" t="s">
        <v>6</v>
      </c>
      <c r="B502" t="s">
        <v>9</v>
      </c>
      <c r="C502" t="s">
        <v>15</v>
      </c>
      <c r="D502" t="s">
        <v>517</v>
      </c>
      <c r="E502" t="s">
        <v>1460</v>
      </c>
      <c r="F502" t="str">
        <f t="shared" si="8"/>
        <v>Fiche Produit</v>
      </c>
    </row>
    <row r="503" spans="1:6" x14ac:dyDescent="0.25">
      <c r="A503" t="s">
        <v>6</v>
      </c>
      <c r="B503" t="s">
        <v>9</v>
      </c>
      <c r="C503" t="s">
        <v>15</v>
      </c>
      <c r="D503" t="s">
        <v>518</v>
      </c>
      <c r="E503" t="s">
        <v>1460</v>
      </c>
      <c r="F503" t="str">
        <f t="shared" si="8"/>
        <v>Fiche Produit</v>
      </c>
    </row>
    <row r="504" spans="1:6" x14ac:dyDescent="0.25">
      <c r="A504" t="s">
        <v>6</v>
      </c>
      <c r="B504" t="s">
        <v>9</v>
      </c>
      <c r="C504" t="s">
        <v>15</v>
      </c>
      <c r="D504" t="s">
        <v>519</v>
      </c>
      <c r="E504" t="s">
        <v>1460</v>
      </c>
      <c r="F504" t="str">
        <f t="shared" si="8"/>
        <v>Fiche Produit</v>
      </c>
    </row>
    <row r="505" spans="1:6" x14ac:dyDescent="0.25">
      <c r="A505" t="s">
        <v>6</v>
      </c>
      <c r="B505" t="s">
        <v>9</v>
      </c>
      <c r="C505" t="s">
        <v>15</v>
      </c>
      <c r="D505" t="s">
        <v>520</v>
      </c>
      <c r="E505" t="s">
        <v>1460</v>
      </c>
      <c r="F505" t="str">
        <f t="shared" si="8"/>
        <v>Fiche Produit</v>
      </c>
    </row>
    <row r="506" spans="1:6" x14ac:dyDescent="0.25">
      <c r="A506" t="s">
        <v>6</v>
      </c>
      <c r="B506" t="s">
        <v>9</v>
      </c>
      <c r="C506" t="s">
        <v>15</v>
      </c>
      <c r="D506" t="s">
        <v>521</v>
      </c>
      <c r="E506" t="s">
        <v>1460</v>
      </c>
      <c r="F506" t="str">
        <f t="shared" si="8"/>
        <v>Fiche Produit</v>
      </c>
    </row>
    <row r="507" spans="1:6" x14ac:dyDescent="0.25">
      <c r="A507" t="s">
        <v>6</v>
      </c>
      <c r="B507" t="s">
        <v>9</v>
      </c>
      <c r="C507" t="s">
        <v>15</v>
      </c>
      <c r="D507" t="s">
        <v>522</v>
      </c>
      <c r="E507" t="s">
        <v>1460</v>
      </c>
      <c r="F507" t="str">
        <f t="shared" si="8"/>
        <v>Fiche Produit</v>
      </c>
    </row>
    <row r="508" spans="1:6" x14ac:dyDescent="0.25">
      <c r="A508" t="s">
        <v>6</v>
      </c>
      <c r="B508" t="s">
        <v>9</v>
      </c>
      <c r="C508" t="s">
        <v>15</v>
      </c>
      <c r="D508" t="s">
        <v>523</v>
      </c>
      <c r="E508" t="s">
        <v>1460</v>
      </c>
      <c r="F508" t="str">
        <f t="shared" si="8"/>
        <v>Fiche Produit</v>
      </c>
    </row>
    <row r="509" spans="1:6" x14ac:dyDescent="0.25">
      <c r="A509" t="s">
        <v>6</v>
      </c>
      <c r="B509" t="s">
        <v>9</v>
      </c>
      <c r="C509" t="s">
        <v>15</v>
      </c>
      <c r="D509" t="s">
        <v>524</v>
      </c>
      <c r="E509" t="s">
        <v>1460</v>
      </c>
      <c r="F509" t="str">
        <f t="shared" si="8"/>
        <v>Fiche Produit</v>
      </c>
    </row>
    <row r="510" spans="1:6" x14ac:dyDescent="0.25">
      <c r="A510" t="s">
        <v>6</v>
      </c>
      <c r="B510" t="s">
        <v>9</v>
      </c>
      <c r="C510" t="s">
        <v>15</v>
      </c>
      <c r="D510" t="s">
        <v>525</v>
      </c>
      <c r="E510" t="s">
        <v>1461</v>
      </c>
      <c r="F510" t="str">
        <f>HYPERLINK("C:\Users\longueni\Desktop\Chubb produits code\Fiche catalogue\Détection incendie\Détecteur _ socle\CAT-130_Fiche catalogue - Socle haut S3 - C.Scan+.pdf", "Fiche Produit")</f>
        <v>Fiche Produit</v>
      </c>
    </row>
    <row r="511" spans="1:6" x14ac:dyDescent="0.25">
      <c r="A511" t="s">
        <v>6</v>
      </c>
      <c r="B511" t="s">
        <v>9</v>
      </c>
      <c r="C511" t="s">
        <v>15</v>
      </c>
      <c r="D511" t="s">
        <v>526</v>
      </c>
      <c r="E511" t="s">
        <v>1462</v>
      </c>
      <c r="F511" t="str">
        <f>HYPERLINK("C:\Users\longueni\Desktop\Chubb produits code\Fiche catalogue\Détection incendie\Radio\R.Scan+\CAT-027_Fiche catalogue - Gamme radio R.Scan+.pdf", "Fiche Produit")</f>
        <v>Fiche Produit</v>
      </c>
    </row>
    <row r="512" spans="1:6" x14ac:dyDescent="0.25">
      <c r="A512" t="s">
        <v>6</v>
      </c>
      <c r="B512" t="s">
        <v>9</v>
      </c>
      <c r="C512" t="s">
        <v>15</v>
      </c>
      <c r="D512" t="s">
        <v>527</v>
      </c>
      <c r="E512" t="s">
        <v>1463</v>
      </c>
      <c r="F512" t="str">
        <f>HYPERLINK("C:\Users\longueni\Desktop\Chubb produits code\Fiche catalogue\Détection incendie\Alimentation\VARIATION 940\CAT-CS_08_23-04_Fiche catalogue - VARIATION 940 - Chargeur.pdf", "Fiche Produit")</f>
        <v>Fiche Produit</v>
      </c>
    </row>
    <row r="513" spans="1:6" x14ac:dyDescent="0.25">
      <c r="A513" t="s">
        <v>6</v>
      </c>
      <c r="B513" t="s">
        <v>9</v>
      </c>
      <c r="C513" t="s">
        <v>15</v>
      </c>
      <c r="D513" t="s">
        <v>528</v>
      </c>
      <c r="E513" t="s">
        <v>1463</v>
      </c>
      <c r="F513" t="str">
        <f>HYPERLINK("C:\Users\longueni\Desktop\Chubb produits code\Fiche catalogue\Détection incendie\Alimentation\VARIATION 940\CAT-CS_08_23-04_Fiche catalogue - VARIATION 940 - Chargeur.pdf", "Fiche Produit")</f>
        <v>Fiche Produit</v>
      </c>
    </row>
    <row r="514" spans="1:6" x14ac:dyDescent="0.25">
      <c r="A514" t="s">
        <v>6</v>
      </c>
      <c r="B514" t="s">
        <v>9</v>
      </c>
      <c r="C514" t="s">
        <v>15</v>
      </c>
      <c r="D514" t="s">
        <v>529</v>
      </c>
      <c r="E514" t="s">
        <v>1463</v>
      </c>
      <c r="F514" t="str">
        <f>HYPERLINK("C:\Users\longueni\Desktop\Chubb produits code\Fiche catalogue\Détection incendie\Alimentation\VARIATION 940\CAT-CS_08_23-04_Fiche catalogue - VARIATION 940 - Chargeur.pdf", "Fiche Produit")</f>
        <v>Fiche Produit</v>
      </c>
    </row>
    <row r="515" spans="1:6" x14ac:dyDescent="0.25">
      <c r="A515" t="s">
        <v>6</v>
      </c>
      <c r="B515" t="s">
        <v>9</v>
      </c>
      <c r="C515" t="s">
        <v>15</v>
      </c>
      <c r="D515" t="s">
        <v>530</v>
      </c>
      <c r="E515" t="s">
        <v>1463</v>
      </c>
      <c r="F515" t="str">
        <f>HYPERLINK("C:\Users\longueni\Desktop\Chubb produits code\Fiche catalogue\Détection incendie\Alimentation\VARIATION 940\CAT-CS_08_23-04_Fiche catalogue - VARIATION 940 - Chargeur.pdf", "Fiche Produit")</f>
        <v>Fiche Produit</v>
      </c>
    </row>
    <row r="516" spans="1:6" x14ac:dyDescent="0.25">
      <c r="A516" t="s">
        <v>6</v>
      </c>
      <c r="B516" t="s">
        <v>9</v>
      </c>
      <c r="C516" t="s">
        <v>15</v>
      </c>
      <c r="D516" t="s">
        <v>531</v>
      </c>
      <c r="E516" t="s">
        <v>1464</v>
      </c>
      <c r="F516" t="str">
        <f>HYPERLINK("C:\Users\longueni\Desktop\Chubb produits code\Fiche catalogue\CAT-229_Fiche catalogue - Etiquettes activité Extinction automatique.pdf", "Fiche Produit")</f>
        <v>Fiche Produit</v>
      </c>
    </row>
    <row r="517" spans="1:6" x14ac:dyDescent="0.25">
      <c r="A517" t="s">
        <v>6</v>
      </c>
      <c r="B517" t="s">
        <v>9</v>
      </c>
      <c r="C517" t="s">
        <v>15</v>
      </c>
      <c r="D517" t="s">
        <v>532</v>
      </c>
      <c r="E517" t="s">
        <v>1465</v>
      </c>
      <c r="F517" t="str">
        <f>HYPERLINK("C:\Users\longueni\Desktop\Chubb produits code\Fiche catalogue\CAT-229_Fiche catalogue - Etiquettes activité Extinction automatique.pdf", "Fiche Produit")</f>
        <v>Fiche Produit</v>
      </c>
    </row>
    <row r="518" spans="1:6" x14ac:dyDescent="0.25">
      <c r="A518" t="s">
        <v>6</v>
      </c>
      <c r="B518" t="s">
        <v>9</v>
      </c>
      <c r="C518" t="s">
        <v>15</v>
      </c>
      <c r="D518" t="s">
        <v>533</v>
      </c>
      <c r="E518" t="s">
        <v>1465</v>
      </c>
      <c r="F518" t="str">
        <f>HYPERLINK("C:\Users\longueni\Desktop\Chubb produits code\Fiche catalogue\CAT-229_Fiche catalogue - Etiquettes activité Extinction automatique.pdf", "Fiche Produit")</f>
        <v>Fiche Produit</v>
      </c>
    </row>
    <row r="519" spans="1:6" x14ac:dyDescent="0.25">
      <c r="A519" t="s">
        <v>6</v>
      </c>
      <c r="B519" t="s">
        <v>9</v>
      </c>
      <c r="C519" t="s">
        <v>15</v>
      </c>
      <c r="D519" t="s">
        <v>534</v>
      </c>
      <c r="E519" t="s">
        <v>1466</v>
      </c>
      <c r="F519" t="str">
        <f>HYPERLINK("C:\Users\longueni\Desktop\Chubb produits code\Fiche catalogue\Détection incendie\Détecteur _ socle\CAT-CS_04_14-03_Fiche catalogue - OLFAR -  OLFAR R.pdf", "Fiche Produit")</f>
        <v>Fiche Produit</v>
      </c>
    </row>
    <row r="520" spans="1:6" x14ac:dyDescent="0.25">
      <c r="A520" t="s">
        <v>6</v>
      </c>
      <c r="B520" t="s">
        <v>9</v>
      </c>
      <c r="C520" t="s">
        <v>15</v>
      </c>
      <c r="D520" t="s">
        <v>535</v>
      </c>
      <c r="E520" t="s">
        <v>1467</v>
      </c>
      <c r="F520" t="str">
        <f>HYPERLINK("C:\Users\longueni\Desktop\Chubb produits code\Fiche catalogue\Détection incendie\Détecteur _ socle\CAT-CS_04_38-01_Fiche catalogue - OLFAR -  OLFAR R.pdf", "Fiche Produit")</f>
        <v>Fiche Produit</v>
      </c>
    </row>
    <row r="521" spans="1:6" x14ac:dyDescent="0.25">
      <c r="A521" t="s">
        <v>6</v>
      </c>
      <c r="B521" t="s">
        <v>9</v>
      </c>
      <c r="C521" t="s">
        <v>15</v>
      </c>
      <c r="D521" t="s">
        <v>536</v>
      </c>
      <c r="E521" t="s">
        <v>1468</v>
      </c>
      <c r="F521" t="str">
        <f>HYPERLINK("C:\Users\longueni\Desktop\Chubb produits code\Fiche catalogue\Détection incendie\Détecteur _ socle\CAT-CS_04_14-03_Fiche catalogue - OLFAR -  OLFAR R.pdf", "Fiche Produit")</f>
        <v>Fiche Produit</v>
      </c>
    </row>
    <row r="522" spans="1:6" x14ac:dyDescent="0.25">
      <c r="A522" t="s">
        <v>6</v>
      </c>
      <c r="B522" t="s">
        <v>9</v>
      </c>
      <c r="C522" t="s">
        <v>15</v>
      </c>
      <c r="D522" t="s">
        <v>537</v>
      </c>
      <c r="E522" t="s">
        <v>1469</v>
      </c>
      <c r="F522" t="str">
        <f>HYPERLINK("C:\Users\longueni\Desktop\Chubb produits code\Fiche catalogue\Détection incendie\Détecteur _ socle\CAT-CS_04_14-03_Fiche catalogue - OLFAR -  OLFAR R.pdf", "Fiche Produit")</f>
        <v>Fiche Produit</v>
      </c>
    </row>
    <row r="523" spans="1:6" x14ac:dyDescent="0.25">
      <c r="A523" t="s">
        <v>6</v>
      </c>
      <c r="B523" t="s">
        <v>9</v>
      </c>
      <c r="C523" t="s">
        <v>15</v>
      </c>
      <c r="D523" t="s">
        <v>538</v>
      </c>
      <c r="E523" t="s">
        <v>1470</v>
      </c>
      <c r="F523" t="str">
        <f>HYPERLINK("C:\Users\longueni\Desktop\Chubb produits code\Fiche catalogue\Détection incendie\Centrale\CMSI.Com\CAT-CS_02_44-01_Fiche catalogue - CMSI.Com.pdf", "Fiche Produit")</f>
        <v>Fiche Produit</v>
      </c>
    </row>
    <row r="524" spans="1:6" x14ac:dyDescent="0.25">
      <c r="A524" t="s">
        <v>6</v>
      </c>
      <c r="B524" t="s">
        <v>9</v>
      </c>
      <c r="C524" t="s">
        <v>15</v>
      </c>
      <c r="D524" t="s">
        <v>539</v>
      </c>
      <c r="E524" t="s">
        <v>1471</v>
      </c>
      <c r="F524" t="str">
        <f>HYPERLINK("C:\Users\longueni\Desktop\Chubb produits code\Fiche catalogue\Détection incendie\Dispositif sonore _ lumineux\CAT-CS_07_21-01_Fiche catalogue - ROSHNI BASE ÉTANCHE.pdf", "Fiche Produit")</f>
        <v>Fiche Produit</v>
      </c>
    </row>
    <row r="525" spans="1:6" x14ac:dyDescent="0.25">
      <c r="A525" t="s">
        <v>6</v>
      </c>
      <c r="B525" t="s">
        <v>9</v>
      </c>
      <c r="C525" t="s">
        <v>15</v>
      </c>
      <c r="D525" t="s">
        <v>540</v>
      </c>
      <c r="E525" t="s">
        <v>1472</v>
      </c>
      <c r="F525" t="str">
        <f>HYPERLINK("C:\Users\longueni\Desktop\Chubb produits code\Fiche catalogue\Extinction\Interface _ O.I. _ Report _ TRE\CAT-CS_09_12-01_Fiche catalogue - RS.Rep Ext.pdf", "Fiche Produit")</f>
        <v>Fiche Produit</v>
      </c>
    </row>
    <row r="526" spans="1:6" x14ac:dyDescent="0.25">
      <c r="A526" t="s">
        <v>6</v>
      </c>
      <c r="B526" t="s">
        <v>9</v>
      </c>
      <c r="C526" t="s">
        <v>15</v>
      </c>
      <c r="D526" t="s">
        <v>541</v>
      </c>
      <c r="E526" t="s">
        <v>1473</v>
      </c>
      <c r="F526" t="str">
        <f>HYPERLINK("C:\Users\longueni\Desktop\Chubb produits code\Fiche catalogue\Extinction\Interface _ O.I. _ Report _ TRE\CAT-CS_09_15-01_Fiche catalogue - RS.Rep+ Ext.pdf", "Fiche Produit")</f>
        <v>Fiche Produit</v>
      </c>
    </row>
    <row r="527" spans="1:6" x14ac:dyDescent="0.25">
      <c r="A527" t="s">
        <v>6</v>
      </c>
      <c r="B527" t="s">
        <v>9</v>
      </c>
      <c r="C527" t="s">
        <v>15</v>
      </c>
      <c r="D527" t="s">
        <v>542</v>
      </c>
      <c r="E527" t="s">
        <v>1474</v>
      </c>
      <c r="F527" t="str">
        <f>HYPERLINK("C:\Users\longueni\Desktop\Chubb produits code\Fiche catalogue\Détection incendie\Dispositif sonore _ lumineux\CAT-102_Fiche catalogue - ECSAV SECURIVOC - RSNF08-NF.pdf", "Fiche Produit")</f>
        <v>Fiche Produit</v>
      </c>
    </row>
    <row r="528" spans="1:6" x14ac:dyDescent="0.25">
      <c r="A528" t="s">
        <v>6</v>
      </c>
      <c r="B528" t="s">
        <v>9</v>
      </c>
      <c r="C528" t="s">
        <v>15</v>
      </c>
      <c r="D528" t="s">
        <v>543</v>
      </c>
      <c r="E528" t="s">
        <v>1475</v>
      </c>
      <c r="F528" t="str">
        <f>HYPERLINK("C:\Users\longueni\Desktop\Chubb produits code\Fiche catalogue\Détection incendie\Dispositif sonore _ lumineux\CAT-102_Fiche catalogue - ECSAV SECURIVOC - RSNF08-NF.pdf", "Fiche Produit")</f>
        <v>Fiche Produit</v>
      </c>
    </row>
    <row r="529" spans="1:6" x14ac:dyDescent="0.25">
      <c r="A529" t="s">
        <v>6</v>
      </c>
      <c r="B529" t="s">
        <v>9</v>
      </c>
      <c r="C529" t="s">
        <v>15</v>
      </c>
      <c r="D529" t="s">
        <v>544</v>
      </c>
      <c r="E529" t="s">
        <v>1476</v>
      </c>
      <c r="F529" t="str">
        <f>HYPERLINK("C:\Users\longueni\Desktop\Chubb produits code\Fiche catalogue\Détection incendie\Dispositif sonore _ lumineux\CAT-102_Fiche catalogue - ECSAV SECURIVOC - RSNF08-NF.pdf", "Fiche Produit")</f>
        <v>Fiche Produit</v>
      </c>
    </row>
    <row r="530" spans="1:6" x14ac:dyDescent="0.25">
      <c r="A530" t="s">
        <v>6</v>
      </c>
      <c r="B530" t="s">
        <v>9</v>
      </c>
      <c r="C530" t="s">
        <v>15</v>
      </c>
      <c r="D530" t="s">
        <v>545</v>
      </c>
      <c r="E530" t="s">
        <v>1477</v>
      </c>
      <c r="F530" t="str">
        <f>HYPERLINK("C:\Users\longueni\Desktop\Chubb produits code\Fiche catalogue\Détection incendie\Dispositif sonore _ lumineux\CAT-102_Fiche catalogue - ECSAV SECURIVOC - RSNF08-NF.pdf", "Fiche Produit")</f>
        <v>Fiche Produit</v>
      </c>
    </row>
    <row r="531" spans="1:6" x14ac:dyDescent="0.25">
      <c r="A531" t="s">
        <v>6</v>
      </c>
      <c r="B531" t="s">
        <v>9</v>
      </c>
      <c r="C531" t="s">
        <v>15</v>
      </c>
      <c r="D531" t="s">
        <v>546</v>
      </c>
      <c r="E531" t="s">
        <v>1478</v>
      </c>
      <c r="F531" t="str">
        <f>HYPERLINK("C:\Users\longueni\Desktop\Chubb produits code\Fiche catalogue\Détection incendie\Détecteur _ socle\6500\CAT-CS_04_81-01_Fiche catalogue - 6500R_RS_F_FS.pdf", "Fiche Produit")</f>
        <v>Fiche Produit</v>
      </c>
    </row>
    <row r="532" spans="1:6" x14ac:dyDescent="0.25">
      <c r="A532" t="s">
        <v>6</v>
      </c>
      <c r="B532" t="s">
        <v>9</v>
      </c>
      <c r="C532" t="s">
        <v>15</v>
      </c>
      <c r="D532" t="s">
        <v>547</v>
      </c>
      <c r="E532" t="s">
        <v>1479</v>
      </c>
      <c r="F532" t="str">
        <f>HYPERLINK("C:\Users\longueni\Desktop\Chubb produits code\Fiche catalogue\Détection incendie\Dispositif sonore _ lumineux\CAT-CS_07_15-01_Fiche catalogue - HATARI.pdf", "Fiche Produit")</f>
        <v>Fiche Produit</v>
      </c>
    </row>
    <row r="533" spans="1:6" x14ac:dyDescent="0.25">
      <c r="A533" t="s">
        <v>6</v>
      </c>
      <c r="B533" t="s">
        <v>9</v>
      </c>
      <c r="C533" t="s">
        <v>15</v>
      </c>
      <c r="D533" t="s">
        <v>548</v>
      </c>
      <c r="E533" t="s">
        <v>1480</v>
      </c>
      <c r="F533" t="str">
        <f>HYPERLINK("C:\Users\longueni\Desktop\Chubb produits code\Fiche catalogue\Détection incendie\Alimentation\RESONANCE 60_120W V2\CAT-CS_08_25-04_Fiche catalogue - RÉSONANCE 60W &amp; 120W V2 - (Chargeur).pdf", "Fiche Produit")</f>
        <v>Fiche Produit</v>
      </c>
    </row>
    <row r="534" spans="1:6" x14ac:dyDescent="0.25">
      <c r="A534" t="s">
        <v>6</v>
      </c>
      <c r="B534" t="s">
        <v>9</v>
      </c>
      <c r="C534" t="s">
        <v>15</v>
      </c>
      <c r="D534" t="s">
        <v>549</v>
      </c>
      <c r="E534" t="s">
        <v>1481</v>
      </c>
      <c r="F534" t="str">
        <f>HYPERLINK("C:\Users\longueni\Desktop\Chubb produits code\Fiche catalogue\Détection incendie\Détecteur _ socle\CAT-CS_04_38-01_Fiche catalogue - OLFAR -  OLFAR R.pdf", "Fiche Produit")</f>
        <v>Fiche Produit</v>
      </c>
    </row>
    <row r="535" spans="1:6" x14ac:dyDescent="0.25">
      <c r="A535" t="s">
        <v>6</v>
      </c>
      <c r="B535" t="s">
        <v>9</v>
      </c>
      <c r="C535" t="s">
        <v>15</v>
      </c>
      <c r="D535" t="s">
        <v>550</v>
      </c>
      <c r="E535" t="s">
        <v>1482</v>
      </c>
      <c r="F535" t="str">
        <f>HYPERLINK("C:\Users\longueni\Desktop\Chubb produits code\Fiche catalogue\Détection incendie\Interface _ O.I. _ Report _ TRE\INTERFACE\CAT-CS_02_48-01_Fiche catalogue - ROUTEUR L-SWITCH.pdf", "Fiche Produit")</f>
        <v>Fiche Produit</v>
      </c>
    </row>
    <row r="536" spans="1:6" x14ac:dyDescent="0.25">
      <c r="A536" t="s">
        <v>6</v>
      </c>
      <c r="B536" t="s">
        <v>9</v>
      </c>
      <c r="C536" t="s">
        <v>15</v>
      </c>
      <c r="D536" t="s">
        <v>551</v>
      </c>
      <c r="E536" t="s">
        <v>1483</v>
      </c>
      <c r="F536" t="str">
        <f>HYPERLINK("C:\Users\longueni\Desktop\Chubb produits code\Fiche catalogue\Détection incendie\Interface _ O.I. _ Report _ TRE\INTERFACE\CAT-CS_02_49-01_Fiche catalogue - ROUTEUR Lon LIP-3ECTC - LIP-3333ECTC.pdf", "Fiche Produit")</f>
        <v>Fiche Produit</v>
      </c>
    </row>
    <row r="537" spans="1:6" x14ac:dyDescent="0.25">
      <c r="A537" t="s">
        <v>6</v>
      </c>
      <c r="B537" t="s">
        <v>9</v>
      </c>
      <c r="C537" t="s">
        <v>15</v>
      </c>
      <c r="D537" t="s">
        <v>552</v>
      </c>
      <c r="E537" t="s">
        <v>1484</v>
      </c>
      <c r="F537" t="str">
        <f>HYPERLINK("C:\Users\longueni\Desktop\Chubb produits code\Fiche catalogue\Détection incendie\Centrale\CAT-CS_02_37-01_Fiche catalogue - SATC LON LPT.pdf", "Fiche Produit")</f>
        <v>Fiche Produit</v>
      </c>
    </row>
    <row r="538" spans="1:6" x14ac:dyDescent="0.25">
      <c r="A538" t="s">
        <v>6</v>
      </c>
      <c r="B538" t="s">
        <v>9</v>
      </c>
      <c r="C538" t="s">
        <v>15</v>
      </c>
      <c r="D538" t="s">
        <v>553</v>
      </c>
      <c r="E538" t="s">
        <v>1485</v>
      </c>
      <c r="F538" t="str">
        <f>HYPERLINK("C:\Users\longueni\Desktop\Chubb produits code\Fiche catalogue\Détection incendie\Détecteur _ socle\OSID\CAT-018_Fiche catalogue - Détecteur de fumée - OSID.pdf", "Fiche Produit")</f>
        <v>Fiche Produit</v>
      </c>
    </row>
    <row r="539" spans="1:6" x14ac:dyDescent="0.25">
      <c r="A539" t="s">
        <v>6</v>
      </c>
      <c r="B539" t="s">
        <v>9</v>
      </c>
      <c r="C539" t="s">
        <v>15</v>
      </c>
      <c r="D539" t="s">
        <v>554</v>
      </c>
      <c r="E539" t="s">
        <v>1486</v>
      </c>
      <c r="F539" t="str">
        <f>HYPERLINK("C:\Users\longueni\Desktop\Chubb produits code\CTLG-9001639_Catalogue - Produits et Systèmes CHUBB.pdf", "Fiche Produit")</f>
        <v>Fiche Produit</v>
      </c>
    </row>
    <row r="540" spans="1:6" x14ac:dyDescent="0.25">
      <c r="A540" t="s">
        <v>6</v>
      </c>
      <c r="B540" t="s">
        <v>9</v>
      </c>
      <c r="C540" t="s">
        <v>15</v>
      </c>
      <c r="D540" t="s">
        <v>555</v>
      </c>
      <c r="E540" t="s">
        <v>1487</v>
      </c>
      <c r="F540" t="str">
        <f>HYPERLINK("C:\Users\longueni\Desktop\Chubb produits code\Fiche catalogue\Détection incendie\Centrale\CAT-CS_02_42-01_Fiche catalogue - CF 8F_2ZA Lon FTT.pdf", "Fiche Produit")</f>
        <v>Fiche Produit</v>
      </c>
    </row>
    <row r="541" spans="1:6" x14ac:dyDescent="0.25">
      <c r="A541" t="s">
        <v>6</v>
      </c>
      <c r="B541" t="s">
        <v>9</v>
      </c>
      <c r="C541" t="s">
        <v>15</v>
      </c>
      <c r="D541" t="s">
        <v>556</v>
      </c>
      <c r="E541" t="s">
        <v>1487</v>
      </c>
      <c r="F541" t="str">
        <f>HYPERLINK("C:\Users\longueni\Desktop\Chubb produits code\Fiche catalogue\Détection incendie\Interface _ O.I. _ Report _ TRE\INTERFACE\CAT-CS_02_47-01_Fiche catalogue - INTERFACE JBUS.pdf", "Fiche Produit")</f>
        <v>Fiche Produit</v>
      </c>
    </row>
    <row r="542" spans="1:6" x14ac:dyDescent="0.25">
      <c r="A542" t="s">
        <v>6</v>
      </c>
      <c r="B542" t="s">
        <v>9</v>
      </c>
      <c r="C542" t="s">
        <v>15</v>
      </c>
      <c r="D542" t="s">
        <v>557</v>
      </c>
      <c r="E542" t="s">
        <v>1487</v>
      </c>
      <c r="F542" t="str">
        <f>HYPERLINK("C:\Users\longueni\Desktop\Chubb produits code\Fiche catalogue\Détection incendie\Accessoires_outils\CAT-CS_01_52-01_Fiche catalogue -  Boîtier ISOLON.pdf", "Fiche Produit")</f>
        <v>Fiche Produit</v>
      </c>
    </row>
    <row r="543" spans="1:6" x14ac:dyDescent="0.25">
      <c r="A543" t="s">
        <v>6</v>
      </c>
      <c r="B543" t="s">
        <v>9</v>
      </c>
      <c r="C543" t="s">
        <v>15</v>
      </c>
      <c r="D543" t="s">
        <v>558</v>
      </c>
      <c r="E543" t="s">
        <v>1487</v>
      </c>
      <c r="F543" t="str">
        <f>HYPERLINK("C:\Users\longueni\Desktop\Chubb produits code\Fiche catalogue\Détection incendie\Centrale\CAT-CS_02_41-01_Fiche catalogue - CF 16F Lon FTT.pdf", "Fiche Produit")</f>
        <v>Fiche Produit</v>
      </c>
    </row>
    <row r="544" spans="1:6" x14ac:dyDescent="0.25">
      <c r="A544" t="s">
        <v>6</v>
      </c>
      <c r="B544" t="s">
        <v>9</v>
      </c>
      <c r="C544" t="s">
        <v>15</v>
      </c>
      <c r="D544" t="s">
        <v>559</v>
      </c>
      <c r="E544" t="s">
        <v>1487</v>
      </c>
      <c r="F544" t="str">
        <f>HYPERLINK("C:\Users\longueni\Desktop\Chubb produits code\Fiche catalogue\Détection incendie\Centrale\CAT-CS_02_39-01_Fiche catalogue - CF 4ZA Lon FTT.pdf", "Fiche Produit")</f>
        <v>Fiche Produit</v>
      </c>
    </row>
    <row r="545" spans="1:6" x14ac:dyDescent="0.25">
      <c r="A545" t="s">
        <v>6</v>
      </c>
      <c r="B545" t="s">
        <v>9</v>
      </c>
      <c r="C545" t="s">
        <v>15</v>
      </c>
      <c r="D545" t="s">
        <v>560</v>
      </c>
      <c r="E545" t="s">
        <v>1487</v>
      </c>
      <c r="F545" t="str">
        <f>HYPERLINK("C:\Users\longueni\Desktop\Chubb produits code\Fiche catalogue\Détection incendie\Centrale\CAT-CS_02_43-01_Fiche catalogue - CF16ZA UGA-IGH Lon FTT.pdf", "Fiche Produit")</f>
        <v>Fiche Produit</v>
      </c>
    </row>
    <row r="546" spans="1:6" x14ac:dyDescent="0.25">
      <c r="A546" t="s">
        <v>6</v>
      </c>
      <c r="B546" t="s">
        <v>9</v>
      </c>
      <c r="C546" t="s">
        <v>15</v>
      </c>
      <c r="D546" t="s">
        <v>561</v>
      </c>
      <c r="E546" t="s">
        <v>1487</v>
      </c>
      <c r="F546" t="str">
        <f>HYPERLINK("C:\Users\longueni\Desktop\Chubb produits code\Fiche catalogue\Détection incendie\Accessoires_outils\CAT-CS_01_70-01_Fiche catalogue - CHUBB.Lon.pdf", "Fiche Produit")</f>
        <v>Fiche Produit</v>
      </c>
    </row>
    <row r="547" spans="1:6" x14ac:dyDescent="0.25">
      <c r="A547" t="s">
        <v>6</v>
      </c>
      <c r="B547" t="s">
        <v>9</v>
      </c>
      <c r="C547" t="s">
        <v>15</v>
      </c>
      <c r="D547" t="s">
        <v>562</v>
      </c>
      <c r="E547" t="s">
        <v>1488</v>
      </c>
      <c r="F547" t="str">
        <f>HYPERLINK("C:\Users\longueni\Desktop\Chubb produits code\Fiche catalogue\Détection incendie\Accessoires_outils\CAT-104_Fiche catalogue - Imprimante Resonance Rack V3.pdf", "Fiche Produit")</f>
        <v>Fiche Produit</v>
      </c>
    </row>
    <row r="548" spans="1:6" x14ac:dyDescent="0.25">
      <c r="A548" t="s">
        <v>6</v>
      </c>
      <c r="B548" t="s">
        <v>9</v>
      </c>
      <c r="C548" t="s">
        <v>15</v>
      </c>
      <c r="D548" t="s">
        <v>563</v>
      </c>
      <c r="E548" t="s">
        <v>1489</v>
      </c>
      <c r="F548" t="str">
        <f>HYPERLINK("C:\Users\longueni\Desktop\Chubb produits code\Fiche catalogue\Détection incendie\Centrale\CAT-CS_02_37-01_Fiche catalogue - SATC LON LPT.pdf", "Fiche Produit")</f>
        <v>Fiche Produit</v>
      </c>
    </row>
    <row r="549" spans="1:6" x14ac:dyDescent="0.25">
      <c r="A549" t="s">
        <v>6</v>
      </c>
      <c r="B549" t="s">
        <v>9</v>
      </c>
      <c r="C549" t="s">
        <v>15</v>
      </c>
      <c r="D549" t="s">
        <v>564</v>
      </c>
      <c r="E549" t="s">
        <v>1490</v>
      </c>
      <c r="F549" t="str">
        <f>HYPERLINK("C:\Users\longueni\Desktop\Chubb produits code\Fiche catalogue\Détection incendie\Centrale\CAT-CS_02_58-01_Fiche catalogue - SAT C 8 relais Lon LPT.pdf", "Fiche Produit")</f>
        <v>Fiche Produit</v>
      </c>
    </row>
    <row r="550" spans="1:6" x14ac:dyDescent="0.25">
      <c r="A550" t="s">
        <v>6</v>
      </c>
      <c r="B550" t="s">
        <v>9</v>
      </c>
      <c r="C550" t="s">
        <v>15</v>
      </c>
      <c r="D550" t="s">
        <v>565</v>
      </c>
      <c r="E550" t="s">
        <v>1491</v>
      </c>
      <c r="F550" t="str">
        <f>HYPERLINK("C:\Users\longueni\Desktop\Chubb produits code\Fiche catalogue\Détection incendie\Centrale\CAT-CS_02_37-01_Fiche catalogue - SATC LON LPT.pdf", "Fiche Produit")</f>
        <v>Fiche Produit</v>
      </c>
    </row>
    <row r="551" spans="1:6" x14ac:dyDescent="0.25">
      <c r="A551" t="s">
        <v>6</v>
      </c>
      <c r="B551" t="s">
        <v>9</v>
      </c>
      <c r="C551" t="s">
        <v>15</v>
      </c>
      <c r="D551" t="s">
        <v>566</v>
      </c>
      <c r="E551" t="s">
        <v>1492</v>
      </c>
      <c r="F551" t="str">
        <f>HYPERLINK("C:\Users\longueni\Desktop\Chubb produits code\Fiche catalogue\Détection incendie\Centrale\CAT-CS_02_38-01_Fiche catalogue - SATI LON FTT.pdf", "Fiche Produit")</f>
        <v>Fiche Produit</v>
      </c>
    </row>
    <row r="552" spans="1:6" x14ac:dyDescent="0.25">
      <c r="A552" t="s">
        <v>6</v>
      </c>
      <c r="B552" t="s">
        <v>9</v>
      </c>
      <c r="C552" t="s">
        <v>15</v>
      </c>
      <c r="D552" t="s">
        <v>567</v>
      </c>
      <c r="E552" t="s">
        <v>1493</v>
      </c>
      <c r="F552" t="str">
        <f>HYPERLINK("C:\Users\longueni\Desktop\Chubb produits code\Fiche catalogue\Détection incendie\Centrale\CAT-CS_02_38-01_Fiche catalogue - SATI LON FTT.pdf", "Fiche Produit")</f>
        <v>Fiche Produit</v>
      </c>
    </row>
    <row r="553" spans="1:6" x14ac:dyDescent="0.25">
      <c r="A553" t="s">
        <v>6</v>
      </c>
      <c r="B553" t="s">
        <v>9</v>
      </c>
      <c r="C553" t="s">
        <v>15</v>
      </c>
      <c r="D553" t="s">
        <v>568</v>
      </c>
      <c r="E553" t="s">
        <v>1494</v>
      </c>
      <c r="F553" t="str">
        <f>HYPERLINK("C:\Users\longueni\Desktop\Chubb produits code\Fiche catalogue\Détection incendie\Dispositif sonore _ lumineux\CAT-101_Fiche catalogue - ECSAV SECURIVOC - CSNF08-NF.pdf", "Fiche Produit")</f>
        <v>Fiche Produit</v>
      </c>
    </row>
    <row r="554" spans="1:6" x14ac:dyDescent="0.25">
      <c r="A554" t="s">
        <v>6</v>
      </c>
      <c r="B554" t="s">
        <v>9</v>
      </c>
      <c r="C554" t="s">
        <v>15</v>
      </c>
      <c r="D554" t="s">
        <v>569</v>
      </c>
      <c r="E554" t="s">
        <v>1495</v>
      </c>
      <c r="F554" t="str">
        <f>HYPERLINK("C:\Users\longueni\Desktop\Chubb produits code\Fiche catalogue\Détection incendie\Dispositif sonore _ lumineux\CAT-101_Fiche catalogue - ECSAV SECURIVOC - CSNF08-NF.pdf", "Fiche Produit")</f>
        <v>Fiche Produit</v>
      </c>
    </row>
    <row r="555" spans="1:6" x14ac:dyDescent="0.25">
      <c r="A555" t="s">
        <v>6</v>
      </c>
      <c r="B555" t="s">
        <v>9</v>
      </c>
      <c r="C555" t="s">
        <v>15</v>
      </c>
      <c r="D555" t="s">
        <v>570</v>
      </c>
      <c r="E555" t="s">
        <v>1496</v>
      </c>
      <c r="F555" t="str">
        <f>HYPERLINK("C:\Users\longueni\Desktop\Chubb produits code\Fiche catalogue\Détection incendie\Dispositif sonore _ lumineux\CAT-101_Fiche catalogue - ECSAV SECURIVOC - CSNF08-NF.pdf", "Fiche Produit")</f>
        <v>Fiche Produit</v>
      </c>
    </row>
    <row r="556" spans="1:6" x14ac:dyDescent="0.25">
      <c r="A556" t="s">
        <v>6</v>
      </c>
      <c r="B556" t="s">
        <v>9</v>
      </c>
      <c r="C556" t="s">
        <v>15</v>
      </c>
      <c r="D556" t="s">
        <v>571</v>
      </c>
      <c r="E556" t="s">
        <v>1497</v>
      </c>
      <c r="F556" t="str">
        <f>HYPERLINK("C:\Users\longueni\Desktop\Chubb produits code\Fiche catalogue\Détection incendie\supervision\CAT-CS_11_02-01_Fiche catalogue - SERVEUR OPC.pdf", "Fiche Produit")</f>
        <v>Fiche Produit</v>
      </c>
    </row>
    <row r="557" spans="1:6" x14ac:dyDescent="0.25">
      <c r="A557" t="s">
        <v>6</v>
      </c>
      <c r="B557" t="s">
        <v>9</v>
      </c>
      <c r="C557" t="s">
        <v>15</v>
      </c>
      <c r="D557" t="s">
        <v>572</v>
      </c>
      <c r="E557" t="s">
        <v>1498</v>
      </c>
      <c r="F557" t="str">
        <f>HYPERLINK("C:\Users\longueni\Desktop\Chubb produits code\CTLG-9001639_Catalogue - Produits et Systèmes CHUBB.pdf", "Fiche Produit")</f>
        <v>Fiche Produit</v>
      </c>
    </row>
    <row r="558" spans="1:6" x14ac:dyDescent="0.25">
      <c r="A558" t="s">
        <v>6</v>
      </c>
      <c r="B558" t="s">
        <v>9</v>
      </c>
      <c r="C558" t="s">
        <v>15</v>
      </c>
      <c r="D558" t="s">
        <v>573</v>
      </c>
      <c r="E558" t="s">
        <v>1499</v>
      </c>
      <c r="F558" t="str">
        <f>HYPERLINK("C:\Users\longueni\Desktop\Chubb produits code\CTLG-9001639_Catalogue - Produits et Systèmes CHUBB.pdf", "Fiche Produit")</f>
        <v>Fiche Produit</v>
      </c>
    </row>
    <row r="559" spans="1:6" x14ac:dyDescent="0.25">
      <c r="A559" t="s">
        <v>6</v>
      </c>
      <c r="B559" t="s">
        <v>9</v>
      </c>
      <c r="C559" t="s">
        <v>15</v>
      </c>
      <c r="D559" t="s">
        <v>574</v>
      </c>
      <c r="E559" t="s">
        <v>1500</v>
      </c>
      <c r="F559" t="str">
        <f>HYPERLINK("C:\Users\longueni\Desktop\Chubb produits code\Fiche catalogue\Détection incendie\Dispositif sonore _ lumineux\CAT-101_Fiche catalogue - ECSAV SECURIVOC - CSNF08-NF.pdf", "Fiche Produit")</f>
        <v>Fiche Produit</v>
      </c>
    </row>
    <row r="560" spans="1:6" x14ac:dyDescent="0.25">
      <c r="A560" t="s">
        <v>6</v>
      </c>
      <c r="B560" t="s">
        <v>9</v>
      </c>
      <c r="C560" t="s">
        <v>15</v>
      </c>
      <c r="D560" t="s">
        <v>575</v>
      </c>
      <c r="E560" t="s">
        <v>1501</v>
      </c>
      <c r="F560" t="str">
        <f>HYPERLINK("C:\Users\longueni\Desktop\Chubb produits code\Fiche catalogue\Détection incendie\Détecteur _ socle\CAT-130_Fiche catalogue - Socle haut S3 - C.Scan+.pdf", "Fiche Produit")</f>
        <v>Fiche Produit</v>
      </c>
    </row>
    <row r="561" spans="1:6" x14ac:dyDescent="0.25">
      <c r="A561" t="s">
        <v>6</v>
      </c>
      <c r="B561" t="s">
        <v>9</v>
      </c>
      <c r="C561" t="s">
        <v>15</v>
      </c>
      <c r="D561" t="s">
        <v>576</v>
      </c>
      <c r="E561" t="s">
        <v>1502</v>
      </c>
      <c r="F561" t="str">
        <f>HYPERLINK("C:\Users\longueni\Desktop\Chubb produits code\Fiche catalogue\Détection incendie\Détecteur _ socle\CAT-130_Fiche catalogue - Socle haut S3 - C.Scan+.pdf", "Fiche Produit")</f>
        <v>Fiche Produit</v>
      </c>
    </row>
    <row r="562" spans="1:6" x14ac:dyDescent="0.25">
      <c r="A562" t="s">
        <v>6</v>
      </c>
      <c r="B562" t="s">
        <v>9</v>
      </c>
      <c r="C562" t="s">
        <v>15</v>
      </c>
      <c r="D562" t="s">
        <v>577</v>
      </c>
      <c r="E562" t="s">
        <v>1503</v>
      </c>
      <c r="F562" t="str">
        <f>HYPERLINK("C:\Users\longueni\Desktop\Chubb produits code\Fiche catalogue\Détection incendie\Détecteur _ socle\CAT-130_Fiche catalogue - Socle haut S3 - C.Scan+.pdf", "Fiche Produit")</f>
        <v>Fiche Produit</v>
      </c>
    </row>
    <row r="563" spans="1:6" x14ac:dyDescent="0.25">
      <c r="A563" t="s">
        <v>6</v>
      </c>
      <c r="B563" t="s">
        <v>9</v>
      </c>
      <c r="C563" t="s">
        <v>15</v>
      </c>
      <c r="D563" t="s">
        <v>578</v>
      </c>
      <c r="E563" t="s">
        <v>1504</v>
      </c>
      <c r="F563" t="str">
        <f>HYPERLINK("C:\Users\longueni\Desktop\Chubb produits code\Fiche catalogue\Détection incendie\Détecteur _ socle\CAT-130_Fiche catalogue - Socle haut S3 - C.Scan+.pdf", "Fiche Produit")</f>
        <v>Fiche Produit</v>
      </c>
    </row>
    <row r="564" spans="1:6" x14ac:dyDescent="0.25">
      <c r="A564" t="s">
        <v>6</v>
      </c>
      <c r="B564" t="s">
        <v>9</v>
      </c>
      <c r="C564" t="s">
        <v>15</v>
      </c>
      <c r="D564" t="s">
        <v>579</v>
      </c>
      <c r="E564" t="s">
        <v>1505</v>
      </c>
      <c r="F564" t="str">
        <f>HYPERLINK("C:\Users\longueni\Desktop\Chubb produits code\Fiche catalogue\Détection incendie\BAAS\SON'ECLA\CAT-100_Fiche catalogue - SON'ECLA TYPE 4S NN.pdf", "Fiche Produit")</f>
        <v>Fiche Produit</v>
      </c>
    </row>
    <row r="565" spans="1:6" x14ac:dyDescent="0.25">
      <c r="A565" t="s">
        <v>6</v>
      </c>
      <c r="B565" t="s">
        <v>9</v>
      </c>
      <c r="C565" t="s">
        <v>15</v>
      </c>
      <c r="D565" t="s">
        <v>580</v>
      </c>
      <c r="E565" t="s">
        <v>1506</v>
      </c>
      <c r="F565" t="str">
        <f>HYPERLINK("C:\Users\longueni\Desktop\Chubb produits code\Fiche catalogue\Détection incendie\BAAS\SON'ECLA\CAT-100_Fiche catalogue - SON'ECLA TYPE 4S NN.pdf", "Fiche Produit")</f>
        <v>Fiche Produit</v>
      </c>
    </row>
    <row r="566" spans="1:6" x14ac:dyDescent="0.25">
      <c r="A566" t="s">
        <v>6</v>
      </c>
      <c r="B566" t="s">
        <v>9</v>
      </c>
      <c r="C566" t="s">
        <v>15</v>
      </c>
      <c r="D566" t="s">
        <v>581</v>
      </c>
      <c r="E566" t="s">
        <v>1507</v>
      </c>
      <c r="F566" t="str">
        <f>HYPERLINK("C:\Users\longueni\Desktop\Chubb produits code\Fiche catalogue\Détection incendie\BAAS\SON'ECLA\CAT-100_Fiche catalogue - SON'ECLA TYPE 4S NN.pdf", "Fiche Produit")</f>
        <v>Fiche Produit</v>
      </c>
    </row>
    <row r="567" spans="1:6" x14ac:dyDescent="0.25">
      <c r="A567" t="s">
        <v>6</v>
      </c>
      <c r="B567" t="s">
        <v>9</v>
      </c>
      <c r="C567" t="s">
        <v>15</v>
      </c>
      <c r="D567" t="s">
        <v>582</v>
      </c>
      <c r="E567" t="s">
        <v>1508</v>
      </c>
      <c r="F567" t="str">
        <f>HYPERLINK("C:\Users\longueni\Desktop\Chubb produits code\Fiche catalogue\Détection incendie\BAAS\SON'ECLA\CAT-100_Fiche catalogue - SON'ECLA TYPE 4S NN.pdf", "Fiche Produit")</f>
        <v>Fiche Produit</v>
      </c>
    </row>
    <row r="568" spans="1:6" x14ac:dyDescent="0.25">
      <c r="A568" t="s">
        <v>6</v>
      </c>
      <c r="B568" t="s">
        <v>9</v>
      </c>
      <c r="C568" t="s">
        <v>15</v>
      </c>
      <c r="D568" t="s">
        <v>583</v>
      </c>
      <c r="E568" t="s">
        <v>1509</v>
      </c>
      <c r="F568" t="str">
        <f>HYPERLINK("C:\Users\longueni\Desktop\Chubb produits code\Fiche catalogue\Détection incendie\BAAS\SON'ECLA\CAT-CS_07_14-03_Fiche catalogue - SON'ECLA BAAS Pr.pdf", "Fiche Produit")</f>
        <v>Fiche Produit</v>
      </c>
    </row>
    <row r="569" spans="1:6" x14ac:dyDescent="0.25">
      <c r="A569" t="s">
        <v>6</v>
      </c>
      <c r="B569" t="s">
        <v>9</v>
      </c>
      <c r="C569" t="s">
        <v>15</v>
      </c>
      <c r="D569" t="s">
        <v>584</v>
      </c>
      <c r="E569" t="s">
        <v>1510</v>
      </c>
      <c r="F569" t="str">
        <f>HYPERLINK("C:\Users\longueni\Desktop\Chubb produits code\Fiche catalogue\Détection incendie\BAAS\SON'ECLA\CAT-CS_07_11-02_Fiche catalogue - SON'ECLA BAAS Ma NFS V.pdf", "Fiche Produit")</f>
        <v>Fiche Produit</v>
      </c>
    </row>
    <row r="570" spans="1:6" x14ac:dyDescent="0.25">
      <c r="A570" t="s">
        <v>6</v>
      </c>
      <c r="B570" t="s">
        <v>9</v>
      </c>
      <c r="C570" t="s">
        <v>15</v>
      </c>
      <c r="D570" t="s">
        <v>585</v>
      </c>
      <c r="E570" t="s">
        <v>1511</v>
      </c>
      <c r="F570" t="str">
        <f>HYPERLINK("C:\Users\longueni\Desktop\Chubb produits code\Fiche catalogue\Détection incendie\BAAS\SON'ECLA\CAT-CS_07_13-02_Fiche catalogue - SON'ECLA BAAS Ma Me V.pdf", "Fiche Produit")</f>
        <v>Fiche Produit</v>
      </c>
    </row>
    <row r="571" spans="1:6" x14ac:dyDescent="0.25">
      <c r="A571" t="s">
        <v>6</v>
      </c>
      <c r="B571" t="s">
        <v>9</v>
      </c>
      <c r="C571" t="s">
        <v>15</v>
      </c>
      <c r="D571" t="s">
        <v>586</v>
      </c>
      <c r="E571" t="s">
        <v>1512</v>
      </c>
      <c r="F571" t="str">
        <f>HYPERLINK("C:\Users\longueni\Desktop\Chubb produits code\Fiche catalogue\Détection incendie\BAAS\SON'ECLA\CAT-CS_07_14-03_Fiche catalogue - SON'ECLA BAAS Pr.pdf", "Fiche Produit")</f>
        <v>Fiche Produit</v>
      </c>
    </row>
    <row r="572" spans="1:6" x14ac:dyDescent="0.25">
      <c r="A572" t="s">
        <v>6</v>
      </c>
      <c r="B572" t="s">
        <v>9</v>
      </c>
      <c r="C572" t="s">
        <v>15</v>
      </c>
      <c r="D572" t="s">
        <v>587</v>
      </c>
      <c r="E572" t="s">
        <v>1512</v>
      </c>
      <c r="F572" t="str">
        <f>HYPERLINK("C:\Users\longueni\Desktop\Chubb produits code\Fiche catalogue\Détection incendie\BAAS\SON'ECLA\CAT-CS_07_14-03_Fiche catalogue - SON'ECLA BAAS Pr.pdf", "Fiche Produit")</f>
        <v>Fiche Produit</v>
      </c>
    </row>
    <row r="573" spans="1:6" x14ac:dyDescent="0.25">
      <c r="A573" t="s">
        <v>6</v>
      </c>
      <c r="B573" t="s">
        <v>9</v>
      </c>
      <c r="C573" t="s">
        <v>15</v>
      </c>
      <c r="D573" t="s">
        <v>588</v>
      </c>
      <c r="E573" t="s">
        <v>1513</v>
      </c>
      <c r="F573" t="str">
        <f>HYPERLINK("C:\Users\longueni\Desktop\Chubb produits code\Fiche catalogue\Détection incendie\BAAS\SON'ECLA\CAT-CS_07_14-03_Fiche catalogue - SON'ECLA BAAS Pr.pdf", "Fiche Produit")</f>
        <v>Fiche Produit</v>
      </c>
    </row>
    <row r="574" spans="1:6" x14ac:dyDescent="0.25">
      <c r="A574" t="s">
        <v>6</v>
      </c>
      <c r="B574" t="s">
        <v>9</v>
      </c>
      <c r="C574" t="s">
        <v>15</v>
      </c>
      <c r="D574" t="s">
        <v>589</v>
      </c>
      <c r="E574" t="s">
        <v>1514</v>
      </c>
      <c r="F574" t="str">
        <f>HYPERLINK("C:\Users\longueni\Desktop\Chubb produits code\Fiche catalogue\Détection incendie\BAAS\SON'ECLA\CAT-CS_07_14-03_Fiche catalogue - SON'ECLA BAAS Pr.pdf", "Fiche Produit")</f>
        <v>Fiche Produit</v>
      </c>
    </row>
    <row r="575" spans="1:6" x14ac:dyDescent="0.25">
      <c r="A575" t="s">
        <v>6</v>
      </c>
      <c r="B575" t="s">
        <v>9</v>
      </c>
      <c r="C575" t="s">
        <v>15</v>
      </c>
      <c r="D575" t="s">
        <v>590</v>
      </c>
      <c r="E575" t="s">
        <v>1515</v>
      </c>
      <c r="F575" t="str">
        <f>HYPERLINK("C:\Users\longueni\Desktop\Chubb produits code\Fiche catalogue\Détection incendie\BAAS\SON'ECLA\CAT-CS_07_12-02_Fiche catalogue - SON'ECLA BAAS Sa NFS V.pdf", "Fiche Produit")</f>
        <v>Fiche Produit</v>
      </c>
    </row>
    <row r="576" spans="1:6" x14ac:dyDescent="0.25">
      <c r="A576" t="s">
        <v>6</v>
      </c>
      <c r="B576" t="s">
        <v>9</v>
      </c>
      <c r="C576" t="s">
        <v>15</v>
      </c>
      <c r="D576" t="s">
        <v>591</v>
      </c>
      <c r="E576" t="s">
        <v>1516</v>
      </c>
      <c r="F576" t="str">
        <f>HYPERLINK("C:\Users\longueni\Desktop\Chubb produits code\Fiche catalogue\Détection incendie\Dispositif sonore _ lumineux\SON'ECLA\CAT-CS_07_09-02_Fiche catalogue - SON'ECLA TYPE 4 V.pdf", "Fiche Produit")</f>
        <v>Fiche Produit</v>
      </c>
    </row>
    <row r="577" spans="1:6" x14ac:dyDescent="0.25">
      <c r="A577" t="s">
        <v>6</v>
      </c>
      <c r="B577" t="s">
        <v>9</v>
      </c>
      <c r="C577" t="s">
        <v>15</v>
      </c>
      <c r="D577" t="s">
        <v>592</v>
      </c>
      <c r="E577" t="s">
        <v>1517</v>
      </c>
      <c r="F577" t="str">
        <f>HYPERLINK("C:\Users\longueni\Desktop\Chubb produits code\Fiche catalogue\Détection incendie\BAAS\SON'ECLA\CAT-100_Fiche catalogue - SON'ECLA TYPE 4S NN.pdf", "Fiche Produit")</f>
        <v>Fiche Produit</v>
      </c>
    </row>
    <row r="578" spans="1:6" x14ac:dyDescent="0.25">
      <c r="A578" t="s">
        <v>6</v>
      </c>
      <c r="B578" t="s">
        <v>9</v>
      </c>
      <c r="C578" t="s">
        <v>15</v>
      </c>
      <c r="D578" t="s">
        <v>593</v>
      </c>
      <c r="E578" t="s">
        <v>1518</v>
      </c>
      <c r="F578" t="str">
        <f>HYPERLINK("C:\Users\longueni\Desktop\Chubb produits code\Fiche catalogue\Détection incendie\Dispositif sonore _ lumineux\SON'ECLA\CAT-CS_07_09-02_Fiche catalogue - SON'ECLA TYPE 4 V.pdf", "Fiche Produit")</f>
        <v>Fiche Produit</v>
      </c>
    </row>
    <row r="579" spans="1:6" x14ac:dyDescent="0.25">
      <c r="A579" t="s">
        <v>6</v>
      </c>
      <c r="B579" t="s">
        <v>9</v>
      </c>
      <c r="C579" t="s">
        <v>15</v>
      </c>
      <c r="D579" t="s">
        <v>594</v>
      </c>
      <c r="E579" t="s">
        <v>1519</v>
      </c>
      <c r="F579" t="str">
        <f>HYPERLINK("C:\Users\longueni\Desktop\Chubb produits code\Fiche catalogue\Détection incendie\BAAS\SON'ECLA\CAT-100_Fiche catalogue - SON'ECLA TYPE 4S NN.pdf", "Fiche Produit")</f>
        <v>Fiche Produit</v>
      </c>
    </row>
    <row r="580" spans="1:6" x14ac:dyDescent="0.25">
      <c r="A580" t="s">
        <v>6</v>
      </c>
      <c r="B580" t="s">
        <v>9</v>
      </c>
      <c r="C580" t="s">
        <v>15</v>
      </c>
      <c r="D580" t="s">
        <v>595</v>
      </c>
      <c r="E580" t="s">
        <v>1520</v>
      </c>
      <c r="F580" t="str">
        <f>HYPERLINK("C:\Users\longueni\Desktop\Chubb produits code\Fiche catalogue\Détection incendie\Dispositif sonore _ lumineux\CAT-CS_07_24-02_Fiche catalogue - SONOS DL DC.pdf", "Fiche Produit")</f>
        <v>Fiche Produit</v>
      </c>
    </row>
    <row r="581" spans="1:6" x14ac:dyDescent="0.25">
      <c r="A581" t="s">
        <v>6</v>
      </c>
      <c r="B581" t="s">
        <v>9</v>
      </c>
      <c r="C581" t="s">
        <v>15</v>
      </c>
      <c r="D581" t="s">
        <v>596</v>
      </c>
      <c r="E581" t="s">
        <v>1521</v>
      </c>
      <c r="F581" t="str">
        <f>HYPERLINK("C:\Users\longueni\Desktop\Chubb produits code\Fiche catalogue\Détection incendie\Dispositif sonore _ lumineux\CAT-101_Fiche catalogue - ECSAV SECURIVOC - CSNF08-NF.pdf", "Fiche Produit")</f>
        <v>Fiche Produit</v>
      </c>
    </row>
    <row r="582" spans="1:6" x14ac:dyDescent="0.25">
      <c r="A582" t="s">
        <v>6</v>
      </c>
      <c r="B582" t="s">
        <v>9</v>
      </c>
      <c r="C582" t="s">
        <v>15</v>
      </c>
      <c r="D582" t="s">
        <v>597</v>
      </c>
      <c r="E582" t="s">
        <v>1522</v>
      </c>
      <c r="F582" t="str">
        <f>HYPERLINK("C:\Users\longueni\Desktop\Chubb produits code\Fiche catalogue\Détection incendie\Accessoires_outils\CAT-CS_04_16-01_Fiche catalogue - ACCESSOIRES DÉTECTEURS PONCTUELS.pdf", "Fiche Produit")</f>
        <v>Fiche Produit</v>
      </c>
    </row>
    <row r="583" spans="1:6" x14ac:dyDescent="0.25">
      <c r="A583" t="s">
        <v>6</v>
      </c>
      <c r="B583" t="s">
        <v>9</v>
      </c>
      <c r="C583" t="s">
        <v>15</v>
      </c>
      <c r="D583" t="s">
        <v>598</v>
      </c>
      <c r="E583" t="s">
        <v>1523</v>
      </c>
      <c r="F583" t="str">
        <f>HYPERLINK("C:\Users\longueni\Desktop\Chubb produits code\Fiche catalogue\Détection incendie\Accessoires_outils\CAT-CS_04_16-01_Fiche catalogue - ACCESSOIRES DÉTECTEURS PONCTUELS.pdf", "Fiche Produit")</f>
        <v>Fiche Produit</v>
      </c>
    </row>
    <row r="584" spans="1:6" x14ac:dyDescent="0.25">
      <c r="A584" t="s">
        <v>6</v>
      </c>
      <c r="B584" t="s">
        <v>9</v>
      </c>
      <c r="C584" t="s">
        <v>15</v>
      </c>
      <c r="D584" t="s">
        <v>599</v>
      </c>
      <c r="E584" t="s">
        <v>1524</v>
      </c>
      <c r="F584" t="str">
        <f>HYPERLINK("C:\Users\longueni\Desktop\Chubb produits code\Fiche catalogue\Détection incendie\Alimentation\VARIATION 940\CAT-CS_08_23-04_Fiche catalogue - VARIATION 940 - Chargeur.pdf", "Fiche Produit")</f>
        <v>Fiche Produit</v>
      </c>
    </row>
    <row r="585" spans="1:6" x14ac:dyDescent="0.25">
      <c r="A585" t="s">
        <v>6</v>
      </c>
      <c r="B585" t="s">
        <v>9</v>
      </c>
      <c r="C585" t="s">
        <v>15</v>
      </c>
      <c r="D585" t="s">
        <v>600</v>
      </c>
      <c r="E585" t="s">
        <v>1524</v>
      </c>
      <c r="F585" t="str">
        <f>HYPERLINK("C:\Users\longueni\Desktop\Chubb produits code\Fiche catalogue\Détection incendie\Alimentation\VARIATION 940\CAT-CS_08_23-04_Fiche catalogue - VARIATION 940 - Chargeur.pdf", "Fiche Produit")</f>
        <v>Fiche Produit</v>
      </c>
    </row>
    <row r="586" spans="1:6" x14ac:dyDescent="0.25">
      <c r="A586" t="s">
        <v>6</v>
      </c>
      <c r="B586" t="s">
        <v>9</v>
      </c>
      <c r="C586" t="s">
        <v>15</v>
      </c>
      <c r="D586" t="s">
        <v>601</v>
      </c>
      <c r="E586" t="s">
        <v>1524</v>
      </c>
      <c r="F586" t="str">
        <f>HYPERLINK("C:\Users\longueni\Desktop\Chubb produits code\Fiche catalogue\Détection incendie\Alimentation\VARIATION 940\CAT-CS_08_23-04_Fiche catalogue - VARIATION 940 - Chargeur.pdf", "Fiche Produit")</f>
        <v>Fiche Produit</v>
      </c>
    </row>
    <row r="587" spans="1:6" x14ac:dyDescent="0.25">
      <c r="A587" t="s">
        <v>6</v>
      </c>
      <c r="B587" t="s">
        <v>9</v>
      </c>
      <c r="C587" t="s">
        <v>15</v>
      </c>
      <c r="D587" t="s">
        <v>602</v>
      </c>
      <c r="E587" t="s">
        <v>1525</v>
      </c>
      <c r="F587" t="str">
        <f>HYPERLINK("C:\Users\longueni\Desktop\Chubb produits code\Fiche catalogue\Détection incendie\Dispositif sonore _ lumineux\CAT-101_Fiche catalogue - ECSAV SECURIVOC - CSNF08-NF.pdf", "Fiche Produit")</f>
        <v>Fiche Produit</v>
      </c>
    </row>
    <row r="588" spans="1:6" x14ac:dyDescent="0.25">
      <c r="A588" t="s">
        <v>6</v>
      </c>
      <c r="B588" t="s">
        <v>9</v>
      </c>
      <c r="C588" t="s">
        <v>15</v>
      </c>
      <c r="D588" t="s">
        <v>603</v>
      </c>
      <c r="E588" t="s">
        <v>1526</v>
      </c>
      <c r="F588" t="str">
        <f>HYPERLINK("C:\Users\longueni\Desktop\Chubb produits code\CTLG-9001639_Catalogue - Produits et Systèmes CHUBB.pdf", "Fiche Produit")</f>
        <v>Fiche Produit</v>
      </c>
    </row>
    <row r="589" spans="1:6" x14ac:dyDescent="0.25">
      <c r="A589" t="s">
        <v>6</v>
      </c>
      <c r="B589" t="s">
        <v>9</v>
      </c>
      <c r="C589" t="s">
        <v>15</v>
      </c>
      <c r="D589" t="s">
        <v>604</v>
      </c>
      <c r="E589" t="s">
        <v>1526</v>
      </c>
      <c r="F589" t="str">
        <f>HYPERLINK("C:\Users\longueni\Desktop\Chubb produits code\CTLG-9001639_Catalogue - Produits et Systèmes CHUBB.pdf", "Fiche Produit")</f>
        <v>Fiche Produit</v>
      </c>
    </row>
    <row r="590" spans="1:6" x14ac:dyDescent="0.25">
      <c r="A590" t="s">
        <v>6</v>
      </c>
      <c r="B590" t="s">
        <v>9</v>
      </c>
      <c r="C590" t="s">
        <v>15</v>
      </c>
      <c r="D590" t="s">
        <v>605</v>
      </c>
      <c r="E590" t="s">
        <v>1527</v>
      </c>
      <c r="F590" t="str">
        <f>HYPERLINK("C:\Users\longueni\Desktop\Chubb produits code\Fiche catalogue\Détection incendie\Dispositif sonore _ lumineux\SW ME\CAT-CS_07_19-01_Fiche catalogue - SW ME.pdf", "Fiche Produit")</f>
        <v>Fiche Produit</v>
      </c>
    </row>
    <row r="591" spans="1:6" x14ac:dyDescent="0.25">
      <c r="A591" t="s">
        <v>6</v>
      </c>
      <c r="B591" t="s">
        <v>9</v>
      </c>
      <c r="C591" t="s">
        <v>16</v>
      </c>
      <c r="D591" t="s">
        <v>606</v>
      </c>
      <c r="E591" t="s">
        <v>1528</v>
      </c>
      <c r="F591" t="str">
        <f>HYPERLINK("C:\Users\longueni\Desktop\Chubb produits code\Fiche catalogue\Détection incendie\Radio\R.Scan+\CAT-027_Fiche catalogue - Gamme radio R.Scan+.pdf", "Fiche Produit")</f>
        <v>Fiche Produit</v>
      </c>
    </row>
    <row r="592" spans="1:6" x14ac:dyDescent="0.25">
      <c r="A592" t="s">
        <v>6</v>
      </c>
      <c r="B592" t="s">
        <v>9</v>
      </c>
      <c r="C592" t="s">
        <v>15</v>
      </c>
      <c r="D592" t="s">
        <v>607</v>
      </c>
      <c r="E592" t="s">
        <v>1529</v>
      </c>
      <c r="F592" t="str">
        <f>HYPERLINK("C:\Users\longueni\Desktop\Chubb produits code\Fiche catalogue\Détection incendie\supervision\CAT-023_Fiche catalogue - Serveur OPC.pdf", "Fiche Produit")</f>
        <v>Fiche Produit</v>
      </c>
    </row>
    <row r="593" spans="1:6" x14ac:dyDescent="0.25">
      <c r="A593" t="s">
        <v>6</v>
      </c>
      <c r="B593" t="s">
        <v>9</v>
      </c>
      <c r="C593" t="s">
        <v>15</v>
      </c>
      <c r="D593" t="s">
        <v>608</v>
      </c>
      <c r="E593" t="s">
        <v>1530</v>
      </c>
      <c r="F593" t="str">
        <f>HYPERLINK("C:\Users\longueni\Desktop\Chubb produits code\Fiche catalogue\Détection incendie\Accessoires_outils\CAT-CS_04_35-01_Fiche catalogue - SMOKE PEN.pdf", "Fiche Produit")</f>
        <v>Fiche Produit</v>
      </c>
    </row>
    <row r="594" spans="1:6" x14ac:dyDescent="0.25">
      <c r="A594" t="s">
        <v>6</v>
      </c>
      <c r="B594" t="s">
        <v>9</v>
      </c>
      <c r="C594" t="s">
        <v>15</v>
      </c>
      <c r="D594" t="s">
        <v>609</v>
      </c>
      <c r="E594" t="s">
        <v>1531</v>
      </c>
      <c r="F594" t="str">
        <f>HYPERLINK("C:\Users\longueni\Desktop\Chubb produits code\Fiche catalogue\CAT-228_Fiche catalogue - Switch Ethernet SDI-880.pdf", "Fiche Produit")</f>
        <v>Fiche Produit</v>
      </c>
    </row>
    <row r="595" spans="1:6" x14ac:dyDescent="0.25">
      <c r="A595" t="s">
        <v>6</v>
      </c>
      <c r="B595" t="s">
        <v>9</v>
      </c>
      <c r="C595" t="s">
        <v>15</v>
      </c>
      <c r="D595" t="s">
        <v>610</v>
      </c>
      <c r="E595" t="s">
        <v>1532</v>
      </c>
      <c r="F595" t="str">
        <f>HYPERLINK("C:\Users\longueni\Desktop\Chubb produits code\Fiche catalogue\Détection incendie\Détecteur _ socle\CAT-CS_04_101-01_Fiche catalogue - Détecteur de flammes UV -55000-025 APOLLO.pdf", "Fiche Produit")</f>
        <v>Fiche Produit</v>
      </c>
    </row>
    <row r="596" spans="1:6" x14ac:dyDescent="0.25">
      <c r="A596" t="s">
        <v>6</v>
      </c>
      <c r="B596" t="s">
        <v>9</v>
      </c>
      <c r="C596" t="s">
        <v>15</v>
      </c>
      <c r="D596" t="s">
        <v>611</v>
      </c>
      <c r="E596" t="s">
        <v>1533</v>
      </c>
      <c r="F596" t="str">
        <f>HYPERLINK("C:\Users\longueni\Desktop\Chubb produits code\Fiche catalogue\Détection incendie\Centrale\DAD SECOURU\CAT-CS_04_24-01_Fiche catalogue - DAD SECOURU.pdf", "Fiche Produit")</f>
        <v>Fiche Produit</v>
      </c>
    </row>
    <row r="597" spans="1:6" x14ac:dyDescent="0.25">
      <c r="A597" t="s">
        <v>6</v>
      </c>
      <c r="B597" t="s">
        <v>9</v>
      </c>
      <c r="C597" t="s">
        <v>15</v>
      </c>
      <c r="D597" t="s">
        <v>612</v>
      </c>
      <c r="E597" t="s">
        <v>1534</v>
      </c>
      <c r="F597" t="str">
        <f>HYPERLINK("C:\Users\longueni\Desktop\Chubb produits code\Fiche catalogue\Détection incendie\Détecteur _ socle\C.Scan _ C.Scan+\CAT-CS_04_55-01_Fiche catalogue - Socle C.Scan+.pdf", "Fiche Produit")</f>
        <v>Fiche Produit</v>
      </c>
    </row>
    <row r="598" spans="1:6" x14ac:dyDescent="0.25">
      <c r="A598" t="s">
        <v>6</v>
      </c>
      <c r="B598" t="s">
        <v>9</v>
      </c>
      <c r="C598" t="s">
        <v>15</v>
      </c>
      <c r="D598" t="s">
        <v>613</v>
      </c>
      <c r="E598" t="s">
        <v>1535</v>
      </c>
      <c r="F598" t="str">
        <f>HYPERLINK("C:\Users\longueni\Desktop\Chubb produits code\Fiche catalogue\Détection incendie\Centrale\DAD SECOURU\CAT-CS_04_24-01_Fiche catalogue - DAD SECOURU.pdf", "Fiche Produit")</f>
        <v>Fiche Produit</v>
      </c>
    </row>
    <row r="599" spans="1:6" x14ac:dyDescent="0.25">
      <c r="A599" t="s">
        <v>6</v>
      </c>
      <c r="B599" t="s">
        <v>9</v>
      </c>
      <c r="C599" t="s">
        <v>15</v>
      </c>
      <c r="D599" t="s">
        <v>614</v>
      </c>
      <c r="E599" t="s">
        <v>1536</v>
      </c>
      <c r="F599" t="str">
        <f>HYPERLINK("C:\Users\longueni\Desktop\Chubb produits code\Fiche catalogue\Détection incendie\Centrale\CAT-176_Fiche catalogue - Détecteur de flammes IRY2.pdf", "Fiche Produit")</f>
        <v>Fiche Produit</v>
      </c>
    </row>
    <row r="600" spans="1:6" x14ac:dyDescent="0.25">
      <c r="A600" t="s">
        <v>6</v>
      </c>
      <c r="B600" t="s">
        <v>9</v>
      </c>
      <c r="C600" t="s">
        <v>15</v>
      </c>
      <c r="D600" t="s">
        <v>615</v>
      </c>
      <c r="E600" t="s">
        <v>1537</v>
      </c>
      <c r="F600" t="str">
        <f>HYPERLINK("C:\Users\longueni\Desktop\Chubb produits code\Fiche catalogue\Détection incendie\Radio\R.Scan+\CAT-027_Fiche catalogue - Gamme radio R.Scan+.pdf", "Fiche Produit")</f>
        <v>Fiche Produit</v>
      </c>
    </row>
    <row r="601" spans="1:6" x14ac:dyDescent="0.25">
      <c r="A601" t="s">
        <v>6</v>
      </c>
      <c r="B601" t="s">
        <v>9</v>
      </c>
      <c r="C601" t="s">
        <v>15</v>
      </c>
      <c r="D601" t="s">
        <v>616</v>
      </c>
      <c r="E601" t="s">
        <v>1538</v>
      </c>
      <c r="F601" t="str">
        <f>HYPERLINK("C:\Users\longueni\Desktop\Chubb produits code\Fiche catalogue\Détection incendie\Dispositif sonore_lumineux\CAT-235_Fiche catalogue - SOCLES SQG3 DS - DS DL Rouge - DS DL blanc.pdf", "Fiche Produit")</f>
        <v>Fiche Produit</v>
      </c>
    </row>
    <row r="602" spans="1:6" x14ac:dyDescent="0.25">
      <c r="A602" t="s">
        <v>6</v>
      </c>
      <c r="B602" t="s">
        <v>9</v>
      </c>
      <c r="C602" t="s">
        <v>15</v>
      </c>
      <c r="D602" t="s">
        <v>617</v>
      </c>
      <c r="E602" t="s">
        <v>1539</v>
      </c>
      <c r="F602" t="str">
        <f>HYPERLINK("C:\Users\longueni\Desktop\Chubb produits code\Fiche catalogue\Détection incendie\Détecteur _ socle\SV-S95_EX\CAT-CS_04_78-04_Fiche catalogue - SV-S95_EX.pdf", "Fiche Produit")</f>
        <v>Fiche Produit</v>
      </c>
    </row>
    <row r="603" spans="1:6" x14ac:dyDescent="0.25">
      <c r="A603" t="s">
        <v>6</v>
      </c>
      <c r="B603" t="s">
        <v>9</v>
      </c>
      <c r="C603" t="s">
        <v>15</v>
      </c>
      <c r="D603" t="s">
        <v>618</v>
      </c>
      <c r="E603" t="s">
        <v>1540</v>
      </c>
      <c r="F603" t="str">
        <f>HYPERLINK("C:\Users\longueni\Desktop\Chubb produits code\Fiche catalogue\Détection incendie\Détecteur _ socle\VIEX\CAT-CS_04_78-01_Fiche catalogue - VIEX.pdf", "Fiche Produit")</f>
        <v>Fiche Produit</v>
      </c>
    </row>
    <row r="604" spans="1:6" x14ac:dyDescent="0.25">
      <c r="A604" t="s">
        <v>6</v>
      </c>
      <c r="B604" t="s">
        <v>9</v>
      </c>
      <c r="C604" t="s">
        <v>15</v>
      </c>
      <c r="D604" t="s">
        <v>619</v>
      </c>
      <c r="E604" t="s">
        <v>1541</v>
      </c>
      <c r="F604" t="str">
        <f>HYPERLINK("C:\Users\longueni\Desktop\Chubb produits code\Fiche catalogue\Détection incendie\Détecteur _ socle\OC05FEX\CAT-089_Fiche catalogue - Détecteur OC05FEX.pdf", "Fiche Produit")</f>
        <v>Fiche Produit</v>
      </c>
    </row>
    <row r="605" spans="1:6" x14ac:dyDescent="0.25">
      <c r="A605" t="s">
        <v>6</v>
      </c>
      <c r="B605" t="s">
        <v>9</v>
      </c>
      <c r="C605" t="s">
        <v>15</v>
      </c>
      <c r="D605" t="s">
        <v>620</v>
      </c>
      <c r="E605" t="s">
        <v>1542</v>
      </c>
      <c r="F605" t="str">
        <f>HYPERLINK("C:\Users\longueni\Desktop\Chubb produits code\Fiche catalogue\Détection incendie\Détecteur _ socle\CAT-130_Fiche catalogue - Socle haut S3 - C.Scan+.pdf", "Fiche Produit")</f>
        <v>Fiche Produit</v>
      </c>
    </row>
    <row r="606" spans="1:6" x14ac:dyDescent="0.25">
      <c r="A606" t="s">
        <v>6</v>
      </c>
      <c r="B606" t="s">
        <v>9</v>
      </c>
      <c r="C606" t="s">
        <v>15</v>
      </c>
      <c r="D606" t="s">
        <v>621</v>
      </c>
      <c r="E606" t="s">
        <v>1543</v>
      </c>
      <c r="F606" t="str">
        <f>HYPERLINK("C:\Users\longueni\Desktop\Chubb produits code\Fiche catalogue\Détection incendie\Radio\R.Scan+\CAT-027_Fiche catalogue - Gamme radio R.Scan+.pdf", "Fiche Produit")</f>
        <v>Fiche Produit</v>
      </c>
    </row>
    <row r="607" spans="1:6" x14ac:dyDescent="0.25">
      <c r="A607" t="s">
        <v>6</v>
      </c>
      <c r="B607" t="s">
        <v>9</v>
      </c>
      <c r="C607" t="s">
        <v>15</v>
      </c>
      <c r="D607" t="s">
        <v>622</v>
      </c>
      <c r="E607" t="s">
        <v>1544</v>
      </c>
      <c r="F607" t="str">
        <f>HYPERLINK("C:\Users\longueni\Desktop\Chubb produits code\Fiche catalogue\Détection incendie\Détecteur _ socle\CAT-CS_04_38-01_Fiche catalogue - OLFAR -  OLFAR R.pdf", "Fiche Produit")</f>
        <v>Fiche Produit</v>
      </c>
    </row>
    <row r="608" spans="1:6" x14ac:dyDescent="0.25">
      <c r="A608" t="s">
        <v>6</v>
      </c>
      <c r="B608" t="s">
        <v>9</v>
      </c>
      <c r="C608" t="s">
        <v>15</v>
      </c>
      <c r="D608" t="s">
        <v>623</v>
      </c>
      <c r="E608" t="s">
        <v>1545</v>
      </c>
      <c r="F608" t="str">
        <f>HYPERLINK("C:\Users\longueni\Desktop\Chubb produits code\Fiche catalogue\Détection incendie\Détecteur _ socle\CAT-CS_04_101-01_Fiche catalogue - Détecteur de flammes UV -55000-025 APOLLO.pdf", "Fiche Produit")</f>
        <v>Fiche Produit</v>
      </c>
    </row>
    <row r="609" spans="1:6" x14ac:dyDescent="0.25">
      <c r="A609" t="s">
        <v>6</v>
      </c>
      <c r="B609" t="s">
        <v>9</v>
      </c>
      <c r="C609" t="s">
        <v>15</v>
      </c>
      <c r="D609" t="s">
        <v>624</v>
      </c>
      <c r="E609" t="s">
        <v>1546</v>
      </c>
      <c r="F609" t="str">
        <f>HYPERLINK("C:\Users\longueni\Desktop\Chubb produits code\CTLG-9001639_Catalogue - Produits et Systèmes CHUBB.pdf", "Fiche Produit")</f>
        <v>Fiche Produit</v>
      </c>
    </row>
    <row r="610" spans="1:6" x14ac:dyDescent="0.25">
      <c r="A610" t="s">
        <v>6</v>
      </c>
      <c r="B610" t="s">
        <v>9</v>
      </c>
      <c r="C610" t="s">
        <v>15</v>
      </c>
      <c r="D610" t="s">
        <v>625</v>
      </c>
      <c r="E610" t="s">
        <v>1547</v>
      </c>
      <c r="F610" t="str">
        <f>HYPERLINK("C:\Users\longueni\Desktop\Chubb produits code\Fiche catalogue\Détection incendie\Radio\T4RF\CAT-158_Fiche catalogue - Alarme T4 SECTEUR RF Chubb.pdf", "Fiche Produit")</f>
        <v>Fiche Produit</v>
      </c>
    </row>
    <row r="611" spans="1:6" x14ac:dyDescent="0.25">
      <c r="A611" t="s">
        <v>6</v>
      </c>
      <c r="B611" t="s">
        <v>9</v>
      </c>
      <c r="C611" t="s">
        <v>15</v>
      </c>
      <c r="D611" t="s">
        <v>626</v>
      </c>
      <c r="E611" t="s">
        <v>1548</v>
      </c>
      <c r="F611" t="str">
        <f>HYPERLINK("C:\Users\longueni\Desktop\Chubb produits code\Fiche catalogue\Détection incendie\Dispositif sonore _ lumineux\CHORUS T4S Me\CAT-CS_07_10-01_Fiche catalogue - CHORUS T4S Me.pdf", "Fiche Produit")</f>
        <v>Fiche Produit</v>
      </c>
    </row>
    <row r="612" spans="1:6" x14ac:dyDescent="0.25">
      <c r="A612" t="s">
        <v>6</v>
      </c>
      <c r="B612" t="s">
        <v>9</v>
      </c>
      <c r="C612" t="s">
        <v>15</v>
      </c>
      <c r="D612" t="s">
        <v>627</v>
      </c>
      <c r="E612" t="s">
        <v>1549</v>
      </c>
      <c r="F612" t="str">
        <f>HYPERLINK("C:\Users\longueni\Desktop\Chubb produits code\Fiche catalogue\Détection incendie\Dispositif sonore _ lumineux\CHORUS T4S NFS\CAT-CS_07_09-01_Fiche catalogue - CHORUS T4S NFS.pdf", "Fiche Produit")</f>
        <v>Fiche Produit</v>
      </c>
    </row>
    <row r="613" spans="1:6" x14ac:dyDescent="0.25">
      <c r="A613" t="s">
        <v>6</v>
      </c>
      <c r="B613" t="s">
        <v>9</v>
      </c>
      <c r="C613" t="s">
        <v>15</v>
      </c>
      <c r="D613" t="s">
        <v>628</v>
      </c>
      <c r="E613" t="s">
        <v>1550</v>
      </c>
      <c r="F613" t="str">
        <f>HYPERLINK("C:\Users\longueni\Desktop\Chubb produits code\Fiche catalogue\Détection incendie\supervision\CAT-CS_02_59-02_Fiche catalogue - TERMINAL.COM FAD.pdf", "Fiche Produit")</f>
        <v>Fiche Produit</v>
      </c>
    </row>
    <row r="614" spans="1:6" x14ac:dyDescent="0.25">
      <c r="A614" t="s">
        <v>6</v>
      </c>
      <c r="B614" t="s">
        <v>9</v>
      </c>
      <c r="C614" t="s">
        <v>15</v>
      </c>
      <c r="D614" t="s">
        <v>629</v>
      </c>
      <c r="E614" t="s">
        <v>1551</v>
      </c>
      <c r="F614" t="str">
        <f>HYPERLINK("C:\Users\longueni\Desktop\Chubb produits code\Fiche catalogue\Détection incendie\supervision\CAT-CS_02_59-01_Fiche catalogue - TERMINAL.COM UAE.pdf", "Fiche Produit")</f>
        <v>Fiche Produit</v>
      </c>
    </row>
    <row r="615" spans="1:6" x14ac:dyDescent="0.25">
      <c r="A615" t="s">
        <v>6</v>
      </c>
      <c r="B615" t="s">
        <v>9</v>
      </c>
      <c r="C615" t="s">
        <v>15</v>
      </c>
      <c r="D615" t="s">
        <v>630</v>
      </c>
      <c r="E615" t="s">
        <v>1552</v>
      </c>
      <c r="F615" t="str">
        <f>HYPERLINK("C:\Users\longueni\Desktop\Chubb produits code\Fiche catalogue\Détection incendie\Centrale\CAT-CS_01_65-03_Fiche catalogue - UAI 4L DS2 Lon FTT.pdf", "Fiche Produit")</f>
        <v>Fiche Produit</v>
      </c>
    </row>
    <row r="616" spans="1:6" x14ac:dyDescent="0.25">
      <c r="A616" t="s">
        <v>6</v>
      </c>
      <c r="B616" t="s">
        <v>9</v>
      </c>
      <c r="C616" t="s">
        <v>15</v>
      </c>
      <c r="D616" t="s">
        <v>631</v>
      </c>
      <c r="E616" t="s">
        <v>1553</v>
      </c>
      <c r="F616" t="str">
        <f>HYPERLINK("C:\Users\longueni\Desktop\Chubb produits code\Fiche catalogue\Détection incendie\Détecteur _ socle\CAT-CS_04_103-01_Fiche catalogue - IR² ATEX 16511.pdf", "Fiche Produit")</f>
        <v>Fiche Produit</v>
      </c>
    </row>
    <row r="617" spans="1:6" x14ac:dyDescent="0.25">
      <c r="A617" t="s">
        <v>6</v>
      </c>
      <c r="B617" t="s">
        <v>9</v>
      </c>
      <c r="C617" t="s">
        <v>15</v>
      </c>
      <c r="D617" t="s">
        <v>632</v>
      </c>
      <c r="E617" t="s">
        <v>1554</v>
      </c>
      <c r="F617" t="str">
        <f>HYPERLINK("C:\Users\longueni\Desktop\Chubb produits code\Fiche catalogue\Détection incendie\Transmetteur\CAT-161_Fiche catalogue - Transmetteur ATS1500A-IP-MM.pdf", "Fiche Produit")</f>
        <v>Fiche Produit</v>
      </c>
    </row>
    <row r="618" spans="1:6" x14ac:dyDescent="0.25">
      <c r="A618" t="s">
        <v>6</v>
      </c>
      <c r="B618" t="s">
        <v>9</v>
      </c>
      <c r="C618" t="s">
        <v>15</v>
      </c>
      <c r="D618" t="s">
        <v>633</v>
      </c>
      <c r="E618" t="s">
        <v>1554</v>
      </c>
      <c r="F618" t="str">
        <f>HYPERLINK("C:\Users\longueni\Desktop\Chubb produits code\Fiche catalogue\Détection incendie\Transmetteur\CAT-161_Fiche catalogue - Transmetteur ATS1500A-IP-MM.pdf", "Fiche Produit")</f>
        <v>Fiche Produit</v>
      </c>
    </row>
    <row r="619" spans="1:6" x14ac:dyDescent="0.25">
      <c r="A619" t="s">
        <v>6</v>
      </c>
      <c r="B619" t="s">
        <v>9</v>
      </c>
      <c r="C619" t="s">
        <v>15</v>
      </c>
      <c r="D619" t="s">
        <v>634</v>
      </c>
      <c r="E619" t="s">
        <v>1555</v>
      </c>
      <c r="F619" t="str">
        <f>HYPERLINK("C:\Users\longueni\Desktop\Chubb produits code\Fiche catalogue\Détection incendie\Détecteur _ socle\S05EX\CAT-090_Fiche catalogue - Socle S05EX.pdf", "Fiche Produit")</f>
        <v>Fiche Produit</v>
      </c>
    </row>
    <row r="620" spans="1:6" x14ac:dyDescent="0.25">
      <c r="A620" t="s">
        <v>6</v>
      </c>
      <c r="B620" t="s">
        <v>9</v>
      </c>
      <c r="C620" t="s">
        <v>15</v>
      </c>
      <c r="D620" t="s">
        <v>635</v>
      </c>
      <c r="E620" t="s">
        <v>1556</v>
      </c>
      <c r="F620" t="str">
        <f>HYPERLINK("C:\Users\longueni\Desktop\Chubb produits code\Fiche catalogue\Détection incendie\Interface _ O.I. _ Report _ TRE\TRE\CAT-016_Fiche catalogue - RS.Rep Evac - Evac_Mes.pdf", "Fiche Produit")</f>
        <v>Fiche Produit</v>
      </c>
    </row>
    <row r="621" spans="1:6" x14ac:dyDescent="0.25">
      <c r="A621" t="s">
        <v>6</v>
      </c>
      <c r="B621" t="s">
        <v>9</v>
      </c>
      <c r="C621" t="s">
        <v>15</v>
      </c>
      <c r="D621" t="s">
        <v>636</v>
      </c>
      <c r="E621" t="s">
        <v>1556</v>
      </c>
      <c r="F621" t="str">
        <f>HYPERLINK("C:\Users\longueni\Desktop\Chubb produits code\Fiche catalogue\Détection incendie\Interface _ O.I. _ Report _ TRE\TRE\CAT-016_Fiche catalogue - RS.Rep Evac - Evac_Mes.pdf", "Fiche Produit")</f>
        <v>Fiche Produit</v>
      </c>
    </row>
    <row r="622" spans="1:6" x14ac:dyDescent="0.25">
      <c r="A622" t="s">
        <v>6</v>
      </c>
      <c r="B622" t="s">
        <v>9</v>
      </c>
      <c r="C622" t="s">
        <v>15</v>
      </c>
      <c r="D622" t="s">
        <v>637</v>
      </c>
      <c r="E622" t="s">
        <v>1557</v>
      </c>
      <c r="F622" t="str">
        <f>HYPERLINK("C:\Users\longueni\Desktop\Chubb produits code\Fiche catalogue\Détection incendie\Interface _ O.I. _ Report _ TRE\TRE\CAT-017_Fiche catalogue - RS.Rep+ Evac - Evac_Mes.pdf", "Fiche Produit")</f>
        <v>Fiche Produit</v>
      </c>
    </row>
    <row r="623" spans="1:6" x14ac:dyDescent="0.25">
      <c r="A623" t="s">
        <v>6</v>
      </c>
      <c r="B623" t="s">
        <v>9</v>
      </c>
      <c r="C623" t="s">
        <v>15</v>
      </c>
      <c r="D623" t="s">
        <v>638</v>
      </c>
      <c r="E623" t="s">
        <v>1557</v>
      </c>
      <c r="F623" t="str">
        <f>HYPERLINK("C:\Users\longueni\Desktop\Chubb produits code\Fiche catalogue\Détection incendie\Interface _ O.I. _ Report _ TRE\TRE\CAT-017_Fiche catalogue - RS.Rep+ Evac - Evac_Mes.pdf", "Fiche Produit")</f>
        <v>Fiche Produit</v>
      </c>
    </row>
    <row r="624" spans="1:6" x14ac:dyDescent="0.25">
      <c r="A624" t="s">
        <v>6</v>
      </c>
      <c r="B624" t="s">
        <v>9</v>
      </c>
      <c r="C624" t="s">
        <v>15</v>
      </c>
      <c r="D624" t="s">
        <v>639</v>
      </c>
      <c r="E624" t="s">
        <v>1558</v>
      </c>
      <c r="F624" t="str">
        <f>HYPERLINK("C:\Users\longueni\Desktop\Chubb produits code\Fiche catalogue\Détection incendie\Détecteur _ socle\CAT-CS_04_97-01_Fiche catalogue - Détecteur linéaire de chaleur DTS.pdf", "Fiche Produit")</f>
        <v>Fiche Produit</v>
      </c>
    </row>
    <row r="625" spans="1:6" x14ac:dyDescent="0.25">
      <c r="A625" t="s">
        <v>6</v>
      </c>
      <c r="B625" t="s">
        <v>9</v>
      </c>
      <c r="C625" t="s">
        <v>15</v>
      </c>
      <c r="D625" t="s">
        <v>640</v>
      </c>
      <c r="E625" t="s">
        <v>1559</v>
      </c>
      <c r="F625" t="str">
        <f>HYPERLINK("C:\Users\longueni\Desktop\Chubb produits code\CTLG-9001639_Catalogue - Produits et Systèmes CHUBB.pdf", "Fiche Produit")</f>
        <v>Fiche Produit</v>
      </c>
    </row>
    <row r="626" spans="1:6" x14ac:dyDescent="0.25">
      <c r="A626" t="s">
        <v>6</v>
      </c>
      <c r="B626" t="s">
        <v>9</v>
      </c>
      <c r="C626" t="s">
        <v>15</v>
      </c>
      <c r="D626" t="s">
        <v>641</v>
      </c>
      <c r="E626" t="s">
        <v>1560</v>
      </c>
      <c r="F626" t="str">
        <f>HYPERLINK("C:\Users\longueni\Desktop\Chubb produits code\Fiche catalogue\Détection incendie\Accessoires_outils\CAT-CS_04_98-01_Fiche catalogue - TESTIFIRE.pdf", "Fiche Produit")</f>
        <v>Fiche Produit</v>
      </c>
    </row>
    <row r="627" spans="1:6" x14ac:dyDescent="0.25">
      <c r="A627" t="s">
        <v>6</v>
      </c>
      <c r="B627" t="s">
        <v>9</v>
      </c>
      <c r="C627" t="s">
        <v>15</v>
      </c>
      <c r="D627" t="s">
        <v>642</v>
      </c>
      <c r="E627" t="s">
        <v>1561</v>
      </c>
      <c r="F627" t="str">
        <f>HYPERLINK("C:\Users\longueni\Desktop\Chubb produits code\Fiche catalogue\Détection incendie\supervision\OPTIMA VISION\CAT-029_Fiche catalogue - Optima Vision UAE.pdf", "Fiche Produit")</f>
        <v>Fiche Produit</v>
      </c>
    </row>
    <row r="628" spans="1:6" x14ac:dyDescent="0.25">
      <c r="A628" t="s">
        <v>6</v>
      </c>
      <c r="B628" t="s">
        <v>9</v>
      </c>
      <c r="C628" t="s">
        <v>15</v>
      </c>
      <c r="D628" t="s">
        <v>643</v>
      </c>
      <c r="E628" t="s">
        <v>1562</v>
      </c>
      <c r="F628" t="str">
        <f>HYPERLINK("C:\Users\longueni\Desktop\Chubb produits code\Fiche catalogue\Détection incendie\Transmetteur\CAT-CS_02_64-01_Fiche catalogue - TRANSMETTEUR RSE.pdf", "Fiche Produit")</f>
        <v>Fiche Produit</v>
      </c>
    </row>
    <row r="629" spans="1:6" x14ac:dyDescent="0.25">
      <c r="A629" t="s">
        <v>6</v>
      </c>
      <c r="B629" t="s">
        <v>9</v>
      </c>
      <c r="C629" t="s">
        <v>15</v>
      </c>
      <c r="D629" t="s">
        <v>644</v>
      </c>
      <c r="E629" t="s">
        <v>1563</v>
      </c>
      <c r="F629" t="str">
        <f>HYPERLINK("C:\Users\longueni\Desktop\Chubb produits code\Fiche catalogue\Détection incendie\Accessoires_outils\CAT-CS_04_82-03_Fiche catalogue - ACCESSOIRES DÉTECTEURS MULTIPONCTUELS.pdf", "Fiche Produit")</f>
        <v>Fiche Produit</v>
      </c>
    </row>
    <row r="630" spans="1:6" x14ac:dyDescent="0.25">
      <c r="A630" t="s">
        <v>6</v>
      </c>
      <c r="B630" t="s">
        <v>9</v>
      </c>
      <c r="C630" t="s">
        <v>15</v>
      </c>
      <c r="D630" t="s">
        <v>645</v>
      </c>
      <c r="E630" t="s">
        <v>1564</v>
      </c>
      <c r="F630" t="str">
        <f>HYPERLINK("C:\Users\longueni\Desktop\Chubb produits code\Fiche catalogue\Détection incendie\Détecteur _ socle\CAT-CS_04_12-03_Fiche catalogue - DG13 V2.pdf", "Fiche Produit")</f>
        <v>Fiche Produit</v>
      </c>
    </row>
    <row r="631" spans="1:6" x14ac:dyDescent="0.25">
      <c r="A631" t="s">
        <v>6</v>
      </c>
      <c r="B631" t="s">
        <v>9</v>
      </c>
      <c r="C631" t="s">
        <v>15</v>
      </c>
      <c r="D631" t="s">
        <v>646</v>
      </c>
      <c r="E631" t="s">
        <v>1565</v>
      </c>
      <c r="F631" t="str">
        <f>HYPERLINK("C:\Users\longueni\Desktop\Chubb produits code\Fiche catalogue\Détection incendie\Détecteur _ socle\CAT-CS_04_12-03_Fiche catalogue - DG13 V2.pdf", "Fiche Produit")</f>
        <v>Fiche Produit</v>
      </c>
    </row>
    <row r="632" spans="1:6" x14ac:dyDescent="0.25">
      <c r="A632" t="s">
        <v>6</v>
      </c>
      <c r="B632" t="s">
        <v>9</v>
      </c>
      <c r="C632" t="s">
        <v>15</v>
      </c>
      <c r="D632" t="s">
        <v>647</v>
      </c>
      <c r="E632" t="s">
        <v>1566</v>
      </c>
      <c r="F632" t="str">
        <f>HYPERLINK("C:\Users\longueni\Desktop\Chubb produits code\Fiche catalogue\Détection incendie\Détecteur _ socle\CAT-CS_04_12-03_Fiche catalogue - DG13 V2.pdf", "Fiche Produit")</f>
        <v>Fiche Produit</v>
      </c>
    </row>
    <row r="633" spans="1:6" x14ac:dyDescent="0.25">
      <c r="A633" t="s">
        <v>6</v>
      </c>
      <c r="B633" t="s">
        <v>9</v>
      </c>
      <c r="C633" t="s">
        <v>15</v>
      </c>
      <c r="D633" t="s">
        <v>648</v>
      </c>
      <c r="E633" t="s">
        <v>1567</v>
      </c>
      <c r="F633" t="str">
        <f>HYPERLINK("C:\Users\longueni\Desktop\Chubb produits code\Fiche catalogue\Détection incendie\Détecteur _ socle\CAT-CS_04_12-03_Fiche catalogue - DG13 V2.pdf", "Fiche Produit")</f>
        <v>Fiche Produit</v>
      </c>
    </row>
    <row r="634" spans="1:6" x14ac:dyDescent="0.25">
      <c r="A634" t="s">
        <v>6</v>
      </c>
      <c r="B634" t="s">
        <v>9</v>
      </c>
      <c r="C634" t="s">
        <v>15</v>
      </c>
      <c r="D634" t="s">
        <v>649</v>
      </c>
      <c r="E634" t="s">
        <v>1568</v>
      </c>
      <c r="F634" t="str">
        <f>HYPERLINK("C:\Users\longueni\Desktop\Chubb produits code\CTLG-9001639_Catalogue - Produits et Systèmes CHUBB.pdf", "Fiche Produit")</f>
        <v>Fiche Produit</v>
      </c>
    </row>
    <row r="635" spans="1:6" x14ac:dyDescent="0.25">
      <c r="A635" t="s">
        <v>6</v>
      </c>
      <c r="B635" t="s">
        <v>9</v>
      </c>
      <c r="C635" t="s">
        <v>15</v>
      </c>
      <c r="D635" t="s">
        <v>650</v>
      </c>
      <c r="E635" t="s">
        <v>1569</v>
      </c>
      <c r="F635" t="str">
        <f>HYPERLINK("C:\Users\longueni\Desktop\Chubb produits code\Fiche catalogue\Détection incendie\Radio\PPMS\CAT-162_Fiche catalogue - PPMS à Pile RF Chubb.pdf", "Fiche Produit")</f>
        <v>Fiche Produit</v>
      </c>
    </row>
    <row r="636" spans="1:6" x14ac:dyDescent="0.25">
      <c r="A636" t="s">
        <v>6</v>
      </c>
      <c r="B636" t="s">
        <v>9</v>
      </c>
      <c r="C636" t="s">
        <v>15</v>
      </c>
      <c r="D636" t="s">
        <v>651</v>
      </c>
      <c r="E636" t="s">
        <v>1570</v>
      </c>
      <c r="F636" t="str">
        <f>HYPERLINK("C:\Users\longueni\Desktop\Chubb produits code\Fiche catalogue\Détection incendie\Centrale\CAT-CS_01_63-01_Fiche catalogue - UAC LON FTT.pdf", "Fiche Produit")</f>
        <v>Fiche Produit</v>
      </c>
    </row>
    <row r="637" spans="1:6" x14ac:dyDescent="0.25">
      <c r="A637" t="s">
        <v>6</v>
      </c>
      <c r="B637" t="s">
        <v>9</v>
      </c>
      <c r="C637" t="s">
        <v>15</v>
      </c>
      <c r="D637" t="s">
        <v>652</v>
      </c>
      <c r="E637" t="s">
        <v>1571</v>
      </c>
      <c r="F637" t="str">
        <f>HYPERLINK("C:\Users\longueni\Desktop\Chubb produits code\Fiche catalogue\Détection incendie\Centrale\CAT-CS_01_58-01_Fiche catalogue - UAC DIRECTE.pdf", "Fiche Produit")</f>
        <v>Fiche Produit</v>
      </c>
    </row>
    <row r="638" spans="1:6" x14ac:dyDescent="0.25">
      <c r="A638" t="s">
        <v>6</v>
      </c>
      <c r="B638" t="s">
        <v>9</v>
      </c>
      <c r="C638" t="s">
        <v>15</v>
      </c>
      <c r="D638" t="s">
        <v>653</v>
      </c>
      <c r="E638" t="s">
        <v>1572</v>
      </c>
      <c r="F638" t="str">
        <f>HYPERLINK("C:\Users\longueni\Desktop\Chubb produits code\Fiche catalogue\Détection incendie\Centrale\CAT-CS_01_63-01_Fiche catalogue - UAC LON FTT.pdf", "Fiche Produit")</f>
        <v>Fiche Produit</v>
      </c>
    </row>
    <row r="639" spans="1:6" x14ac:dyDescent="0.25">
      <c r="A639" t="s">
        <v>6</v>
      </c>
      <c r="B639" t="s">
        <v>9</v>
      </c>
      <c r="C639" t="s">
        <v>15</v>
      </c>
      <c r="D639" t="s">
        <v>654</v>
      </c>
      <c r="E639" t="s">
        <v>1573</v>
      </c>
      <c r="F639" t="str">
        <f>HYPERLINK("C:\Users\longueni\Desktop\Chubb produits code\Fiche catalogue\Détection incendie\Centrale\CAT-CS_01_58-01_Fiche catalogue - UAC DIRECTE.pdf", "Fiche Produit")</f>
        <v>Fiche Produit</v>
      </c>
    </row>
    <row r="640" spans="1:6" x14ac:dyDescent="0.25">
      <c r="A640" t="s">
        <v>6</v>
      </c>
      <c r="B640" t="s">
        <v>9</v>
      </c>
      <c r="C640" t="s">
        <v>15</v>
      </c>
      <c r="D640" t="s">
        <v>655</v>
      </c>
      <c r="E640" t="s">
        <v>1574</v>
      </c>
      <c r="F640" t="str">
        <f>HYPERLINK("C:\Users\longueni\Desktop\Chubb produits code\Fiche catalogue\Détection incendie\Centrale\CAT-CS_01_65-02_Fiche catalogue - UAI 2B AD1000 Lon FTT.pdf", "Fiche Produit")</f>
        <v>Fiche Produit</v>
      </c>
    </row>
    <row r="641" spans="1:6" x14ac:dyDescent="0.25">
      <c r="A641" t="s">
        <v>6</v>
      </c>
      <c r="B641" t="s">
        <v>9</v>
      </c>
      <c r="C641" t="s">
        <v>15</v>
      </c>
      <c r="D641" t="s">
        <v>656</v>
      </c>
      <c r="E641" t="s">
        <v>1575</v>
      </c>
      <c r="F641" t="str">
        <f>HYPERLINK("C:\Users\longueni\Desktop\Chubb produits code\Fiche catalogue\Détection incendie\Centrale\CAT-CS_01_65-05_Fiche catalogue - UAI 2B SPECTRAL LON FTT.pdf", "Fiche Produit")</f>
        <v>Fiche Produit</v>
      </c>
    </row>
    <row r="642" spans="1:6" x14ac:dyDescent="0.25">
      <c r="A642" t="s">
        <v>6</v>
      </c>
      <c r="B642" t="s">
        <v>9</v>
      </c>
      <c r="C642" t="s">
        <v>15</v>
      </c>
      <c r="D642" t="s">
        <v>657</v>
      </c>
      <c r="E642" t="s">
        <v>1576</v>
      </c>
      <c r="F642" t="str">
        <f>HYPERLINK("C:\Users\longueni\Desktop\Chubb produits code\Fiche catalogue\Détection incendie\Centrale\CAT-CS_01_64-01_Fiche catalogue - UCR LON FTT.pdf", "Fiche Produit")</f>
        <v>Fiche Produit</v>
      </c>
    </row>
    <row r="643" spans="1:6" x14ac:dyDescent="0.25">
      <c r="A643" t="s">
        <v>6</v>
      </c>
      <c r="B643" t="s">
        <v>9</v>
      </c>
      <c r="C643" t="s">
        <v>15</v>
      </c>
      <c r="D643" t="s">
        <v>658</v>
      </c>
      <c r="E643" t="s">
        <v>1577</v>
      </c>
      <c r="F643" t="str">
        <f>HYPERLINK("C:\Users\longueni\Desktop\Chubb produits code\Fiche catalogue\Détection incendie\Centrale\CAT-CS_01_64-01_Fiche catalogue - UCR LON FTT.pdf", "Fiche Produit")</f>
        <v>Fiche Produit</v>
      </c>
    </row>
    <row r="644" spans="1:6" x14ac:dyDescent="0.25">
      <c r="A644" t="s">
        <v>6</v>
      </c>
      <c r="B644" t="s">
        <v>9</v>
      </c>
      <c r="C644" t="s">
        <v>15</v>
      </c>
      <c r="D644" t="s">
        <v>659</v>
      </c>
      <c r="E644" t="s">
        <v>1578</v>
      </c>
      <c r="F644" t="str">
        <f>HYPERLINK("C:\Users\longueni\Desktop\Chubb produits code\Fiche catalogue\Détection incendie\Centrale\CAT-CS_01_64-02_Fiche catalogue - UCR+ LON FTT.pdf", "Fiche Produit")</f>
        <v>Fiche Produit</v>
      </c>
    </row>
    <row r="645" spans="1:6" x14ac:dyDescent="0.25">
      <c r="A645" t="s">
        <v>6</v>
      </c>
      <c r="B645" t="s">
        <v>9</v>
      </c>
      <c r="C645" t="s">
        <v>15</v>
      </c>
      <c r="D645" t="s">
        <v>660</v>
      </c>
      <c r="E645" t="s">
        <v>1579</v>
      </c>
      <c r="F645" t="str">
        <f>HYPERLINK("C:\Users\longueni\Desktop\Chubb produits code\Fiche catalogue\Détection incendie\Centrale\CAT-CS_01_64-02_Fiche catalogue - UCR+ LON FTT.pdf", "Fiche Produit")</f>
        <v>Fiche Produit</v>
      </c>
    </row>
    <row r="646" spans="1:6" x14ac:dyDescent="0.25">
      <c r="A646" t="s">
        <v>6</v>
      </c>
      <c r="B646" t="s">
        <v>9</v>
      </c>
      <c r="C646" t="s">
        <v>15</v>
      </c>
      <c r="D646" t="s">
        <v>661</v>
      </c>
      <c r="E646" t="s">
        <v>1580</v>
      </c>
      <c r="F646" t="str">
        <f>HYPERLINK("C:\Users\longueni\Desktop\Chubb produits code\Fiche catalogue\Détection incendie\Centrale\UTC.Com\CAT-CS_01_57-01_Fiche catalogue -  UTC.Com.pdf", "Fiche Produit")</f>
        <v>Fiche Produit</v>
      </c>
    </row>
    <row r="647" spans="1:6" x14ac:dyDescent="0.25">
      <c r="A647" t="s">
        <v>6</v>
      </c>
      <c r="B647" t="s">
        <v>9</v>
      </c>
      <c r="C647" t="s">
        <v>15</v>
      </c>
      <c r="D647" t="s">
        <v>662</v>
      </c>
      <c r="E647" t="s">
        <v>1581</v>
      </c>
      <c r="F647" t="str">
        <f>HYPERLINK("C:\Users\longueni\Desktop\Chubb produits code\Fiche catalogue\Détection incendie\Centrale\UTC.Com\CAT-CS_01_57-01_Fiche catalogue -  UTC.Com.pdf", "Fiche Produit")</f>
        <v>Fiche Produit</v>
      </c>
    </row>
    <row r="648" spans="1:6" x14ac:dyDescent="0.25">
      <c r="A648" t="s">
        <v>6</v>
      </c>
      <c r="B648" t="s">
        <v>9</v>
      </c>
      <c r="C648" t="s">
        <v>15</v>
      </c>
      <c r="D648" t="s">
        <v>663</v>
      </c>
      <c r="E648" t="s">
        <v>1582</v>
      </c>
      <c r="F648" t="str">
        <f>HYPERLINK("C:\Users\longueni\Desktop\Chubb produits code\Fiche catalogue\Détection incendie\Centrale\UTC.Com\CAT-CS_01_57-01_Fiche catalogue -  UTC.Com.pdf", "Fiche Produit")</f>
        <v>Fiche Produit</v>
      </c>
    </row>
    <row r="649" spans="1:6" x14ac:dyDescent="0.25">
      <c r="A649" t="s">
        <v>6</v>
      </c>
      <c r="B649" t="s">
        <v>9</v>
      </c>
      <c r="C649" t="s">
        <v>15</v>
      </c>
      <c r="D649" t="s">
        <v>664</v>
      </c>
      <c r="E649" t="s">
        <v>1583</v>
      </c>
      <c r="F649" t="str">
        <f>HYPERLINK("C:\Users\longueni\Desktop\Chubb produits code\Fiche catalogue\Détection incendie\Centrale\UTC.Com\CAT-CS_01_57-01_Fiche catalogue -  UTC.Com.pdf", "Fiche Produit")</f>
        <v>Fiche Produit</v>
      </c>
    </row>
    <row r="650" spans="1:6" x14ac:dyDescent="0.25">
      <c r="A650" t="s">
        <v>6</v>
      </c>
      <c r="B650" t="s">
        <v>9</v>
      </c>
      <c r="C650" t="s">
        <v>15</v>
      </c>
      <c r="D650" t="s">
        <v>665</v>
      </c>
      <c r="E650" t="s">
        <v>1584</v>
      </c>
      <c r="F650" t="str">
        <f>HYPERLINK("C:\Users\longueni\Desktop\Chubb produits code\Fiche catalogue\Détection incendie\Centrale\UTC.Com\CAT-CS_01_57-01_Fiche catalogue -  UTC.Com.pdf", "Fiche Produit")</f>
        <v>Fiche Produit</v>
      </c>
    </row>
    <row r="651" spans="1:6" x14ac:dyDescent="0.25">
      <c r="A651" t="s">
        <v>6</v>
      </c>
      <c r="B651" t="s">
        <v>9</v>
      </c>
      <c r="C651" t="s">
        <v>15</v>
      </c>
      <c r="D651" t="s">
        <v>666</v>
      </c>
      <c r="E651" t="s">
        <v>1585</v>
      </c>
      <c r="F651" t="str">
        <f>HYPERLINK("C:\Users\longueni\Desktop\Chubb produits code\Fiche catalogue\Détection incendie\Centrale\UTC.Com Type B\CAT-CS_02_52-01_Fiche catalogue - UTC.Com Type B.pdf", "Fiche Produit")</f>
        <v>Fiche Produit</v>
      </c>
    </row>
    <row r="652" spans="1:6" x14ac:dyDescent="0.25">
      <c r="A652" t="s">
        <v>6</v>
      </c>
      <c r="B652" t="s">
        <v>9</v>
      </c>
      <c r="C652" t="s">
        <v>15</v>
      </c>
      <c r="D652" t="s">
        <v>667</v>
      </c>
      <c r="E652" t="s">
        <v>1586</v>
      </c>
      <c r="F652" t="str">
        <f>HYPERLINK("C:\Users\longueni\Desktop\Chubb produits code\Fiche catalogue\Détection incendie\Centrale\UTC.Com\CAT-CS_01_57-01_Fiche catalogue -  UTC.Com.pdf", "Fiche Produit")</f>
        <v>Fiche Produit</v>
      </c>
    </row>
    <row r="653" spans="1:6" x14ac:dyDescent="0.25">
      <c r="A653" t="s">
        <v>6</v>
      </c>
      <c r="B653" t="s">
        <v>9</v>
      </c>
      <c r="C653" t="s">
        <v>15</v>
      </c>
      <c r="D653" t="s">
        <v>668</v>
      </c>
      <c r="E653" t="s">
        <v>1587</v>
      </c>
      <c r="F653" t="str">
        <f>HYPERLINK("C:\Users\longueni\Desktop\Chubb produits code\Fiche catalogue\Détection incendie\Centrale\UTC.Com\CAT-CS_01_57-01_Fiche catalogue -  UTC.Com.pdf", "Fiche Produit")</f>
        <v>Fiche Produit</v>
      </c>
    </row>
    <row r="654" spans="1:6" x14ac:dyDescent="0.25">
      <c r="A654" t="s">
        <v>6</v>
      </c>
      <c r="B654" t="s">
        <v>9</v>
      </c>
      <c r="C654" t="s">
        <v>15</v>
      </c>
      <c r="D654" t="s">
        <v>669</v>
      </c>
      <c r="E654" t="s">
        <v>1588</v>
      </c>
      <c r="F654" t="str">
        <f>HYPERLINK("C:\Users\longueni\Desktop\Chubb produits code\Fiche catalogue\Détection incendie\Centrale\UTC.Com\CAT-CS_01_57-01_Fiche catalogue -  UTC.Com.pdf", "Fiche Produit")</f>
        <v>Fiche Produit</v>
      </c>
    </row>
    <row r="655" spans="1:6" x14ac:dyDescent="0.25">
      <c r="A655" t="s">
        <v>6</v>
      </c>
      <c r="B655" t="s">
        <v>9</v>
      </c>
      <c r="C655" t="s">
        <v>15</v>
      </c>
      <c r="D655" t="s">
        <v>670</v>
      </c>
      <c r="E655" t="s">
        <v>1589</v>
      </c>
      <c r="F655" t="str">
        <f>HYPERLINK("C:\Users\longueni\Desktop\Chubb produits code\Fiche catalogue\Détection incendie\Centrale\UTC.Com Type B\CAT-CS_02_52-01_Fiche catalogue - UTC.Com Type B.pdf", "Fiche Produit")</f>
        <v>Fiche Produit</v>
      </c>
    </row>
    <row r="656" spans="1:6" x14ac:dyDescent="0.25">
      <c r="A656" t="s">
        <v>6</v>
      </c>
      <c r="B656" t="s">
        <v>9</v>
      </c>
      <c r="C656" t="s">
        <v>15</v>
      </c>
      <c r="D656" t="s">
        <v>671</v>
      </c>
      <c r="E656" t="s">
        <v>1590</v>
      </c>
      <c r="F656" t="str">
        <f>HYPERLINK("C:\Users\longueni\Desktop\Chubb produits code\Fiche catalogue\Détection incendie\Centrale\UTC.Com Type B\CAT-CS_02_52-01_Fiche catalogue - UTC.Com Type B.pdf", "Fiche Produit")</f>
        <v>Fiche Produit</v>
      </c>
    </row>
    <row r="657" spans="1:6" x14ac:dyDescent="0.25">
      <c r="A657" t="s">
        <v>6</v>
      </c>
      <c r="B657" t="s">
        <v>9</v>
      </c>
      <c r="C657" t="s">
        <v>15</v>
      </c>
      <c r="D657" t="s">
        <v>672</v>
      </c>
      <c r="E657" t="s">
        <v>1591</v>
      </c>
      <c r="F657" t="str">
        <f>HYPERLINK("C:\Users\longueni\Desktop\Chubb produits code\CTLG-9001639_Catalogue - Produits et Systèmes CHUBB.pdf", "Fiche Produit")</f>
        <v>Fiche Produit</v>
      </c>
    </row>
    <row r="658" spans="1:6" x14ac:dyDescent="0.25">
      <c r="A658" t="s">
        <v>6</v>
      </c>
      <c r="B658" t="s">
        <v>9</v>
      </c>
      <c r="C658" t="s">
        <v>15</v>
      </c>
      <c r="D658" t="s">
        <v>673</v>
      </c>
      <c r="E658" t="s">
        <v>1592</v>
      </c>
      <c r="F658" t="str">
        <f>HYPERLINK("C:\Users\longueni\Desktop\Chubb produits code\CTLG-9001639_Catalogue - Produits et Systèmes CHUBB.pdf", "Fiche Produit")</f>
        <v>Fiche Produit</v>
      </c>
    </row>
    <row r="659" spans="1:6" x14ac:dyDescent="0.25">
      <c r="A659" t="s">
        <v>6</v>
      </c>
      <c r="B659" t="s">
        <v>9</v>
      </c>
      <c r="C659" t="s">
        <v>15</v>
      </c>
      <c r="D659" t="s">
        <v>674</v>
      </c>
      <c r="E659" t="s">
        <v>1593</v>
      </c>
      <c r="F659" t="str">
        <f>HYPERLINK("C:\Users\longueni\Desktop\Chubb produits code\Fiche catalogue\Détection incendie\Centrale\UTC.Pack\CAT-033_Fiche catalogue - UTC.Pack.pdf", "Fiche Produit")</f>
        <v>Fiche Produit</v>
      </c>
    </row>
    <row r="660" spans="1:6" x14ac:dyDescent="0.25">
      <c r="A660" t="s">
        <v>6</v>
      </c>
      <c r="B660" t="s">
        <v>9</v>
      </c>
      <c r="C660" t="s">
        <v>15</v>
      </c>
      <c r="D660" t="s">
        <v>675</v>
      </c>
      <c r="E660" t="s">
        <v>1594</v>
      </c>
      <c r="F660" t="str">
        <f>HYPERLINK("C:\Users\longueni\Desktop\Chubb produits code\Fiche catalogue\Détection incendie\Centrale\UTC.Pack\CAT-033_Fiche catalogue - UTC.Pack.pdf", "Fiche Produit")</f>
        <v>Fiche Produit</v>
      </c>
    </row>
    <row r="661" spans="1:6" x14ac:dyDescent="0.25">
      <c r="A661" t="s">
        <v>6</v>
      </c>
      <c r="B661" t="s">
        <v>9</v>
      </c>
      <c r="C661" t="s">
        <v>15</v>
      </c>
      <c r="D661" t="s">
        <v>676</v>
      </c>
      <c r="E661" t="s">
        <v>1595</v>
      </c>
      <c r="F661" t="str">
        <f>HYPERLINK("C:\Users\longueni\Desktop\Chubb produits code\Fiche catalogue\Détection incendie\Centrale\UTC.Pack\CAT-033_Fiche catalogue - UTC.Pack.pdf", "Fiche Produit")</f>
        <v>Fiche Produit</v>
      </c>
    </row>
    <row r="662" spans="1:6" x14ac:dyDescent="0.25">
      <c r="A662" t="s">
        <v>6</v>
      </c>
      <c r="B662" t="s">
        <v>9</v>
      </c>
      <c r="C662" t="s">
        <v>15</v>
      </c>
      <c r="D662" t="s">
        <v>677</v>
      </c>
      <c r="E662" t="s">
        <v>1596</v>
      </c>
      <c r="F662" t="str">
        <f>HYPERLINK("C:\Users\longueni\Desktop\Chubb produits code\Fiche catalogue\Détection incendie\Centrale\UTC.Pack Type B\CAT-034_Fiche catalogue - UTC.Pack Type B.pdf", "Fiche Produit")</f>
        <v>Fiche Produit</v>
      </c>
    </row>
    <row r="663" spans="1:6" x14ac:dyDescent="0.25">
      <c r="A663" t="s">
        <v>6</v>
      </c>
      <c r="B663" t="s">
        <v>9</v>
      </c>
      <c r="C663" t="s">
        <v>15</v>
      </c>
      <c r="D663" t="s">
        <v>678</v>
      </c>
      <c r="E663" t="s">
        <v>1597</v>
      </c>
      <c r="F663" t="str">
        <f>HYPERLINK("C:\Users\longueni\Desktop\Chubb produits code\Fiche catalogue\Détection incendie\Centrale\UTC.Pack\CAT-033_Fiche catalogue - UTC.Pack.pdf", "Fiche Produit")</f>
        <v>Fiche Produit</v>
      </c>
    </row>
    <row r="664" spans="1:6" x14ac:dyDescent="0.25">
      <c r="A664" t="s">
        <v>6</v>
      </c>
      <c r="B664" t="s">
        <v>9</v>
      </c>
      <c r="C664" t="s">
        <v>15</v>
      </c>
      <c r="D664" t="s">
        <v>679</v>
      </c>
      <c r="E664" t="s">
        <v>1598</v>
      </c>
      <c r="F664" t="str">
        <f>HYPERLINK("C:\Users\longueni\Desktop\Chubb produits code\Fiche catalogue\Détection incendie\Centrale\UTC.Pack Type B\CAT-034_Fiche catalogue - UTC.Pack Type B.pdf", "Fiche Produit")</f>
        <v>Fiche Produit</v>
      </c>
    </row>
    <row r="665" spans="1:6" x14ac:dyDescent="0.25">
      <c r="A665" t="s">
        <v>6</v>
      </c>
      <c r="B665" t="s">
        <v>9</v>
      </c>
      <c r="C665" t="s">
        <v>15</v>
      </c>
      <c r="D665" t="s">
        <v>680</v>
      </c>
      <c r="E665" t="s">
        <v>1599</v>
      </c>
      <c r="F665" t="str">
        <f>HYPERLINK("C:\Users\longueni\Desktop\Chubb produits code\Fiche catalogue\Détection incendie\Centrale\CAT-CS_02_45-01_Fiche catalogue - UTD.Com.pdf", "Fiche Produit")</f>
        <v>Fiche Produit</v>
      </c>
    </row>
    <row r="666" spans="1:6" x14ac:dyDescent="0.25">
      <c r="A666" t="s">
        <v>6</v>
      </c>
      <c r="B666" t="s">
        <v>9</v>
      </c>
      <c r="C666" t="s">
        <v>15</v>
      </c>
      <c r="D666" t="s">
        <v>681</v>
      </c>
      <c r="E666" t="s">
        <v>1600</v>
      </c>
      <c r="F666" t="str">
        <f t="shared" ref="F666:F673" si="9">HYPERLINK("C:\Users\longueni\Desktop\Chubb produits code\Fiche catalogue\Extinction\Centrale\UTEX.Com\CAT-CS_N_16-01_Fiche catalogue - UTEX Com.pdf", "Fiche Produit")</f>
        <v>Fiche Produit</v>
      </c>
    </row>
    <row r="667" spans="1:6" x14ac:dyDescent="0.25">
      <c r="A667" t="s">
        <v>6</v>
      </c>
      <c r="B667" t="s">
        <v>9</v>
      </c>
      <c r="C667" t="s">
        <v>15</v>
      </c>
      <c r="D667" t="s">
        <v>682</v>
      </c>
      <c r="E667" t="s">
        <v>1601</v>
      </c>
      <c r="F667" t="str">
        <f t="shared" si="9"/>
        <v>Fiche Produit</v>
      </c>
    </row>
    <row r="668" spans="1:6" x14ac:dyDescent="0.25">
      <c r="A668" t="s">
        <v>6</v>
      </c>
      <c r="B668" t="s">
        <v>9</v>
      </c>
      <c r="C668" t="s">
        <v>15</v>
      </c>
      <c r="D668" t="s">
        <v>683</v>
      </c>
      <c r="E668" t="s">
        <v>1602</v>
      </c>
      <c r="F668" t="str">
        <f t="shared" si="9"/>
        <v>Fiche Produit</v>
      </c>
    </row>
    <row r="669" spans="1:6" x14ac:dyDescent="0.25">
      <c r="A669" t="s">
        <v>6</v>
      </c>
      <c r="B669" t="s">
        <v>9</v>
      </c>
      <c r="C669" t="s">
        <v>15</v>
      </c>
      <c r="D669" t="s">
        <v>684</v>
      </c>
      <c r="E669" t="s">
        <v>1603</v>
      </c>
      <c r="F669" t="str">
        <f t="shared" si="9"/>
        <v>Fiche Produit</v>
      </c>
    </row>
    <row r="670" spans="1:6" x14ac:dyDescent="0.25">
      <c r="A670" t="s">
        <v>6</v>
      </c>
      <c r="B670" t="s">
        <v>9</v>
      </c>
      <c r="C670" t="s">
        <v>15</v>
      </c>
      <c r="D670" t="s">
        <v>685</v>
      </c>
      <c r="E670" t="s">
        <v>1604</v>
      </c>
      <c r="F670" t="str">
        <f t="shared" si="9"/>
        <v>Fiche Produit</v>
      </c>
    </row>
    <row r="671" spans="1:6" x14ac:dyDescent="0.25">
      <c r="A671" t="s">
        <v>6</v>
      </c>
      <c r="B671" t="s">
        <v>9</v>
      </c>
      <c r="C671" t="s">
        <v>15</v>
      </c>
      <c r="D671" t="s">
        <v>686</v>
      </c>
      <c r="E671" t="s">
        <v>1605</v>
      </c>
      <c r="F671" t="str">
        <f t="shared" si="9"/>
        <v>Fiche Produit</v>
      </c>
    </row>
    <row r="672" spans="1:6" x14ac:dyDescent="0.25">
      <c r="A672" t="s">
        <v>6</v>
      </c>
      <c r="B672" t="s">
        <v>9</v>
      </c>
      <c r="C672" t="s">
        <v>15</v>
      </c>
      <c r="D672" t="s">
        <v>687</v>
      </c>
      <c r="E672" t="s">
        <v>1606</v>
      </c>
      <c r="F672" t="str">
        <f t="shared" si="9"/>
        <v>Fiche Produit</v>
      </c>
    </row>
    <row r="673" spans="1:6" x14ac:dyDescent="0.25">
      <c r="A673" t="s">
        <v>6</v>
      </c>
      <c r="B673" t="s">
        <v>9</v>
      </c>
      <c r="C673" t="s">
        <v>15</v>
      </c>
      <c r="D673" t="s">
        <v>688</v>
      </c>
      <c r="E673" t="s">
        <v>1607</v>
      </c>
      <c r="F673" t="str">
        <f t="shared" si="9"/>
        <v>Fiche Produit</v>
      </c>
    </row>
    <row r="674" spans="1:6" x14ac:dyDescent="0.25">
      <c r="A674" t="s">
        <v>6</v>
      </c>
      <c r="B674" t="s">
        <v>9</v>
      </c>
      <c r="C674" t="s">
        <v>15</v>
      </c>
      <c r="D674" t="s">
        <v>689</v>
      </c>
      <c r="E674" t="s">
        <v>1608</v>
      </c>
      <c r="F674" t="str">
        <f>HYPERLINK("C:\Users\longueni\Desktop\Chubb produits code\Fiche catalogue\Extinction\Centrale\UTEX.Pack\CAT-CS_N_10-01_Fiche catalogue - UTEX.Pack.pdf", "Fiche Produit")</f>
        <v>Fiche Produit</v>
      </c>
    </row>
    <row r="675" spans="1:6" x14ac:dyDescent="0.25">
      <c r="A675" t="s">
        <v>6</v>
      </c>
      <c r="B675" t="s">
        <v>9</v>
      </c>
      <c r="C675" t="s">
        <v>15</v>
      </c>
      <c r="D675" t="s">
        <v>690</v>
      </c>
      <c r="E675" t="s">
        <v>1609</v>
      </c>
      <c r="F675" t="str">
        <f>HYPERLINK("C:\Users\longueni\Desktop\Chubb produits code\Fiche catalogue\Extinction\Centrale\UTEX.Pack\CAT-CS_N_10-01_Fiche catalogue - UTEX.Pack.pdf", "Fiche Produit")</f>
        <v>Fiche Produit</v>
      </c>
    </row>
    <row r="676" spans="1:6" x14ac:dyDescent="0.25">
      <c r="A676" t="s">
        <v>6</v>
      </c>
      <c r="B676" t="s">
        <v>9</v>
      </c>
      <c r="C676" t="s">
        <v>15</v>
      </c>
      <c r="D676" t="s">
        <v>691</v>
      </c>
      <c r="E676" t="s">
        <v>1610</v>
      </c>
      <c r="F676" t="str">
        <f>HYPERLINK("C:\Users\longueni\Desktop\Chubb produits code\Fiche catalogue\Détection incendie\Centrale\UTH.Pack\CAT-CS_01_84-01_Fiche catalogue - UTH.Pack.pdf", "Fiche Produit")</f>
        <v>Fiche Produit</v>
      </c>
    </row>
    <row r="677" spans="1:6" x14ac:dyDescent="0.25">
      <c r="A677" t="s">
        <v>6</v>
      </c>
      <c r="B677" t="s">
        <v>9</v>
      </c>
      <c r="C677" t="s">
        <v>15</v>
      </c>
      <c r="D677" t="s">
        <v>692</v>
      </c>
      <c r="E677" t="s">
        <v>1611</v>
      </c>
      <c r="F677" t="str">
        <f>HYPERLINK("C:\Users\longueni\Desktop\Chubb produits code\Fiche catalogue\Détection incendie\Centrale\UTI.Com\CAT-CS_01_62-01_Fiche catalogue - UTI.Com.pdf", "Fiche Produit")</f>
        <v>Fiche Produit</v>
      </c>
    </row>
    <row r="678" spans="1:6" x14ac:dyDescent="0.25">
      <c r="A678" t="s">
        <v>6</v>
      </c>
      <c r="B678" t="s">
        <v>9</v>
      </c>
      <c r="C678" t="s">
        <v>15</v>
      </c>
      <c r="D678" t="s">
        <v>693</v>
      </c>
      <c r="E678" t="s">
        <v>1612</v>
      </c>
      <c r="F678" t="str">
        <f>HYPERLINK("C:\Users\longueni\Desktop\Chubb produits code\Fiche catalogue\Détection incendie\Centrale\UTI.Com\CAT-CS_01_62-01_Fiche catalogue - UTI.Com.pdf", "Fiche Produit")</f>
        <v>Fiche Produit</v>
      </c>
    </row>
    <row r="679" spans="1:6" x14ac:dyDescent="0.25">
      <c r="A679" t="s">
        <v>6</v>
      </c>
      <c r="B679" t="s">
        <v>9</v>
      </c>
      <c r="C679" t="s">
        <v>15</v>
      </c>
      <c r="D679" t="s">
        <v>694</v>
      </c>
      <c r="E679" t="s">
        <v>1613</v>
      </c>
      <c r="F679" t="str">
        <f>HYPERLINK("C:\Users\longueni\Desktop\Chubb produits code\Fiche catalogue\Détection incendie\Centrale\UTI.Com\CAT-CS_01_62-01_Fiche catalogue - UTI.Com.pdf", "Fiche Produit")</f>
        <v>Fiche Produit</v>
      </c>
    </row>
    <row r="680" spans="1:6" x14ac:dyDescent="0.25">
      <c r="A680" t="s">
        <v>6</v>
      </c>
      <c r="B680" t="s">
        <v>9</v>
      </c>
      <c r="C680" t="s">
        <v>15</v>
      </c>
      <c r="D680" t="s">
        <v>695</v>
      </c>
      <c r="E680" t="s">
        <v>1614</v>
      </c>
      <c r="F680" t="str">
        <f>HYPERLINK("C:\Users\longueni\Desktop\Chubb produits code\Fiche catalogue\Détection incendie\Centrale\UTI.Com ECS\CAT-CS_01_62-02_Fiche catalogue - UTI.Com ECS.pdf", "Fiche Produit")</f>
        <v>Fiche Produit</v>
      </c>
    </row>
    <row r="681" spans="1:6" x14ac:dyDescent="0.25">
      <c r="A681" t="s">
        <v>6</v>
      </c>
      <c r="B681" t="s">
        <v>9</v>
      </c>
      <c r="C681" t="s">
        <v>15</v>
      </c>
      <c r="D681" t="s">
        <v>696</v>
      </c>
      <c r="E681" t="s">
        <v>1615</v>
      </c>
      <c r="F681" t="str">
        <f>HYPERLINK("C:\Users\longueni\Desktop\Chubb produits code\Fiche catalogue\Détection incendie\Centrale\UTI.Com\CAT-CS_01_62-01_Fiche catalogue - UTI.Com.pdf", "Fiche Produit")</f>
        <v>Fiche Produit</v>
      </c>
    </row>
    <row r="682" spans="1:6" x14ac:dyDescent="0.25">
      <c r="A682" t="s">
        <v>6</v>
      </c>
      <c r="B682" t="s">
        <v>9</v>
      </c>
      <c r="C682" t="s">
        <v>15</v>
      </c>
      <c r="D682" t="s">
        <v>697</v>
      </c>
      <c r="E682" t="s">
        <v>1616</v>
      </c>
      <c r="F682" t="str">
        <f>HYPERLINK("C:\Users\longueni\Desktop\Chubb produits code\Fiche catalogue\Détection incendie\Centrale\UTI.Com ECS\CAT-CS_01_62-02_Fiche catalogue - UTI.Com ECS.pdf", "Fiche Produit")</f>
        <v>Fiche Produit</v>
      </c>
    </row>
    <row r="683" spans="1:6" x14ac:dyDescent="0.25">
      <c r="A683" t="s">
        <v>6</v>
      </c>
      <c r="B683" t="s">
        <v>9</v>
      </c>
      <c r="C683" t="s">
        <v>15</v>
      </c>
      <c r="D683" t="s">
        <v>698</v>
      </c>
      <c r="E683" t="s">
        <v>1617</v>
      </c>
      <c r="F683" t="str">
        <f>HYPERLINK("C:\Users\longueni\Desktop\Chubb produits code\Fiche catalogue\Détection incendie\Centrale\UTI.Com\CAT-CS_01_62-01_Fiche catalogue - UTI.Com.pdf", "Fiche Produit")</f>
        <v>Fiche Produit</v>
      </c>
    </row>
    <row r="684" spans="1:6" x14ac:dyDescent="0.25">
      <c r="A684" t="s">
        <v>6</v>
      </c>
      <c r="B684" t="s">
        <v>9</v>
      </c>
      <c r="C684" t="s">
        <v>15</v>
      </c>
      <c r="D684" t="s">
        <v>699</v>
      </c>
      <c r="E684" t="s">
        <v>1618</v>
      </c>
      <c r="F684" t="str">
        <f>HYPERLINK("C:\Users\longueni\Desktop\Chubb produits code\Fiche catalogue\Détection incendie\Centrale\UTI.Com ECS\CAT-CS_01_62-02_Fiche catalogue - UTI.Com ECS.pdf", "Fiche Produit")</f>
        <v>Fiche Produit</v>
      </c>
    </row>
    <row r="685" spans="1:6" x14ac:dyDescent="0.25">
      <c r="A685" t="s">
        <v>6</v>
      </c>
      <c r="B685" t="s">
        <v>9</v>
      </c>
      <c r="C685" t="s">
        <v>15</v>
      </c>
      <c r="D685" t="s">
        <v>700</v>
      </c>
      <c r="E685" t="s">
        <v>1619</v>
      </c>
      <c r="F685" t="str">
        <f>HYPERLINK("C:\Users\longueni\Desktop\Chubb produits code\Fiche catalogue\Détection incendie\Centrale\UTI.Com\CAT-CS_01_62-01_Fiche catalogue - UTI.Com.pdf", "Fiche Produit")</f>
        <v>Fiche Produit</v>
      </c>
    </row>
    <row r="686" spans="1:6" x14ac:dyDescent="0.25">
      <c r="A686" t="s">
        <v>6</v>
      </c>
      <c r="B686" t="s">
        <v>9</v>
      </c>
      <c r="C686" t="s">
        <v>15</v>
      </c>
      <c r="D686" t="s">
        <v>701</v>
      </c>
      <c r="E686" t="s">
        <v>1620</v>
      </c>
      <c r="F686" t="str">
        <f>HYPERLINK("C:\Users\longueni\Desktop\Chubb produits code\Fiche catalogue\Détection incendie\Centrale\UTI.Com ECS\CAT-CS_01_62-02_Fiche catalogue - UTI.Com ECS.pdf", "Fiche Produit")</f>
        <v>Fiche Produit</v>
      </c>
    </row>
    <row r="687" spans="1:6" x14ac:dyDescent="0.25">
      <c r="A687" t="s">
        <v>6</v>
      </c>
      <c r="B687" t="s">
        <v>9</v>
      </c>
      <c r="C687" t="s">
        <v>15</v>
      </c>
      <c r="D687" t="s">
        <v>702</v>
      </c>
      <c r="E687" t="s">
        <v>1621</v>
      </c>
      <c r="F687" t="str">
        <f>HYPERLINK("C:\Users\longueni\Desktop\Chubb produits code\Fiche catalogue\Détection incendie\Centrale\UTI.Com\CAT-CS_01_62-01_Fiche catalogue - UTI.Com.pdf", "Fiche Produit")</f>
        <v>Fiche Produit</v>
      </c>
    </row>
    <row r="688" spans="1:6" x14ac:dyDescent="0.25">
      <c r="A688" t="s">
        <v>6</v>
      </c>
      <c r="B688" t="s">
        <v>9</v>
      </c>
      <c r="C688" t="s">
        <v>15</v>
      </c>
      <c r="D688" t="s">
        <v>703</v>
      </c>
      <c r="E688" t="s">
        <v>1622</v>
      </c>
      <c r="F688" t="str">
        <f>HYPERLINK("C:\Users\longueni\Desktop\Chubb produits code\Fiche catalogue\Détection incendie\Centrale\UTI.Pack\CAT-CS_01_62-03_Fiche catalogue - UTI.Pack.pdf", "Fiche Produit")</f>
        <v>Fiche Produit</v>
      </c>
    </row>
    <row r="689" spans="1:6" x14ac:dyDescent="0.25">
      <c r="A689" t="s">
        <v>6</v>
      </c>
      <c r="B689" t="s">
        <v>9</v>
      </c>
      <c r="C689" t="s">
        <v>15</v>
      </c>
      <c r="D689" t="s">
        <v>704</v>
      </c>
      <c r="E689" t="s">
        <v>1623</v>
      </c>
      <c r="F689" t="str">
        <f>HYPERLINK("C:\Users\longueni\Desktop\Chubb produits code\Fiche catalogue\Détection incendie\Centrale\UTI.Pack\CAT-CS_01_62-03_Fiche catalogue - UTI.Pack.pdf", "Fiche Produit")</f>
        <v>Fiche Produit</v>
      </c>
    </row>
    <row r="690" spans="1:6" x14ac:dyDescent="0.25">
      <c r="A690" t="s">
        <v>6</v>
      </c>
      <c r="B690" t="s">
        <v>9</v>
      </c>
      <c r="C690" t="s">
        <v>15</v>
      </c>
      <c r="D690" t="s">
        <v>705</v>
      </c>
      <c r="E690" t="s">
        <v>1624</v>
      </c>
      <c r="F690" t="str">
        <f>HYPERLINK("C:\Users\longueni\Desktop\Chubb produits code\Fiche catalogue\Détection incendie\Centrale\UTI.Pack\CAT-CS_01_62-03_Fiche catalogue - UTI.Pack.pdf", "Fiche Produit")</f>
        <v>Fiche Produit</v>
      </c>
    </row>
    <row r="691" spans="1:6" x14ac:dyDescent="0.25">
      <c r="A691" t="s">
        <v>6</v>
      </c>
      <c r="B691" t="s">
        <v>9</v>
      </c>
      <c r="C691" t="s">
        <v>15</v>
      </c>
      <c r="D691" t="s">
        <v>706</v>
      </c>
      <c r="E691" t="s">
        <v>1625</v>
      </c>
      <c r="F691" t="str">
        <f>HYPERLINK("C:\Users\longueni\Desktop\Chubb produits code\Fiche catalogue\Détection incendie\Centrale\UTI.Pack\CAT-CS_01_62-03_Fiche catalogue - UTI.Pack.pdf", "Fiche Produit")</f>
        <v>Fiche Produit</v>
      </c>
    </row>
    <row r="692" spans="1:6" x14ac:dyDescent="0.25">
      <c r="A692" t="s">
        <v>6</v>
      </c>
      <c r="B692" t="s">
        <v>9</v>
      </c>
      <c r="C692" t="s">
        <v>15</v>
      </c>
      <c r="D692" t="s">
        <v>707</v>
      </c>
      <c r="E692" t="s">
        <v>1626</v>
      </c>
      <c r="F692" t="str">
        <f>HYPERLINK("C:\Users\longueni\Desktop\Chubb produits code\Fiche catalogue\Détection incendie\Alimentation\VARIATION 940\CAT-CS_08_23-04_Fiche catalogue - VARIATION 940 - Chargeur.pdf", "Fiche Produit")</f>
        <v>Fiche Produit</v>
      </c>
    </row>
    <row r="693" spans="1:6" x14ac:dyDescent="0.25">
      <c r="A693" t="s">
        <v>6</v>
      </c>
      <c r="B693" t="s">
        <v>9</v>
      </c>
      <c r="C693" t="s">
        <v>15</v>
      </c>
      <c r="D693" t="s">
        <v>708</v>
      </c>
      <c r="E693" t="s">
        <v>1626</v>
      </c>
      <c r="F693" t="str">
        <f>HYPERLINK("C:\Users\longueni\Desktop\Chubb produits code\Fiche catalogue\Détection incendie\Alimentation\VARIATION 940\CAT-CS_08_23-04_Fiche catalogue - VARIATION 940 - Chargeur.pdf", "Fiche Produit")</f>
        <v>Fiche Produit</v>
      </c>
    </row>
    <row r="694" spans="1:6" x14ac:dyDescent="0.25">
      <c r="A694" t="s">
        <v>6</v>
      </c>
      <c r="B694" t="s">
        <v>9</v>
      </c>
      <c r="C694" t="s">
        <v>15</v>
      </c>
      <c r="D694" t="s">
        <v>709</v>
      </c>
      <c r="E694" t="s">
        <v>1626</v>
      </c>
      <c r="F694" t="str">
        <f>HYPERLINK("C:\Users\longueni\Desktop\Chubb produits code\Fiche catalogue\Détection incendie\Alimentation\VARIATION 940\CAT-CS_08_23-04_Fiche catalogue - VARIATION 940 - Chargeur.pdf", "Fiche Produit")</f>
        <v>Fiche Produit</v>
      </c>
    </row>
    <row r="695" spans="1:6" x14ac:dyDescent="0.25">
      <c r="A695" t="s">
        <v>6</v>
      </c>
      <c r="B695" t="s">
        <v>9</v>
      </c>
      <c r="C695" t="s">
        <v>15</v>
      </c>
      <c r="D695" t="s">
        <v>710</v>
      </c>
      <c r="E695" t="s">
        <v>1627</v>
      </c>
      <c r="F695" t="str">
        <f>HYPERLINK("C:\Users\longueni\Desktop\Chubb produits code\Fiche catalogue\Détection incendie\Détecteur _ socle\VESDA\CAT-CS_04_100-01_Fiche catalogue - VESDA LASER SCANNER.pdf", "Fiche Produit")</f>
        <v>Fiche Produit</v>
      </c>
    </row>
    <row r="696" spans="1:6" x14ac:dyDescent="0.25">
      <c r="A696" t="s">
        <v>6</v>
      </c>
      <c r="B696" t="s">
        <v>9</v>
      </c>
      <c r="C696" t="s">
        <v>15</v>
      </c>
      <c r="D696" t="s">
        <v>711</v>
      </c>
      <c r="E696" t="s">
        <v>1627</v>
      </c>
      <c r="F696" t="str">
        <f>HYPERLINK("C:\Users\longueni\Desktop\Chubb produits code\CTLG-9001639_Catalogue - Produits et Systèmes CHUBB.pdf", "Fiche Produit")</f>
        <v>Fiche Produit</v>
      </c>
    </row>
    <row r="697" spans="1:6" x14ac:dyDescent="0.25">
      <c r="A697" t="s">
        <v>6</v>
      </c>
      <c r="B697" t="s">
        <v>9</v>
      </c>
      <c r="C697" t="s">
        <v>15</v>
      </c>
      <c r="D697" t="s">
        <v>712</v>
      </c>
      <c r="E697" t="s">
        <v>1628</v>
      </c>
      <c r="F697" t="str">
        <f>HYPERLINK("C:\Users\longueni\Desktop\Chubb produits code\CTLG-9001639_Catalogue - Produits et Systèmes CHUBB.pdf", "Fiche Produit")</f>
        <v>Fiche Produit</v>
      </c>
    </row>
    <row r="698" spans="1:6" x14ac:dyDescent="0.25">
      <c r="A698" t="s">
        <v>6</v>
      </c>
      <c r="B698" t="s">
        <v>9</v>
      </c>
      <c r="C698" t="s">
        <v>15</v>
      </c>
      <c r="D698" t="s">
        <v>713</v>
      </c>
      <c r="E698" t="s">
        <v>1629</v>
      </c>
      <c r="F698" t="str">
        <f>HYPERLINK("C:\Users\longueni\Desktop\Chubb produits code\Fiche catalogue\Détection incendie\Détecteur _ socle\VIREX\CAT-CS_04_78-03_Fiche catalogue - VIREX.pdf", "Fiche Produit")</f>
        <v>Fiche Produit</v>
      </c>
    </row>
    <row r="699" spans="1:6" x14ac:dyDescent="0.25">
      <c r="A699" t="s">
        <v>6</v>
      </c>
      <c r="B699" t="s">
        <v>9</v>
      </c>
      <c r="C699" t="s">
        <v>15</v>
      </c>
      <c r="D699" t="s">
        <v>714</v>
      </c>
      <c r="E699" t="s">
        <v>1630</v>
      </c>
      <c r="F699" t="str">
        <f>HYPERLINK("C:\Users\longueni\Desktop\Chubb produits code\Fiche catalogue\Détection incendie\Détecteur _ socle\SV-S95_EX\CAT-CS_04_78-04_Fiche catalogue - SV-S95_EX.pdf", "Fiche Produit")</f>
        <v>Fiche Produit</v>
      </c>
    </row>
    <row r="700" spans="1:6" x14ac:dyDescent="0.25">
      <c r="A700" t="s">
        <v>6</v>
      </c>
      <c r="B700" t="s">
        <v>9</v>
      </c>
      <c r="C700" t="s">
        <v>15</v>
      </c>
      <c r="D700" t="s">
        <v>715</v>
      </c>
      <c r="E700" t="s">
        <v>1631</v>
      </c>
      <c r="F700" t="str">
        <f>HYPERLINK("C:\Users\longueni\Desktop\Chubb produits code\Fiche catalogue\Détection incendie\Détecteur _ socle\DET-TRONICS\CAT-097_Fiche catalogue - Détecteur DET-TRONICS X3301 IR.pdf", "Fiche Produit")</f>
        <v>Fiche Produit</v>
      </c>
    </row>
    <row r="701" spans="1:6" x14ac:dyDescent="0.25">
      <c r="A701" t="s">
        <v>6</v>
      </c>
      <c r="B701" t="s">
        <v>9</v>
      </c>
      <c r="C701" t="s">
        <v>15</v>
      </c>
      <c r="D701" t="s">
        <v>716</v>
      </c>
      <c r="E701" t="s">
        <v>1632</v>
      </c>
      <c r="F701" t="str">
        <f>HYPERLINK("C:\Users\longueni\Desktop\Chubb produits code\Fiche catalogue\Détection incendie\Détecteur _ socle\VESDA\CAT-CS_04_32-01_Fiche catalogue - VESDA LASER PLUS.pdf", "Fiche Produit")</f>
        <v>Fiche Produit</v>
      </c>
    </row>
    <row r="702" spans="1:6" x14ac:dyDescent="0.25">
      <c r="A702" t="s">
        <v>6</v>
      </c>
      <c r="B702" t="s">
        <v>9</v>
      </c>
      <c r="C702" t="s">
        <v>15</v>
      </c>
      <c r="D702" t="s">
        <v>717</v>
      </c>
      <c r="E702" t="s">
        <v>1633</v>
      </c>
      <c r="F702" t="str">
        <f>HYPERLINK("C:\Users\longueni\Desktop\Chubb produits code\Fiche catalogue\Détection incendie\Détecteur _ socle\VESDA\CAT-CS_04_32-01_Fiche catalogue - VESDA LASER PLUS.pdf", "Fiche Produit")</f>
        <v>Fiche Produit</v>
      </c>
    </row>
    <row r="703" spans="1:6" x14ac:dyDescent="0.25">
      <c r="A703" t="s">
        <v>6</v>
      </c>
      <c r="B703" t="s">
        <v>9</v>
      </c>
      <c r="C703" t="s">
        <v>15</v>
      </c>
      <c r="D703" t="s">
        <v>718</v>
      </c>
      <c r="E703" t="s">
        <v>1634</v>
      </c>
      <c r="F703" t="str">
        <f>HYPERLINK("C:\Users\longueni\Desktop\Chubb produits code\Fiche catalogue\Détection incendie\Alimentation\VARIATION 940\CAT-CS_08_23-04_Fiche catalogue - VARIATION 940 - Chargeur.pdf", "Fiche Produit")</f>
        <v>Fiche Produit</v>
      </c>
    </row>
    <row r="704" spans="1:6" x14ac:dyDescent="0.25">
      <c r="A704" t="s">
        <v>6</v>
      </c>
      <c r="B704" t="s">
        <v>9</v>
      </c>
      <c r="C704" t="s">
        <v>15</v>
      </c>
      <c r="D704" t="s">
        <v>719</v>
      </c>
      <c r="E704" t="s">
        <v>1635</v>
      </c>
      <c r="F704" t="str">
        <f>HYPERLINK("C:\Users\longueni\Desktop\Chubb produits code\Fiche catalogue\Détection incendie\Détecteur _ socle\VESDA\CAT-CS_04_33-01_Fiche catalogue - VESDA LASER COMPACT.pdf", "Fiche Produit")</f>
        <v>Fiche Produit</v>
      </c>
    </row>
    <row r="705" spans="1:6" x14ac:dyDescent="0.25">
      <c r="A705" t="s">
        <v>6</v>
      </c>
      <c r="B705" t="s">
        <v>9</v>
      </c>
      <c r="C705" t="s">
        <v>15</v>
      </c>
      <c r="D705" t="s">
        <v>720</v>
      </c>
      <c r="E705" t="s">
        <v>1636</v>
      </c>
      <c r="F705" t="str">
        <f>HYPERLINK("C:\Users\longueni\Desktop\Chubb produits code\Fiche catalogue\Détection incendie\Détecteur _ socle\VESDA\CAT-CS_04_33-01_Fiche catalogue - VESDA LASER COMPACT.pdf", "Fiche Produit")</f>
        <v>Fiche Produit</v>
      </c>
    </row>
    <row r="706" spans="1:6" x14ac:dyDescent="0.25">
      <c r="A706" t="s">
        <v>6</v>
      </c>
      <c r="B706" t="s">
        <v>9</v>
      </c>
      <c r="C706" t="s">
        <v>15</v>
      </c>
      <c r="D706" t="s">
        <v>721</v>
      </c>
      <c r="E706" t="s">
        <v>1637</v>
      </c>
      <c r="F706" t="str">
        <f>HYPERLINK("C:\Users\longueni\Desktop\Chubb produits code\Fiche catalogue\Détection incendie\Détecteur _ socle\VESDA\CAT-CS_04_82-01_Fiche catalogue - VESDA LASER FOCUS 250.pdf", "Fiche Produit")</f>
        <v>Fiche Produit</v>
      </c>
    </row>
    <row r="707" spans="1:6" x14ac:dyDescent="0.25">
      <c r="A707" t="s">
        <v>6</v>
      </c>
      <c r="B707" t="s">
        <v>9</v>
      </c>
      <c r="C707" t="s">
        <v>15</v>
      </c>
      <c r="D707" t="s">
        <v>722</v>
      </c>
      <c r="E707" t="s">
        <v>1638</v>
      </c>
      <c r="F707" t="str">
        <f>HYPERLINK("C:\Users\longueni\Desktop\Chubb produits code\Fiche catalogue\Détection incendie\Radio\R.Scan+\CAT-027_Fiche catalogue - Gamme radio R.Scan+.pdf", "Fiche Produit")</f>
        <v>Fiche Produit</v>
      </c>
    </row>
    <row r="708" spans="1:6" x14ac:dyDescent="0.25">
      <c r="A708" t="s">
        <v>6</v>
      </c>
      <c r="B708" t="s">
        <v>9</v>
      </c>
      <c r="C708" t="s">
        <v>15</v>
      </c>
      <c r="D708" t="s">
        <v>723</v>
      </c>
      <c r="E708" t="s">
        <v>1639</v>
      </c>
      <c r="F708" t="str">
        <f>HYPERLINK("C:\Users\longueni\Desktop\Chubb produits code\Fiche catalogue\Détection incendie\Interface _ O.I. _ Report _ TRE\INTERFACE\CAT-CS_02_60-02_Fiche catalogue - Interface NIC709-IP3E100C.pdf", "Fiche Produit")</f>
        <v>Fiche Produit</v>
      </c>
    </row>
    <row r="709" spans="1:6" x14ac:dyDescent="0.25">
      <c r="A709" t="s">
        <v>6</v>
      </c>
      <c r="B709" t="s">
        <v>9</v>
      </c>
      <c r="C709" t="s">
        <v>15</v>
      </c>
      <c r="D709" t="s">
        <v>724</v>
      </c>
      <c r="E709" t="s">
        <v>1640</v>
      </c>
      <c r="F709" t="str">
        <f>HYPERLINK("C:\Users\longueni\Desktop\Chubb produits code\Fiche catalogue\Détection incendie\Radio\T4RF\CAT-158_Fiche catalogue - Alarme T4 SECTEUR RF Chubb.pdf", "Fiche Produit")</f>
        <v>Fiche Produit</v>
      </c>
    </row>
    <row r="710" spans="1:6" x14ac:dyDescent="0.25">
      <c r="A710" t="s">
        <v>6</v>
      </c>
      <c r="B710" t="s">
        <v>9</v>
      </c>
      <c r="C710" t="s">
        <v>15</v>
      </c>
      <c r="D710" t="s">
        <v>725</v>
      </c>
      <c r="E710" t="s">
        <v>1640</v>
      </c>
      <c r="F710" t="str">
        <f>HYPERLINK("C:\Users\longueni\Desktop\Chubb produits code\Fiche catalogue\Détection incendie\Radio\T4RF\CAT-158_Fiche catalogue - Alarme T4 SECTEUR RF Chubb.pdf", "Fiche Produit")</f>
        <v>Fiche Produit</v>
      </c>
    </row>
    <row r="711" spans="1:6" x14ac:dyDescent="0.25">
      <c r="A711" t="s">
        <v>6</v>
      </c>
      <c r="B711" t="s">
        <v>9</v>
      </c>
      <c r="C711" t="s">
        <v>15</v>
      </c>
      <c r="D711" t="s">
        <v>726</v>
      </c>
      <c r="E711" t="s">
        <v>1641</v>
      </c>
      <c r="F711" t="str">
        <f>HYPERLINK("C:\Users\longueni\Desktop\Chubb produits code\Fiche catalogue\Détection incendie\Radio\T4RF\CAT-158_Fiche catalogue - Alarme T4 SECTEUR RF Chubb.pdf", "Fiche Produit")</f>
        <v>Fiche Produit</v>
      </c>
    </row>
    <row r="712" spans="1:6" x14ac:dyDescent="0.25">
      <c r="A712" t="s">
        <v>6</v>
      </c>
      <c r="B712" t="s">
        <v>9</v>
      </c>
      <c r="C712" t="s">
        <v>15</v>
      </c>
      <c r="D712" t="s">
        <v>727</v>
      </c>
      <c r="E712" t="s">
        <v>1641</v>
      </c>
      <c r="F712" t="str">
        <f>HYPERLINK("C:\Users\longueni\Desktop\Chubb produits code\Fiche catalogue\Détection incendie\Radio\T4RF\CAT-159_Fiche catalogue - Alarme T4 pile RF Chubb.pdf", "Fiche Produit")</f>
        <v>Fiche Produit</v>
      </c>
    </row>
    <row r="713" spans="1:6" x14ac:dyDescent="0.25">
      <c r="A713" t="s">
        <v>6</v>
      </c>
      <c r="B713" t="s">
        <v>9</v>
      </c>
      <c r="C713" t="s">
        <v>15</v>
      </c>
      <c r="D713" t="s">
        <v>728</v>
      </c>
      <c r="E713" t="s">
        <v>1642</v>
      </c>
      <c r="F713" t="str">
        <f>HYPERLINK("C:\Users\longueni\Desktop\Chubb produits code\Fiche catalogue\Détection incendie\supervision\CAT-171_Fiche catalogue - PC standard W11 64 bits.pdf", "Fiche Produit")</f>
        <v>Fiche Produit</v>
      </c>
    </row>
    <row r="714" spans="1:6" x14ac:dyDescent="0.25">
      <c r="A714" t="s">
        <v>6</v>
      </c>
      <c r="B714" t="s">
        <v>9</v>
      </c>
      <c r="C714" t="s">
        <v>15</v>
      </c>
      <c r="D714" t="s">
        <v>729</v>
      </c>
      <c r="E714" t="s">
        <v>1643</v>
      </c>
      <c r="F714" t="str">
        <f>HYPERLINK("C:\Users\longueni\Desktop\Chubb produits code\Fiche catalogue\Détection incendie\Détecteur _ socle\OSID\CAT-018_Fiche catalogue - Détecteur de fumée - OSID.pdf", "Fiche Produit")</f>
        <v>Fiche Produit</v>
      </c>
    </row>
    <row r="715" spans="1:6" x14ac:dyDescent="0.25">
      <c r="A715" t="s">
        <v>6</v>
      </c>
      <c r="B715" t="s">
        <v>9</v>
      </c>
      <c r="C715" t="s">
        <v>15</v>
      </c>
      <c r="D715" t="s">
        <v>730</v>
      </c>
      <c r="E715" t="s">
        <v>1644</v>
      </c>
      <c r="F715" t="str">
        <f>HYPERLINK("C:\Users\longueni\Desktop\Chubb produits code\Fiche catalogue\Détection incendie\Détecteur _ socle\OSID\CAT-018_Fiche catalogue - Détecteur de fumée - OSID.pdf", "Fiche Produit")</f>
        <v>Fiche Produit</v>
      </c>
    </row>
    <row r="716" spans="1:6" x14ac:dyDescent="0.25">
      <c r="A716" t="s">
        <v>6</v>
      </c>
      <c r="B716" t="s">
        <v>9</v>
      </c>
      <c r="C716" t="s">
        <v>15</v>
      </c>
      <c r="D716" t="s">
        <v>731</v>
      </c>
      <c r="E716" t="s">
        <v>1644</v>
      </c>
      <c r="F716" t="str">
        <f>HYPERLINK("C:\Users\longueni\Desktop\Chubb produits code\Fiche catalogue\Détection incendie\Détecteur _ socle\OSID\CAT-018_Fiche catalogue - Détecteur de fumée - OSID.pdf", "Fiche Produit")</f>
        <v>Fiche Produit</v>
      </c>
    </row>
    <row r="717" spans="1:6" x14ac:dyDescent="0.25">
      <c r="A717" t="s">
        <v>6</v>
      </c>
      <c r="B717" t="s">
        <v>9</v>
      </c>
      <c r="C717" t="s">
        <v>15</v>
      </c>
      <c r="D717" t="s">
        <v>732</v>
      </c>
      <c r="E717" t="s">
        <v>1645</v>
      </c>
      <c r="F717" t="str">
        <f t="shared" ref="F717:F727" si="10">HYPERLINK("C:\Users\longueni\Desktop\Chubb produits code\Fiche catalogue\CAT-229_Fiche catalogue - Etiquettes activité Extinction automatique.pdf", "Fiche Produit")</f>
        <v>Fiche Produit</v>
      </c>
    </row>
    <row r="718" spans="1:6" x14ac:dyDescent="0.25">
      <c r="A718" t="s">
        <v>6</v>
      </c>
      <c r="B718" t="s">
        <v>9</v>
      </c>
      <c r="C718" t="s">
        <v>15</v>
      </c>
      <c r="D718" t="s">
        <v>733</v>
      </c>
      <c r="E718" t="s">
        <v>1646</v>
      </c>
      <c r="F718" t="str">
        <f t="shared" si="10"/>
        <v>Fiche Produit</v>
      </c>
    </row>
    <row r="719" spans="1:6" x14ac:dyDescent="0.25">
      <c r="A719" t="s">
        <v>6</v>
      </c>
      <c r="B719" t="s">
        <v>9</v>
      </c>
      <c r="C719" t="s">
        <v>15</v>
      </c>
      <c r="D719" t="s">
        <v>734</v>
      </c>
      <c r="E719" t="s">
        <v>1647</v>
      </c>
      <c r="F719" t="str">
        <f t="shared" si="10"/>
        <v>Fiche Produit</v>
      </c>
    </row>
    <row r="720" spans="1:6" x14ac:dyDescent="0.25">
      <c r="A720" t="s">
        <v>6</v>
      </c>
      <c r="B720" t="s">
        <v>9</v>
      </c>
      <c r="C720" t="s">
        <v>15</v>
      </c>
      <c r="D720" t="s">
        <v>735</v>
      </c>
      <c r="E720" t="s">
        <v>1648</v>
      </c>
      <c r="F720" t="str">
        <f t="shared" si="10"/>
        <v>Fiche Produit</v>
      </c>
    </row>
    <row r="721" spans="1:6" x14ac:dyDescent="0.25">
      <c r="A721" t="s">
        <v>6</v>
      </c>
      <c r="B721" t="s">
        <v>9</v>
      </c>
      <c r="C721" t="s">
        <v>15</v>
      </c>
      <c r="D721" t="s">
        <v>736</v>
      </c>
      <c r="E721" t="s">
        <v>1649</v>
      </c>
      <c r="F721" t="str">
        <f t="shared" si="10"/>
        <v>Fiche Produit</v>
      </c>
    </row>
    <row r="722" spans="1:6" x14ac:dyDescent="0.25">
      <c r="A722" t="s">
        <v>6</v>
      </c>
      <c r="B722" t="s">
        <v>9</v>
      </c>
      <c r="C722" t="s">
        <v>15</v>
      </c>
      <c r="D722" t="s">
        <v>737</v>
      </c>
      <c r="E722" t="s">
        <v>1650</v>
      </c>
      <c r="F722" t="str">
        <f t="shared" si="10"/>
        <v>Fiche Produit</v>
      </c>
    </row>
    <row r="723" spans="1:6" x14ac:dyDescent="0.25">
      <c r="A723" t="s">
        <v>6</v>
      </c>
      <c r="B723" t="s">
        <v>9</v>
      </c>
      <c r="C723" t="s">
        <v>15</v>
      </c>
      <c r="D723" t="s">
        <v>738</v>
      </c>
      <c r="E723" t="s">
        <v>1651</v>
      </c>
      <c r="F723" t="str">
        <f t="shared" si="10"/>
        <v>Fiche Produit</v>
      </c>
    </row>
    <row r="724" spans="1:6" x14ac:dyDescent="0.25">
      <c r="A724" t="s">
        <v>6</v>
      </c>
      <c r="B724" t="s">
        <v>9</v>
      </c>
      <c r="C724" t="s">
        <v>15</v>
      </c>
      <c r="D724" t="s">
        <v>739</v>
      </c>
      <c r="E724" t="s">
        <v>1652</v>
      </c>
      <c r="F724" t="str">
        <f t="shared" si="10"/>
        <v>Fiche Produit</v>
      </c>
    </row>
    <row r="725" spans="1:6" x14ac:dyDescent="0.25">
      <c r="A725" t="s">
        <v>6</v>
      </c>
      <c r="B725" t="s">
        <v>9</v>
      </c>
      <c r="C725" t="s">
        <v>15</v>
      </c>
      <c r="D725" t="s">
        <v>740</v>
      </c>
      <c r="E725" t="s">
        <v>1653</v>
      </c>
      <c r="F725" t="str">
        <f t="shared" si="10"/>
        <v>Fiche Produit</v>
      </c>
    </row>
    <row r="726" spans="1:6" x14ac:dyDescent="0.25">
      <c r="A726" t="s">
        <v>6</v>
      </c>
      <c r="B726" t="s">
        <v>9</v>
      </c>
      <c r="C726" t="s">
        <v>15</v>
      </c>
      <c r="D726" t="s">
        <v>741</v>
      </c>
      <c r="E726" t="s">
        <v>1654</v>
      </c>
      <c r="F726" t="str">
        <f t="shared" si="10"/>
        <v>Fiche Produit</v>
      </c>
    </row>
    <row r="727" spans="1:6" x14ac:dyDescent="0.25">
      <c r="A727" t="s">
        <v>6</v>
      </c>
      <c r="B727" t="s">
        <v>9</v>
      </c>
      <c r="C727" t="s">
        <v>15</v>
      </c>
      <c r="D727" t="s">
        <v>742</v>
      </c>
      <c r="E727" t="s">
        <v>1655</v>
      </c>
      <c r="F727" t="str">
        <f t="shared" si="10"/>
        <v>Fiche Produit</v>
      </c>
    </row>
    <row r="728" spans="1:6" x14ac:dyDescent="0.25">
      <c r="A728" t="s">
        <v>6</v>
      </c>
      <c r="B728" t="s">
        <v>9</v>
      </c>
      <c r="C728" t="s">
        <v>16</v>
      </c>
      <c r="D728" t="s">
        <v>743</v>
      </c>
      <c r="E728" t="s">
        <v>1656</v>
      </c>
      <c r="F728" t="str">
        <f>HYPERLINK("C:\Users\longueni\Desktop\Chubb produits code\Fiche catalogue\Détection incendie\Interface _ O.I. _ Report _ TRE\M503ME\CAT-CS_05_15-01_Fiche catalogue - M503ME.pdf", "Fiche Produit")</f>
        <v>Fiche Produit</v>
      </c>
    </row>
    <row r="729" spans="1:6" x14ac:dyDescent="0.25">
      <c r="A729" t="s">
        <v>6</v>
      </c>
      <c r="B729" t="s">
        <v>9</v>
      </c>
      <c r="C729" t="s">
        <v>15</v>
      </c>
      <c r="D729" t="s">
        <v>744</v>
      </c>
      <c r="E729" t="s">
        <v>1657</v>
      </c>
      <c r="F729" t="str">
        <f>HYPERLINK("C:\Users\longueni\Desktop\Chubb produits code\Fiche catalogue\Détection incendie\Centrale\CAT-CS_04_85-01_Fiche catalogue - GAMME RADIO.pdf", "Fiche Produit")</f>
        <v>Fiche Produit</v>
      </c>
    </row>
    <row r="730" spans="1:6" x14ac:dyDescent="0.25">
      <c r="A730" t="s">
        <v>6</v>
      </c>
      <c r="B730" t="s">
        <v>9</v>
      </c>
      <c r="C730" t="s">
        <v>15</v>
      </c>
      <c r="D730" t="s">
        <v>745</v>
      </c>
      <c r="E730" t="s">
        <v>1658</v>
      </c>
      <c r="F730" t="str">
        <f>HYPERLINK("C:\Users\longueni\Desktop\Chubb produits code\Fiche catalogue\Détection incendie\Détecteur _ socle\I.Scan _ I.Scan+\CAT-CS_04_71-01_Fiche catalogue - I.Scan M.pdf", "Fiche Produit")</f>
        <v>Fiche Produit</v>
      </c>
    </row>
    <row r="731" spans="1:6" x14ac:dyDescent="0.25">
      <c r="A731" t="s">
        <v>6</v>
      </c>
      <c r="B731" t="s">
        <v>9</v>
      </c>
      <c r="C731" t="s">
        <v>15</v>
      </c>
      <c r="D731" t="s">
        <v>746</v>
      </c>
      <c r="E731" t="s">
        <v>1659</v>
      </c>
      <c r="F731" t="str">
        <f>HYPERLINK("C:\Users\longueni\Desktop\Chubb produits code\Fiche catalogue\Détection incendie\Détecteur _ socle\I.Scan _ I.Scan+\CAT-CS_04_74-01_Fiche catalogue - I.Scan TV.pdf", "Fiche Produit")</f>
        <v>Fiche Produit</v>
      </c>
    </row>
    <row r="732" spans="1:6" x14ac:dyDescent="0.25">
      <c r="A732" t="s">
        <v>6</v>
      </c>
      <c r="B732" t="s">
        <v>9</v>
      </c>
      <c r="C732" t="s">
        <v>15</v>
      </c>
      <c r="D732" t="s">
        <v>747</v>
      </c>
      <c r="E732" t="s">
        <v>1660</v>
      </c>
      <c r="F732" t="str">
        <f>HYPERLINK("C:\Users\longueni\Desktop\Chubb produits code\Fiche catalogue\Détection incendie\Détecteur _ socle\I.Scan _ I.Scan+\CAT-CS_04_73-01_Fiche catalogue - I.Scan T.pdf", "Fiche Produit")</f>
        <v>Fiche Produit</v>
      </c>
    </row>
    <row r="733" spans="1:6" x14ac:dyDescent="0.25">
      <c r="A733" t="s">
        <v>6</v>
      </c>
      <c r="B733" t="s">
        <v>9</v>
      </c>
      <c r="C733" t="s">
        <v>15</v>
      </c>
      <c r="D733" t="s">
        <v>748</v>
      </c>
      <c r="E733" t="s">
        <v>1661</v>
      </c>
      <c r="F733" t="str">
        <f>HYPERLINK("C:\Users\longueni\Desktop\Chubb produits code\Fiche catalogue\Détection incendie\Détecteur _ socle\I.Scan _ I.Scan+\CAT-CS_04_70-01_Fiche catalogue - I.Scan I.pdf", "Fiche Produit")</f>
        <v>Fiche Produit</v>
      </c>
    </row>
    <row r="734" spans="1:6" x14ac:dyDescent="0.25">
      <c r="A734" t="s">
        <v>6</v>
      </c>
      <c r="B734" t="s">
        <v>9</v>
      </c>
      <c r="C734" t="s">
        <v>15</v>
      </c>
      <c r="D734" t="s">
        <v>749</v>
      </c>
      <c r="E734" t="s">
        <v>1662</v>
      </c>
      <c r="F734" t="str">
        <f>HYPERLINK("C:\Users\longueni\Desktop\Chubb produits code\Fiche catalogue\Détection incendie\Détecteur _ socle\I.Scan _ I.Scan+\CAT-CS_04_72-01_Fiche catalogue - I.Scan O.pdf", "Fiche Produit")</f>
        <v>Fiche Produit</v>
      </c>
    </row>
    <row r="735" spans="1:6" x14ac:dyDescent="0.25">
      <c r="A735" t="s">
        <v>6</v>
      </c>
      <c r="B735" t="s">
        <v>9</v>
      </c>
      <c r="C735" t="s">
        <v>15</v>
      </c>
      <c r="D735" t="s">
        <v>750</v>
      </c>
      <c r="E735" t="s">
        <v>1663</v>
      </c>
      <c r="F735" t="str">
        <f>HYPERLINK("C:\Users\longueni\Desktop\Chubb produits code\Fiche catalogue\Détection incendie\Détecteur _ socle\C.Scan _ C.Scan+\CAT-CS_04_56-01_Fiche catalogue - C.Scan M.pdf", "Fiche Produit")</f>
        <v>Fiche Produit</v>
      </c>
    </row>
    <row r="736" spans="1:6" x14ac:dyDescent="0.25">
      <c r="A736" t="s">
        <v>6</v>
      </c>
      <c r="B736" t="s">
        <v>9</v>
      </c>
      <c r="C736" t="s">
        <v>15</v>
      </c>
      <c r="D736" t="s">
        <v>751</v>
      </c>
      <c r="E736" t="s">
        <v>1664</v>
      </c>
      <c r="F736" t="str">
        <f>HYPERLINK("C:\Users\longueni\Desktop\Chubb produits code\Fiche catalogue\Détection incendie\Détecteur _ socle\C.Scan _ C.Scan+\CAT-CS_04_58-01_Fiche catalogue - C.Scan TV.pdf", "Fiche Produit")</f>
        <v>Fiche Produit</v>
      </c>
    </row>
    <row r="737" spans="1:6" x14ac:dyDescent="0.25">
      <c r="A737" t="s">
        <v>6</v>
      </c>
      <c r="B737" t="s">
        <v>9</v>
      </c>
      <c r="C737" t="s">
        <v>15</v>
      </c>
      <c r="D737" t="s">
        <v>752</v>
      </c>
      <c r="E737" t="s">
        <v>1665</v>
      </c>
      <c r="F737" t="str">
        <f>HYPERLINK("C:\Users\longueni\Desktop\Chubb produits code\Fiche catalogue\Détection incendie\Détecteur _ socle\C.Scan _ C.Scan+\CAT-CS_04_59-01_Fiche catalogue - C.Scan T.pdf", "Fiche Produit")</f>
        <v>Fiche Produit</v>
      </c>
    </row>
    <row r="738" spans="1:6" x14ac:dyDescent="0.25">
      <c r="A738" t="s">
        <v>6</v>
      </c>
      <c r="B738" t="s">
        <v>9</v>
      </c>
      <c r="C738" t="s">
        <v>15</v>
      </c>
      <c r="D738" t="s">
        <v>753</v>
      </c>
      <c r="E738" t="s">
        <v>1666</v>
      </c>
      <c r="F738" t="str">
        <f>HYPERLINK("C:\Users\longueni\Desktop\Chubb produits code\Fiche catalogue\Détection incendie\Détecteur _ socle\C.Scan _ C.Scan+\CAT-CS_04_57-01_Fiche catalogue - C.Scan O.pdf", "Fiche Produit")</f>
        <v>Fiche Produit</v>
      </c>
    </row>
    <row r="739" spans="1:6" x14ac:dyDescent="0.25">
      <c r="A739" t="s">
        <v>6</v>
      </c>
      <c r="B739" t="s">
        <v>9</v>
      </c>
      <c r="C739" t="s">
        <v>15</v>
      </c>
      <c r="D739" t="s">
        <v>754</v>
      </c>
      <c r="E739" t="s">
        <v>1667</v>
      </c>
      <c r="F739" t="str">
        <f>HYPERLINK("C:\Users\longueni\Desktop\Chubb produits code\Fiche catalogue\Détection incendie\Centrale\CAT-CS_04_85-01_Fiche catalogue - GAMME RADIO.pdf", "Fiche Produit")</f>
        <v>Fiche Produit</v>
      </c>
    </row>
    <row r="740" spans="1:6" x14ac:dyDescent="0.25">
      <c r="A740" t="s">
        <v>6</v>
      </c>
      <c r="B740" t="s">
        <v>9</v>
      </c>
      <c r="C740" t="s">
        <v>15</v>
      </c>
      <c r="D740" t="s">
        <v>755</v>
      </c>
      <c r="E740" t="s">
        <v>1668</v>
      </c>
      <c r="F740" t="str">
        <f>HYPERLINK("C:\Users\longueni\Desktop\Chubb produits code\Fiche catalogue\Détection incendie\Déclencheur manuel\MCP3A\CAT-CS_05_23-04_Fiche catalogue - MCP3A-R000SF-A207-04.pdf", "Fiche Produit")</f>
        <v>Fiche Produit</v>
      </c>
    </row>
    <row r="741" spans="1:6" x14ac:dyDescent="0.25">
      <c r="A741" t="s">
        <v>6</v>
      </c>
      <c r="B741" t="s">
        <v>9</v>
      </c>
      <c r="C741" t="s">
        <v>15</v>
      </c>
      <c r="D741" t="s">
        <v>756</v>
      </c>
      <c r="E741" t="s">
        <v>1668</v>
      </c>
      <c r="F741" t="str">
        <f>HYPERLINK("C:\Users\longueni\Desktop\Chubb produits code\Fiche catalogue\Détection incendie\Déclencheur manuel\MCP3A\CAT-CS_05_23-03_Fiche catalogue - MCP3A-R000SF-A207-03.pdf", "Fiche Produit")</f>
        <v>Fiche Produit</v>
      </c>
    </row>
    <row r="742" spans="1:6" x14ac:dyDescent="0.25">
      <c r="A742" t="s">
        <v>6</v>
      </c>
      <c r="B742" t="s">
        <v>9</v>
      </c>
      <c r="C742" t="s">
        <v>15</v>
      </c>
      <c r="D742" t="s">
        <v>757</v>
      </c>
      <c r="E742" t="s">
        <v>1669</v>
      </c>
      <c r="F742" t="str">
        <f>HYPERLINK("C:\Users\longueni\Desktop\Chubb produits code\Fiche catalogue\Détection incendie\Centrale\CAT-CS_01_58-01_Fiche catalogue - UAC DIRECTE.pdf", "Fiche Produit")</f>
        <v>Fiche Produit</v>
      </c>
    </row>
    <row r="743" spans="1:6" x14ac:dyDescent="0.25">
      <c r="A743" t="s">
        <v>6</v>
      </c>
      <c r="B743" t="s">
        <v>9</v>
      </c>
      <c r="C743" t="s">
        <v>15</v>
      </c>
      <c r="D743" t="s">
        <v>758</v>
      </c>
      <c r="E743" t="s">
        <v>1670</v>
      </c>
      <c r="F743" t="str">
        <f>HYPERLINK("C:\Users\longueni\Desktop\Chubb produits code\Fiche catalogue\Détection incendie\Interface _ O.I. _ Report _ TRE\INTERFACE\CAT-CS_02_48-01_Fiche catalogue - ROUTEUR L-SWITCH.pdf", "Fiche Produit")</f>
        <v>Fiche Produit</v>
      </c>
    </row>
    <row r="744" spans="1:6" x14ac:dyDescent="0.25">
      <c r="A744" t="s">
        <v>6</v>
      </c>
      <c r="B744" t="s">
        <v>9</v>
      </c>
      <c r="C744" t="s">
        <v>15</v>
      </c>
      <c r="D744" t="s">
        <v>759</v>
      </c>
      <c r="E744" t="s">
        <v>1671</v>
      </c>
      <c r="F744" t="str">
        <f>HYPERLINK("C:\Users\longueni\Desktop\Chubb produits code\Fiche catalogue\Détection incendie\Dispositif sonore _ lumineux\CAT-CS_07_24-02_Fiche catalogue - SONOS DL DC.pdf", "Fiche Produit")</f>
        <v>Fiche Produit</v>
      </c>
    </row>
    <row r="745" spans="1:6" x14ac:dyDescent="0.25">
      <c r="A745" t="s">
        <v>6</v>
      </c>
      <c r="B745" t="s">
        <v>9</v>
      </c>
      <c r="C745" t="s">
        <v>15</v>
      </c>
      <c r="D745" t="s">
        <v>760</v>
      </c>
      <c r="E745" t="s">
        <v>1672</v>
      </c>
      <c r="F745" t="str">
        <f>HYPERLINK("C:\Users\longueni\Desktop\Chubb produits code\Fiche catalogue\Détection incendie\Dispositif sonore _ lumineux\CAT-CS_07_25-02_Fiche catalogue - NEXUS DL DC.pdf", "Fiche Produit")</f>
        <v>Fiche Produit</v>
      </c>
    </row>
    <row r="746" spans="1:6" x14ac:dyDescent="0.25">
      <c r="A746" t="s">
        <v>6</v>
      </c>
      <c r="B746" t="s">
        <v>9</v>
      </c>
      <c r="C746" t="s">
        <v>15</v>
      </c>
      <c r="D746" t="s">
        <v>761</v>
      </c>
      <c r="E746" t="s">
        <v>1673</v>
      </c>
      <c r="F746" t="str">
        <f>HYPERLINK("C:\Users\longueni\Desktop\Chubb produits code\Fiche catalogue\Détection incendie\supervision\CAT-CS_02_59-02_Fiche catalogue - TERMINAL.COM FAD.pdf", "Fiche Produit")</f>
        <v>Fiche Produit</v>
      </c>
    </row>
    <row r="747" spans="1:6" x14ac:dyDescent="0.25">
      <c r="A747" t="s">
        <v>6</v>
      </c>
      <c r="B747" t="s">
        <v>9</v>
      </c>
      <c r="C747" t="s">
        <v>15</v>
      </c>
      <c r="D747" t="s">
        <v>762</v>
      </c>
      <c r="E747" t="s">
        <v>1674</v>
      </c>
      <c r="F747" t="str">
        <f>HYPERLINK("C:\Users\longueni\Desktop\Chubb produits code\Fiche catalogue\Détection incendie\Accessoires_outils\CAT-058_Fiche catalogue - Kit Filtre Déport Lon LPT_MD8V.pdf", "Fiche Produit")</f>
        <v>Fiche Produit</v>
      </c>
    </row>
    <row r="748" spans="1:6" x14ac:dyDescent="0.25">
      <c r="A748" t="s">
        <v>6</v>
      </c>
      <c r="B748" t="s">
        <v>9</v>
      </c>
      <c r="C748" t="s">
        <v>15</v>
      </c>
      <c r="D748" t="s">
        <v>763</v>
      </c>
      <c r="E748" t="s">
        <v>1675</v>
      </c>
      <c r="F748" t="str">
        <f>HYPERLINK("C:\Users\longueni\Desktop\Chubb produits code\Fiche catalogue\Détection incendie\DAS_DAC\CAT-124_Fiche catalogue - Maintien magnétique 48V Rupture 50KG Antivandalisme.PDF", "Fiche Produit")</f>
        <v>Fiche Produit</v>
      </c>
    </row>
    <row r="749" spans="1:6" x14ac:dyDescent="0.25">
      <c r="A749" t="s">
        <v>6</v>
      </c>
      <c r="B749" t="s">
        <v>9</v>
      </c>
      <c r="C749" t="s">
        <v>15</v>
      </c>
      <c r="D749" t="s">
        <v>764</v>
      </c>
      <c r="E749" t="s">
        <v>1675</v>
      </c>
      <c r="F749" t="str">
        <f>HYPERLINK("C:\Users\longueni\Desktop\Chubb produits code\Fiche catalogue\Détection incendie\DAS_DAC\CAT-123_Fiche catalogue - Maintien magnétique 24V Rupture 50KG Antivandalisme.PDF", "Fiche Produit")</f>
        <v>Fiche Produit</v>
      </c>
    </row>
    <row r="750" spans="1:6" x14ac:dyDescent="0.25">
      <c r="A750" t="s">
        <v>6</v>
      </c>
      <c r="B750" t="s">
        <v>9</v>
      </c>
      <c r="C750" t="s">
        <v>15</v>
      </c>
      <c r="D750" t="s">
        <v>765</v>
      </c>
      <c r="E750" t="s">
        <v>1676</v>
      </c>
      <c r="F750" t="str">
        <f>HYPERLINK("C:\Users\longueni\Desktop\Chubb produits code\Fiche catalogue\Détection incendie\Transmetteur\CAT-161_Fiche catalogue - Transmetteur ATS1500A-IP-MM.pdf", "Fiche Produit")</f>
        <v>Fiche Produit</v>
      </c>
    </row>
    <row r="751" spans="1:6" x14ac:dyDescent="0.25">
      <c r="A751" t="s">
        <v>6</v>
      </c>
      <c r="B751" t="s">
        <v>9</v>
      </c>
      <c r="C751" t="s">
        <v>15</v>
      </c>
      <c r="D751" t="s">
        <v>766</v>
      </c>
      <c r="E751" t="s">
        <v>1677</v>
      </c>
      <c r="F751" t="str">
        <f>HYPERLINK("C:\Users\longueni\Desktop\Chubb produits code\Fiche catalogue\Détection incendie\Centrale\UTH.Pack\CAT-CS_01_84-01_Fiche catalogue - UTH.Pack.pdf", "Fiche Produit")</f>
        <v>Fiche Produit</v>
      </c>
    </row>
    <row r="752" spans="1:6" x14ac:dyDescent="0.25">
      <c r="A752" t="s">
        <v>6</v>
      </c>
      <c r="B752" t="s">
        <v>9</v>
      </c>
      <c r="C752" t="s">
        <v>15</v>
      </c>
      <c r="D752" t="s">
        <v>767</v>
      </c>
      <c r="E752" t="s">
        <v>1678</v>
      </c>
      <c r="F752" t="str">
        <f>HYPERLINK("C:\Users\longueni\Desktop\Chubb produits code\Fiche catalogue\Détection incendie\Dispositif sonore _ lumineux\CAT-086_Fiche catalogue - SONOS Pulse DL DC.pdf", "Fiche Produit")</f>
        <v>Fiche Produit</v>
      </c>
    </row>
    <row r="753" spans="1:6" x14ac:dyDescent="0.25">
      <c r="A753" t="s">
        <v>6</v>
      </c>
      <c r="B753" t="s">
        <v>9</v>
      </c>
      <c r="C753" t="s">
        <v>15</v>
      </c>
      <c r="D753" t="s">
        <v>768</v>
      </c>
      <c r="E753" t="s">
        <v>1678</v>
      </c>
      <c r="F753" t="str">
        <f>HYPERLINK("C:\Users\longueni\Desktop\Chubb produits code\Fiche catalogue\Détection incendie\Dispositif sonore_lumineux\CAT-235_Fiche catalogue - SOCLES SQG3 DS - DS DL Rouge - DS DL blanc.pdf", "Fiche Produit")</f>
        <v>Fiche Produit</v>
      </c>
    </row>
    <row r="754" spans="1:6" x14ac:dyDescent="0.25">
      <c r="A754" t="s">
        <v>6</v>
      </c>
      <c r="B754" t="s">
        <v>9</v>
      </c>
      <c r="C754" t="s">
        <v>15</v>
      </c>
      <c r="D754" t="s">
        <v>769</v>
      </c>
      <c r="E754" t="s">
        <v>1678</v>
      </c>
      <c r="F754" t="str">
        <f>HYPERLINK("C:\Users\longueni\Desktop\Chubb produits code\Fiche catalogue\Détection incendie\Dispositif sonore_lumineux\CAT-235_Fiche catalogue - SOCLES SQG3 DS - DS DL Rouge - DS DL blanc.pdf", "Fiche Produit")</f>
        <v>Fiche Produit</v>
      </c>
    </row>
    <row r="755" spans="1:6" x14ac:dyDescent="0.25">
      <c r="A755" t="s">
        <v>6</v>
      </c>
      <c r="B755" t="s">
        <v>9</v>
      </c>
      <c r="C755" t="s">
        <v>15</v>
      </c>
      <c r="D755" t="s">
        <v>770</v>
      </c>
      <c r="E755" t="s">
        <v>1679</v>
      </c>
      <c r="F755" t="str">
        <f>HYPERLINK("C:\Users\longueni\Desktop\Chubb produits code\Fiche catalogue\Détection incendie\Dispositif sonore _ lumineux\CAT-032_Fiche catalogue - Sirène DSDL ROLP VAD.pdf", "Fiche Produit")</f>
        <v>Fiche Produit</v>
      </c>
    </row>
    <row r="756" spans="1:6" x14ac:dyDescent="0.25">
      <c r="A756" t="s">
        <v>6</v>
      </c>
      <c r="B756" t="s">
        <v>9</v>
      </c>
      <c r="C756" t="s">
        <v>15</v>
      </c>
      <c r="D756" t="s">
        <v>771</v>
      </c>
      <c r="E756" t="s">
        <v>1679</v>
      </c>
      <c r="F756" t="str">
        <f>HYPERLINK("C:\Users\longueni\Desktop\Chubb produits code\Fiche catalogue\Détection incendie\Dispositif sonore _ lumineux\CAT-031_Fiche catalogue - Sirène DS ROLP AB.pdf", "Fiche Produit")</f>
        <v>Fiche Produit</v>
      </c>
    </row>
    <row r="757" spans="1:6" x14ac:dyDescent="0.25">
      <c r="A757" t="s">
        <v>6</v>
      </c>
      <c r="B757" t="s">
        <v>9</v>
      </c>
      <c r="C757" t="s">
        <v>15</v>
      </c>
      <c r="D757" t="s">
        <v>772</v>
      </c>
      <c r="E757" t="s">
        <v>1680</v>
      </c>
      <c r="F757" t="str">
        <f>HYPERLINK("C:\Users\longueni\Desktop\Chubb produits code\Fiche catalogue\Détection incendie\Dispositif sonore _ lumineux\CAT-087_Fiche catalogue - SONOS Pulse DL.pdf", "Fiche Produit")</f>
        <v>Fiche Produit</v>
      </c>
    </row>
    <row r="758" spans="1:6" x14ac:dyDescent="0.25">
      <c r="A758" t="s">
        <v>6</v>
      </c>
      <c r="B758" t="s">
        <v>9</v>
      </c>
      <c r="C758" t="s">
        <v>15</v>
      </c>
      <c r="D758" t="s">
        <v>773</v>
      </c>
      <c r="E758" t="s">
        <v>1681</v>
      </c>
      <c r="F758" t="str">
        <f>HYPERLINK("C:\Users\longueni\Desktop\Chubb produits code\Fiche catalogue\Détection incendie\Dispositif sonore _ lumineux\SON'ECLA\CAT-CS_07_08-02_Fiche catalogue - SON'ECLA TYPE 4 V PILE.pdf", "Fiche Produit")</f>
        <v>Fiche Produit</v>
      </c>
    </row>
    <row r="759" spans="1:6" x14ac:dyDescent="0.25">
      <c r="A759" t="s">
        <v>6</v>
      </c>
      <c r="B759" t="s">
        <v>9</v>
      </c>
      <c r="C759" t="s">
        <v>15</v>
      </c>
      <c r="D759" t="s">
        <v>774</v>
      </c>
      <c r="E759" t="s">
        <v>1682</v>
      </c>
      <c r="F759" t="str">
        <f>HYPERLINK("C:\Users\longueni\Desktop\Chubb produits code\Fiche catalogue\Détection incendie\Interface _ O.I. _ Report _ TRE\INTERFACE\CAT-CS_02_49-01_Fiche catalogue - ROUTEUR Lon LIP-3ECTC - LIP-3333ECTC.pdf", "Fiche Produit")</f>
        <v>Fiche Produit</v>
      </c>
    </row>
    <row r="760" spans="1:6" x14ac:dyDescent="0.25">
      <c r="A760" t="s">
        <v>6</v>
      </c>
      <c r="B760" t="s">
        <v>9</v>
      </c>
      <c r="C760" t="s">
        <v>15</v>
      </c>
      <c r="D760" t="s">
        <v>775</v>
      </c>
      <c r="E760" t="s">
        <v>1683</v>
      </c>
      <c r="F760" t="str">
        <f>HYPERLINK("C:\Users\longueni\Desktop\Chubb produits code\Fiche catalogue\Détection incendie\Dispositif sonore _ lumineux\CAT-CS_07_20-01_Fiche catalogue - Diffuseur SECURIVOC STE 510.pdf", "Fiche Produit")</f>
        <v>Fiche Produit</v>
      </c>
    </row>
    <row r="761" spans="1:6" x14ac:dyDescent="0.25">
      <c r="A761" t="s">
        <v>6</v>
      </c>
      <c r="B761" t="s">
        <v>9</v>
      </c>
      <c r="C761" t="s">
        <v>15</v>
      </c>
      <c r="D761" t="s">
        <v>776</v>
      </c>
      <c r="E761" t="s">
        <v>1684</v>
      </c>
      <c r="F761" t="str">
        <f>HYPERLINK("C:\Users\longueni\Desktop\Chubb produits code\Fiche catalogue\Détection incendie\Détecteur _ socle\CAT-CS_04_103-01_Fiche catalogue - IR² ATEX 16511.pdf", "Fiche Produit")</f>
        <v>Fiche Produit</v>
      </c>
    </row>
    <row r="762" spans="1:6" x14ac:dyDescent="0.25">
      <c r="A762" t="s">
        <v>6</v>
      </c>
      <c r="B762" t="s">
        <v>9</v>
      </c>
      <c r="C762" t="s">
        <v>15</v>
      </c>
      <c r="D762" t="s">
        <v>777</v>
      </c>
      <c r="E762" t="s">
        <v>1685</v>
      </c>
      <c r="F762" t="str">
        <f>HYPERLINK("C:\Users\longueni\Desktop\Chubb produits code\Fiche catalogue\Détection incendie\Accessoires_outils\CAT-139_Fiche catalogue - Valise Test I.Scan+.pdf", "Fiche Produit")</f>
        <v>Fiche Produit</v>
      </c>
    </row>
    <row r="763" spans="1:6" x14ac:dyDescent="0.25">
      <c r="A763" t="s">
        <v>6</v>
      </c>
      <c r="B763" t="s">
        <v>9</v>
      </c>
      <c r="C763" t="s">
        <v>15</v>
      </c>
      <c r="D763" t="s">
        <v>778</v>
      </c>
      <c r="E763" t="s">
        <v>1686</v>
      </c>
      <c r="F763" t="str">
        <f>HYPERLINK("C:\Users\longueni\Desktop\Chubb produits code\Fiche catalogue\Détection incendie\Interface _ O.I. _ Report _ TRE\INTERFACE\CAT-CS_02_63-02_Fiche catalogue - CONVERTISSEUR LON_FO LRW-100.pdf", "Fiche Produit")</f>
        <v>Fiche Produit</v>
      </c>
    </row>
    <row r="764" spans="1:6" x14ac:dyDescent="0.25">
      <c r="A764" t="s">
        <v>6</v>
      </c>
      <c r="B764" t="s">
        <v>9</v>
      </c>
      <c r="C764" t="s">
        <v>15</v>
      </c>
      <c r="D764" t="s">
        <v>779</v>
      </c>
      <c r="E764" t="s">
        <v>1687</v>
      </c>
      <c r="F764" t="str">
        <f>HYPERLINK("C:\Users\longueni\Desktop\Chubb produits code\Fiche catalogue\Extinction\Déclencheur manuel\CAT-108_Fiche catalogue - EMISSION SECONDAIRE - 10076.pdf", "Fiche Produit")</f>
        <v>Fiche Produit</v>
      </c>
    </row>
    <row r="765" spans="1:6" x14ac:dyDescent="0.25">
      <c r="A765" t="s">
        <v>6</v>
      </c>
      <c r="B765" t="s">
        <v>9</v>
      </c>
      <c r="C765" t="s">
        <v>15</v>
      </c>
      <c r="D765" t="s">
        <v>780</v>
      </c>
      <c r="E765" t="s">
        <v>1688</v>
      </c>
      <c r="F765" t="str">
        <f>HYPERLINK("C:\Users\longueni\Desktop\Chubb produits code\CTLG-9001639_Catalogue - Produits et Systèmes CHUBB.pdf", "Fiche Produit")</f>
        <v>Fiche Produit</v>
      </c>
    </row>
    <row r="766" spans="1:6" x14ac:dyDescent="0.25">
      <c r="A766" t="s">
        <v>6</v>
      </c>
      <c r="B766" t="s">
        <v>9</v>
      </c>
      <c r="C766" t="s">
        <v>15</v>
      </c>
      <c r="D766" t="s">
        <v>781</v>
      </c>
      <c r="E766" t="s">
        <v>1689</v>
      </c>
      <c r="F766" t="str">
        <f>HYPERLINK("C:\Users\longueni\Desktop\Chubb produits code\Fiche catalogue\Détection incendie\DAS_DAC\CAT-118_Fiche catalogue - Maintien magnétique 48V Emission 20KG.pdf", "Fiche Produit")</f>
        <v>Fiche Produit</v>
      </c>
    </row>
    <row r="767" spans="1:6" x14ac:dyDescent="0.25">
      <c r="A767" t="s">
        <v>6</v>
      </c>
      <c r="B767" t="s">
        <v>9</v>
      </c>
      <c r="C767" t="s">
        <v>15</v>
      </c>
      <c r="D767" t="s">
        <v>782</v>
      </c>
      <c r="E767" t="s">
        <v>1690</v>
      </c>
      <c r="F767" t="str">
        <f>HYPERLINK("C:\Users\longueni\Desktop\Chubb produits code\Fiche catalogue\Détection incendie\DAS_DAC\CAT-122_Fiche catalogue - Maintien magnétique 48V Rupture 50KG.pdf", "Fiche Produit")</f>
        <v>Fiche Produit</v>
      </c>
    </row>
    <row r="768" spans="1:6" x14ac:dyDescent="0.25">
      <c r="A768" t="s">
        <v>6</v>
      </c>
      <c r="B768" t="s">
        <v>9</v>
      </c>
      <c r="C768" t="s">
        <v>15</v>
      </c>
      <c r="D768" t="s">
        <v>783</v>
      </c>
      <c r="E768" t="s">
        <v>1690</v>
      </c>
      <c r="F768" t="str">
        <f>HYPERLINK("C:\Users\longueni\Desktop\Chubb produits code\Fiche catalogue\Détection incendie\DAS_DAC\CAT-115_Fiche catalogue - Maintien magnétique Rupture 20KG.pdf", "Fiche Produit")</f>
        <v>Fiche Produit</v>
      </c>
    </row>
    <row r="769" spans="1:6" x14ac:dyDescent="0.25">
      <c r="A769" t="s">
        <v>6</v>
      </c>
      <c r="B769" t="s">
        <v>9</v>
      </c>
      <c r="C769" t="s">
        <v>15</v>
      </c>
      <c r="D769" t="s">
        <v>784</v>
      </c>
      <c r="E769" t="s">
        <v>1690</v>
      </c>
      <c r="F769" t="str">
        <f>HYPERLINK("C:\Users\longueni\Desktop\Chubb produits code\Fiche catalogue\Détection incendie\DAS_DAC\CAT-121_Fiche catalogue - Maintien magnétique 24V Rupture 50KG.pdf", "Fiche Produit")</f>
        <v>Fiche Produit</v>
      </c>
    </row>
    <row r="770" spans="1:6" x14ac:dyDescent="0.25">
      <c r="A770" t="s">
        <v>6</v>
      </c>
      <c r="B770" t="s">
        <v>9</v>
      </c>
      <c r="C770" t="s">
        <v>15</v>
      </c>
      <c r="D770" t="s">
        <v>785</v>
      </c>
      <c r="E770" t="s">
        <v>1690</v>
      </c>
      <c r="F770" t="str">
        <f>HYPERLINK("C:\Users\longueni\Desktop\Chubb produits code\Fiche catalogue\Détection incendie\DAS_DAC\CAT-117_Fiche catalogue - Maintien magnétique 24V Emission 20KG.pdf", "Fiche Produit")</f>
        <v>Fiche Produit</v>
      </c>
    </row>
    <row r="771" spans="1:6" x14ac:dyDescent="0.25">
      <c r="A771" t="s">
        <v>6</v>
      </c>
      <c r="B771" t="s">
        <v>9</v>
      </c>
      <c r="C771" t="s">
        <v>15</v>
      </c>
      <c r="D771" t="s">
        <v>786</v>
      </c>
      <c r="E771" t="s">
        <v>1690</v>
      </c>
      <c r="F771" t="str">
        <f>HYPERLINK("C:\Users\longueni\Desktop\Chubb produits code\Fiche catalogue\Détection incendie\DAS_DAC\CAT-119_Fiche catalogue - Maintien magnétique 24V Rupture 20KG PA.pdf", "Fiche Produit")</f>
        <v>Fiche Produit</v>
      </c>
    </row>
    <row r="772" spans="1:6" x14ac:dyDescent="0.25">
      <c r="A772" t="s">
        <v>6</v>
      </c>
      <c r="B772" t="s">
        <v>9</v>
      </c>
      <c r="C772" t="s">
        <v>15</v>
      </c>
      <c r="D772" t="s">
        <v>787</v>
      </c>
      <c r="E772" t="s">
        <v>1690</v>
      </c>
      <c r="F772" t="str">
        <f>HYPERLINK("C:\Users\longueni\Desktop\Chubb produits code\Fiche catalogue\Détection incendie\DAS_DAC\CAT-120_Fiche catalogue - Maintien magnétique 48V Rupture 20KG PA.pdf", "Fiche Produit")</f>
        <v>Fiche Produit</v>
      </c>
    </row>
    <row r="773" spans="1:6" x14ac:dyDescent="0.25">
      <c r="A773" t="s">
        <v>6</v>
      </c>
      <c r="B773" t="s">
        <v>9</v>
      </c>
      <c r="C773" t="s">
        <v>15</v>
      </c>
      <c r="D773" t="s">
        <v>788</v>
      </c>
      <c r="E773" t="s">
        <v>1691</v>
      </c>
      <c r="F773" t="str">
        <f>HYPERLINK("C:\Users\longueni\Desktop\Chubb produits code\Fiche catalogue\Détection incendie\Dispositif sonore _ lumineux\CAT-CS_07_02-01_Fiche catalogue - 400A.pdf", "Fiche Produit")</f>
        <v>Fiche Produit</v>
      </c>
    </row>
    <row r="774" spans="1:6" x14ac:dyDescent="0.25">
      <c r="A774" t="s">
        <v>6</v>
      </c>
      <c r="B774" t="s">
        <v>9</v>
      </c>
      <c r="C774" t="s">
        <v>15</v>
      </c>
      <c r="D774" t="s">
        <v>789</v>
      </c>
      <c r="E774" t="s">
        <v>1692</v>
      </c>
      <c r="F774" t="str">
        <f>HYPERLINK("C:\Users\longueni\Desktop\Chubb produits code\Fiche catalogue\Détection incendie\Accessoires_outils\CAT-CS_15_10-01_Fiche catalogue - IMPRIMANTE IPP144.pdf", "Fiche Produit")</f>
        <v>Fiche Produit</v>
      </c>
    </row>
    <row r="775" spans="1:6" x14ac:dyDescent="0.25">
      <c r="A775" t="s">
        <v>6</v>
      </c>
      <c r="B775" t="s">
        <v>9</v>
      </c>
      <c r="C775" t="s">
        <v>15</v>
      </c>
      <c r="D775" t="s">
        <v>790</v>
      </c>
      <c r="E775" t="s">
        <v>1693</v>
      </c>
      <c r="F775" t="str">
        <f>HYPERLINK("C:\Users\longueni\Desktop\Chubb produits code\Fiche catalogue\Détection incendie\Interface _ O.I. _ Report _ TRE\ICC\CAT-CS_01_72-01_Fiche catalogue - ICC I.Scan.pdf", "Fiche Produit")</f>
        <v>Fiche Produit</v>
      </c>
    </row>
    <row r="776" spans="1:6" x14ac:dyDescent="0.25">
      <c r="A776" t="s">
        <v>6</v>
      </c>
      <c r="B776" t="s">
        <v>9</v>
      </c>
      <c r="C776" t="s">
        <v>15</v>
      </c>
      <c r="D776" t="s">
        <v>791</v>
      </c>
      <c r="E776" t="s">
        <v>1694</v>
      </c>
      <c r="F776" t="str">
        <f>HYPERLINK("C:\Users\longueni\Desktop\Chubb produits code\Fiche catalogue\Détection incendie\Détecteur _ socle\CAT-CS_04_38-01_Fiche catalogue - OLFAR -  OLFAR R.pdf", "Fiche Produit")</f>
        <v>Fiche Produit</v>
      </c>
    </row>
    <row r="777" spans="1:6" x14ac:dyDescent="0.25">
      <c r="A777" t="s">
        <v>6</v>
      </c>
      <c r="B777" t="s">
        <v>9</v>
      </c>
      <c r="C777" t="s">
        <v>15</v>
      </c>
      <c r="D777" t="s">
        <v>792</v>
      </c>
      <c r="E777" t="s">
        <v>1695</v>
      </c>
      <c r="F777" t="str">
        <f>HYPERLINK("C:\Users\longueni\Desktop\Chubb produits code\Fiche catalogue\Détection incendie\Dispositif sonore _ lumineux\SYV_C_T_M_L_CLS B_10-60V\CAT-024_Fiche catalogue - Sirène Symphoni SYV.pdf", "Fiche Produit")</f>
        <v>Fiche Produit</v>
      </c>
    </row>
    <row r="778" spans="1:6" x14ac:dyDescent="0.25">
      <c r="A778" t="s">
        <v>6</v>
      </c>
      <c r="B778" t="s">
        <v>9</v>
      </c>
      <c r="C778" t="s">
        <v>15</v>
      </c>
      <c r="D778" t="s">
        <v>793</v>
      </c>
      <c r="E778" t="s">
        <v>1695</v>
      </c>
      <c r="F778" t="str">
        <f>HYPERLINK("C:\Users\longueni\Desktop\Chubb produits code\Fiche catalogue\Détection incendie\Dispositif sonore _ lumineux\CAT-039_Fiche catalogue - DS DL Me SYV VAD.pdf", "Fiche Produit")</f>
        <v>Fiche Produit</v>
      </c>
    </row>
    <row r="779" spans="1:6" x14ac:dyDescent="0.25">
      <c r="A779" t="s">
        <v>6</v>
      </c>
      <c r="B779" t="s">
        <v>9</v>
      </c>
      <c r="C779" t="s">
        <v>15</v>
      </c>
      <c r="D779" t="s">
        <v>794</v>
      </c>
      <c r="E779" t="s">
        <v>1696</v>
      </c>
      <c r="F779" t="str">
        <f>HYPERLINK("C:\Users\longueni\Desktop\Chubb produits code\Fiche catalogue\Détection incendie\Déclencheur manuel\MCP5A\CAT-CS_05_22-01_Fiche catalogue - MCP5A-RP02SF-A207-01C.pdf", "Fiche Produit")</f>
        <v>Fiche Produit</v>
      </c>
    </row>
    <row r="780" spans="1:6" x14ac:dyDescent="0.25">
      <c r="A780" t="s">
        <v>6</v>
      </c>
      <c r="B780" t="s">
        <v>9</v>
      </c>
      <c r="C780" t="s">
        <v>15</v>
      </c>
      <c r="D780" t="s">
        <v>795</v>
      </c>
      <c r="E780" t="s">
        <v>1696</v>
      </c>
      <c r="F780" t="str">
        <f>HYPERLINK("C:\Users\longueni\Desktop\Chubb produits code\Fiche catalogue\Détection incendie\Déclencheur manuel\MCP2A\CAT-CS_05_29-01_Fiche catalogue - MCP2A-R910SF-A207-01.pdf", "Fiche Produit")</f>
        <v>Fiche Produit</v>
      </c>
    </row>
    <row r="781" spans="1:6" x14ac:dyDescent="0.25">
      <c r="A781" t="s">
        <v>6</v>
      </c>
      <c r="B781" t="s">
        <v>9</v>
      </c>
      <c r="C781" t="s">
        <v>15</v>
      </c>
      <c r="D781" t="s">
        <v>796</v>
      </c>
      <c r="E781" t="s">
        <v>1696</v>
      </c>
      <c r="F781" t="str">
        <f>HYPERLINK("C:\Users\longueni\Desktop\Chubb produits code\Fiche catalogue\Détection incendie\Déclencheur manuel\MCP5A\CAT-CS_05_20-01_Fiche catalogue - MCP5A-RP01SF-A207-01C.pdf", "Fiche Produit")</f>
        <v>Fiche Produit</v>
      </c>
    </row>
    <row r="782" spans="1:6" x14ac:dyDescent="0.25">
      <c r="A782" t="s">
        <v>6</v>
      </c>
      <c r="B782" t="s">
        <v>9</v>
      </c>
      <c r="C782" t="s">
        <v>15</v>
      </c>
      <c r="D782" t="s">
        <v>797</v>
      </c>
      <c r="E782" t="s">
        <v>1696</v>
      </c>
      <c r="F782" t="str">
        <f>HYPERLINK("C:\Users\longueni\Desktop\Chubb produits code\Fiche catalogue\Détection incendie\Déclencheur manuel\MCP2A\CAT-CS_05_30-01_Fiche catalogue - MCP2A-R910SF-A207-01C.pdf", "Fiche Produit")</f>
        <v>Fiche Produit</v>
      </c>
    </row>
    <row r="783" spans="1:6" x14ac:dyDescent="0.25">
      <c r="A783" t="s">
        <v>6</v>
      </c>
      <c r="B783" t="s">
        <v>9</v>
      </c>
      <c r="C783" t="s">
        <v>15</v>
      </c>
      <c r="D783" t="s">
        <v>798</v>
      </c>
      <c r="E783" t="s">
        <v>1696</v>
      </c>
      <c r="F783" t="str">
        <f>HYPERLINK("C:\Users\longueni\Desktop\Chubb produits code\Fiche catalogue\Détection incendie\Déclencheur manuel\MCP5A\CAT-CS_05_21-01_Fiche catalogue - MCP5A-RP02SF-A207-01.pdf", "Fiche Produit")</f>
        <v>Fiche Produit</v>
      </c>
    </row>
    <row r="784" spans="1:6" x14ac:dyDescent="0.25">
      <c r="A784" t="s">
        <v>6</v>
      </c>
      <c r="B784" t="s">
        <v>9</v>
      </c>
      <c r="C784" t="s">
        <v>15</v>
      </c>
      <c r="D784" t="s">
        <v>799</v>
      </c>
      <c r="E784" t="s">
        <v>1696</v>
      </c>
      <c r="F784" t="str">
        <f>HYPERLINK("C:\Users\longueni\Desktop\Chubb produits code\Fiche catalogue\Détection incendie\Déclencheur manuel\MCP5A\CAT-CS_05_19-01_Fiche catalogue - MCP5A-RP01SF-A207-01.pdf", "Fiche Produit")</f>
        <v>Fiche Produit</v>
      </c>
    </row>
    <row r="785" spans="1:6" x14ac:dyDescent="0.25">
      <c r="A785" t="s">
        <v>6</v>
      </c>
      <c r="B785" t="s">
        <v>9</v>
      </c>
      <c r="C785" t="s">
        <v>15</v>
      </c>
      <c r="D785" t="s">
        <v>800</v>
      </c>
      <c r="E785" t="s">
        <v>1696</v>
      </c>
      <c r="F785" t="str">
        <f>HYPERLINK("C:\Users\longueni\Desktop\Chubb produits code\Fiche catalogue\Détection incendie\Déclencheur manuel\MCP1A\CAT-CS_05_27-01_Fiche catalogue - MCP1A-R910SF-A207-01C.pdf", "Fiche Produit")</f>
        <v>Fiche Produit</v>
      </c>
    </row>
    <row r="786" spans="1:6" x14ac:dyDescent="0.25">
      <c r="A786" t="s">
        <v>6</v>
      </c>
      <c r="B786" t="s">
        <v>9</v>
      </c>
      <c r="C786" t="s">
        <v>15</v>
      </c>
      <c r="D786" t="s">
        <v>801</v>
      </c>
      <c r="E786" t="s">
        <v>1696</v>
      </c>
      <c r="F786" t="str">
        <f>HYPERLINK("C:\Users\longueni\Desktop\Chubb produits code\Fiche catalogue\Détection incendie\Déclencheur manuel\MCP1A\CAT-CS_05_26-01_Fiche catalogue - MCP1A-R910SF-A207-01.pdf", "Fiche Produit")</f>
        <v>Fiche Produit</v>
      </c>
    </row>
    <row r="787" spans="1:6" x14ac:dyDescent="0.25">
      <c r="A787" t="s">
        <v>6</v>
      </c>
      <c r="B787" t="s">
        <v>9</v>
      </c>
      <c r="C787" t="s">
        <v>15</v>
      </c>
      <c r="D787" t="s">
        <v>802</v>
      </c>
      <c r="E787" t="s">
        <v>1697</v>
      </c>
      <c r="F787" t="str">
        <f>HYPERLINK("C:\Users\longueni\Desktop\Chubb produits code\Fiche catalogue\Détection incendie\Accessoires_outils\CAT-CS_04_82-03_Fiche catalogue - ACCESSOIRES DÉTECTEURS MULTIPONCTUELS.pdf", "Fiche Produit")</f>
        <v>Fiche Produit</v>
      </c>
    </row>
    <row r="788" spans="1:6" x14ac:dyDescent="0.25">
      <c r="A788" t="s">
        <v>6</v>
      </c>
      <c r="B788" t="s">
        <v>9</v>
      </c>
      <c r="C788" t="s">
        <v>15</v>
      </c>
      <c r="D788" t="s">
        <v>803</v>
      </c>
      <c r="E788" t="s">
        <v>1698</v>
      </c>
      <c r="F788" t="str">
        <f>HYPERLINK("C:\Users\longueni\Desktop\Chubb produits code\Fiche catalogue\Détection incendie\Accessoires_outils\CAT-CS_04_82-03_Fiche catalogue - ACCESSOIRES DÉTECTEURS MULTIPONCTUELS.pdf", "Fiche Produit")</f>
        <v>Fiche Produit</v>
      </c>
    </row>
    <row r="789" spans="1:6" x14ac:dyDescent="0.25">
      <c r="A789" t="s">
        <v>6</v>
      </c>
      <c r="B789" t="s">
        <v>9</v>
      </c>
      <c r="C789" t="s">
        <v>15</v>
      </c>
      <c r="D789" t="s">
        <v>804</v>
      </c>
      <c r="E789" t="s">
        <v>1698</v>
      </c>
      <c r="F789" t="str">
        <f>HYPERLINK("C:\Users\longueni\Desktop\Chubb produits code\Fiche catalogue\Détection incendie\Accessoires_outils\CAT-CS_04_82-03_Fiche catalogue - ACCESSOIRES DÉTECTEURS MULTIPONCTUELS.pdf", "Fiche Produit")</f>
        <v>Fiche Produit</v>
      </c>
    </row>
    <row r="790" spans="1:6" x14ac:dyDescent="0.25">
      <c r="A790" t="s">
        <v>6</v>
      </c>
      <c r="B790" t="s">
        <v>9</v>
      </c>
      <c r="C790" t="s">
        <v>15</v>
      </c>
      <c r="D790" t="s">
        <v>805</v>
      </c>
      <c r="E790" t="s">
        <v>1698</v>
      </c>
      <c r="F790" t="str">
        <f>HYPERLINK("C:\Users\longueni\Desktop\Chubb produits code\Fiche catalogue\Détection incendie\Accessoires_outils\CAT-CS_04_82-03_Fiche catalogue - ACCESSOIRES DÉTECTEURS MULTIPONCTUELS.pdf", "Fiche Produit")</f>
        <v>Fiche Produit</v>
      </c>
    </row>
    <row r="791" spans="1:6" x14ac:dyDescent="0.25">
      <c r="A791" t="s">
        <v>6</v>
      </c>
      <c r="B791" t="s">
        <v>9</v>
      </c>
      <c r="C791" t="s">
        <v>15</v>
      </c>
      <c r="D791" t="s">
        <v>806</v>
      </c>
      <c r="E791" t="s">
        <v>1698</v>
      </c>
      <c r="F791" t="str">
        <f>HYPERLINK("C:\Users\longueni\Desktop\Chubb produits code\Fiche catalogue\Détection incendie\Accessoires_outils\CAT-CS_04_82-03_Fiche catalogue - ACCESSOIRES DÉTECTEURS MULTIPONCTUELS.pdf", "Fiche Produit")</f>
        <v>Fiche Produit</v>
      </c>
    </row>
    <row r="792" spans="1:6" x14ac:dyDescent="0.25">
      <c r="A792" t="s">
        <v>6</v>
      </c>
      <c r="B792" t="s">
        <v>9</v>
      </c>
      <c r="C792" t="s">
        <v>15</v>
      </c>
      <c r="D792" t="s">
        <v>807</v>
      </c>
      <c r="E792" t="s">
        <v>1699</v>
      </c>
      <c r="F792" t="str">
        <f>HYPERLINK("C:\Users\longueni\Desktop\Chubb produits code\Fiche catalogue\Détection incendie\Détecteur _ socle\MODULASER\CAT-164_Fiche catalogue - Détecteur STRATOS Modulaser.pdf", "Fiche Produit")</f>
        <v>Fiche Produit</v>
      </c>
    </row>
    <row r="793" spans="1:6" x14ac:dyDescent="0.25">
      <c r="A793" t="s">
        <v>6</v>
      </c>
      <c r="B793" t="s">
        <v>9</v>
      </c>
      <c r="C793" t="s">
        <v>15</v>
      </c>
      <c r="D793" t="s">
        <v>808</v>
      </c>
      <c r="E793" t="s">
        <v>1700</v>
      </c>
      <c r="F793" t="str">
        <f>HYPERLINK("C:\Users\longueni\Desktop\Chubb produits code\Fiche catalogue\Détection incendie\Accessoires_outils\CAT-CS_04_82-03_Fiche catalogue - ACCESSOIRES DÉTECTEURS MULTIPONCTUELS.pdf", "Fiche Produit")</f>
        <v>Fiche Produit</v>
      </c>
    </row>
    <row r="794" spans="1:6" x14ac:dyDescent="0.25">
      <c r="A794" t="s">
        <v>6</v>
      </c>
      <c r="B794" t="s">
        <v>9</v>
      </c>
      <c r="C794" t="s">
        <v>15</v>
      </c>
      <c r="D794" t="s">
        <v>809</v>
      </c>
      <c r="E794" t="s">
        <v>1701</v>
      </c>
      <c r="F794" t="str">
        <f>HYPERLINK("C:\Users\longueni\Desktop\Chubb produits code\Fiche catalogue\Détection incendie\Interface _ O.I. _ Report _ TRE\ICC\CAT-CS_01_72-01_Fiche catalogue - ICC I.Scan.pdf", "Fiche Produit")</f>
        <v>Fiche Produit</v>
      </c>
    </row>
    <row r="795" spans="1:6" x14ac:dyDescent="0.25">
      <c r="A795" t="s">
        <v>6</v>
      </c>
      <c r="B795" t="s">
        <v>9</v>
      </c>
      <c r="C795" t="s">
        <v>15</v>
      </c>
      <c r="D795" t="s">
        <v>810</v>
      </c>
      <c r="E795" t="s">
        <v>1702</v>
      </c>
      <c r="F795" t="str">
        <f>HYPERLINK("C:\Users\longueni\Desktop\Chubb produits code\Fiche catalogue\Détection incendie\Déclencheur manuel\CAT-CS_05_32-01_Fiche catalogue - WCP5A-RP02SF-A207-01.pdf", "Fiche Produit")</f>
        <v>Fiche Produit</v>
      </c>
    </row>
    <row r="796" spans="1:6" x14ac:dyDescent="0.25">
      <c r="A796" t="s">
        <v>6</v>
      </c>
      <c r="B796" t="s">
        <v>9</v>
      </c>
      <c r="C796" t="s">
        <v>15</v>
      </c>
      <c r="D796" t="s">
        <v>811</v>
      </c>
      <c r="E796" t="s">
        <v>1702</v>
      </c>
      <c r="F796" t="str">
        <f>HYPERLINK("C:\Users\longueni\Desktop\Chubb produits code\Fiche catalogue\Détection incendie\Déclencheur manuel\CAT-CS_05_31-01_Fiche catalogue - WCP5A-RP01SF-A207-01.pdf", "Fiche Produit")</f>
        <v>Fiche Produit</v>
      </c>
    </row>
    <row r="797" spans="1:6" x14ac:dyDescent="0.25">
      <c r="A797" t="s">
        <v>6</v>
      </c>
      <c r="B797" t="s">
        <v>9</v>
      </c>
      <c r="C797" t="s">
        <v>15</v>
      </c>
      <c r="D797" t="s">
        <v>812</v>
      </c>
      <c r="E797" t="s">
        <v>1702</v>
      </c>
      <c r="F797" t="str">
        <f>HYPERLINK("C:\Users\longueni\Desktop\Chubb produits code\Fiche catalogue\Détection incendie\Déclencheur manuel\CAT-CS_05_36-02_Fiche catalogue - WCP2A-R820SF-A207-02C.pdf", "Fiche Produit")</f>
        <v>Fiche Produit</v>
      </c>
    </row>
    <row r="798" spans="1:6" x14ac:dyDescent="0.25">
      <c r="A798" t="s">
        <v>6</v>
      </c>
      <c r="B798" t="s">
        <v>9</v>
      </c>
      <c r="C798" t="s">
        <v>15</v>
      </c>
      <c r="D798" t="s">
        <v>813</v>
      </c>
      <c r="E798" t="s">
        <v>1702</v>
      </c>
      <c r="F798" t="str">
        <f>HYPERLINK("C:\Users\longueni\Desktop\Chubb produits code\Fiche catalogue\Détection incendie\Déclencheur manuel\CAT-CS_05_36-01_Fiche catalogue - WCP2A-R820SF-A207-01C.pdf", "Fiche Produit")</f>
        <v>Fiche Produit</v>
      </c>
    </row>
    <row r="799" spans="1:6" x14ac:dyDescent="0.25">
      <c r="A799" t="s">
        <v>6</v>
      </c>
      <c r="B799" t="s">
        <v>9</v>
      </c>
      <c r="C799" t="s">
        <v>15</v>
      </c>
      <c r="D799" t="s">
        <v>814</v>
      </c>
      <c r="E799" t="s">
        <v>1703</v>
      </c>
      <c r="F799" t="str">
        <f>HYPERLINK("C:\Users\longueni\Desktop\Chubb produits code\Fiche catalogue\Détection incendie\Interface _ O.I. _ Report _ TRE\INTERFACE\CAT-037_Fiche catalogue - EASYLON PCI-E.pdf", "Fiche Produit")</f>
        <v>Fiche Produit</v>
      </c>
    </row>
    <row r="800" spans="1:6" x14ac:dyDescent="0.25">
      <c r="A800" t="s">
        <v>6</v>
      </c>
      <c r="B800" t="s">
        <v>9</v>
      </c>
      <c r="C800" t="s">
        <v>15</v>
      </c>
      <c r="D800" t="s">
        <v>815</v>
      </c>
      <c r="E800" t="s">
        <v>1704</v>
      </c>
      <c r="F800" t="str">
        <f>HYPERLINK("C:\Users\longueni\Desktop\Chubb produits code\Fiche catalogue\Détection incendie\Transmetteur\CAT-161_Fiche catalogue - Transmetteur ATS1500A-IP-MM.pdf", "Fiche Produit")</f>
        <v>Fiche Produit</v>
      </c>
    </row>
    <row r="801" spans="1:6" x14ac:dyDescent="0.25">
      <c r="A801" t="s">
        <v>6</v>
      </c>
      <c r="B801" t="s">
        <v>9</v>
      </c>
      <c r="C801" t="s">
        <v>15</v>
      </c>
      <c r="D801" t="s">
        <v>816</v>
      </c>
      <c r="E801" t="s">
        <v>1705</v>
      </c>
      <c r="F801" t="str">
        <f>HYPERLINK("C:\Users\longueni\Desktop\Chubb produits code\Fiche catalogue\Détection incendie\Accessoires_outils\CAT-CS_04_82-03_Fiche catalogue - ACCESSOIRES DÉTECTEURS MULTIPONCTUELS.pdf", "Fiche Produit")</f>
        <v>Fiche Produit</v>
      </c>
    </row>
    <row r="802" spans="1:6" x14ac:dyDescent="0.25">
      <c r="A802" t="s">
        <v>6</v>
      </c>
      <c r="B802" t="s">
        <v>9</v>
      </c>
      <c r="C802" t="s">
        <v>15</v>
      </c>
      <c r="D802" t="s">
        <v>817</v>
      </c>
      <c r="E802" t="s">
        <v>1706</v>
      </c>
      <c r="F802" t="str">
        <f>HYPERLINK("C:\Users\longueni\Desktop\Chubb produits code\Fiche catalogue\Détection incendie\Accessoires_outils\CAT-CS_04_82-03_Fiche catalogue - ACCESSOIRES DÉTECTEURS MULTIPONCTUELS.pdf", "Fiche Produit")</f>
        <v>Fiche Produit</v>
      </c>
    </row>
    <row r="803" spans="1:6" x14ac:dyDescent="0.25">
      <c r="A803" t="s">
        <v>6</v>
      </c>
      <c r="B803" t="s">
        <v>9</v>
      </c>
      <c r="C803" t="s">
        <v>15</v>
      </c>
      <c r="D803" t="s">
        <v>818</v>
      </c>
      <c r="E803" t="s">
        <v>1707</v>
      </c>
      <c r="F803" t="str">
        <f>HYPERLINK("C:\Users\longueni\Desktop\Chubb produits code\Fiche catalogue\Détection incendie\Accessoires_outils\CAT-CS_04_82-03_Fiche catalogue - ACCESSOIRES DÉTECTEURS MULTIPONCTUELS.pdf", "Fiche Produit")</f>
        <v>Fiche Produit</v>
      </c>
    </row>
    <row r="804" spans="1:6" x14ac:dyDescent="0.25">
      <c r="A804" t="s">
        <v>6</v>
      </c>
      <c r="B804" t="s">
        <v>9</v>
      </c>
      <c r="C804" t="s">
        <v>15</v>
      </c>
      <c r="D804" t="s">
        <v>819</v>
      </c>
      <c r="E804" t="s">
        <v>1708</v>
      </c>
      <c r="F804" t="str">
        <f>HYPERLINK("C:\Users\longueni\Desktop\Chubb produits code\Fiche catalogue\Détection incendie\Dispositif sonore _ lumineux\CAT-CS_07_25-01_Fiche catalogue - NEXUS DC.pdf", "Fiche Produit")</f>
        <v>Fiche Produit</v>
      </c>
    </row>
    <row r="805" spans="1:6" x14ac:dyDescent="0.25">
      <c r="A805" t="s">
        <v>6</v>
      </c>
      <c r="B805" t="s">
        <v>9</v>
      </c>
      <c r="C805" t="s">
        <v>15</v>
      </c>
      <c r="D805" t="s">
        <v>820</v>
      </c>
      <c r="E805" t="s">
        <v>1709</v>
      </c>
      <c r="F805" t="str">
        <f>HYPERLINK("C:\Users\longueni\Desktop\Chubb produits code\Fiche catalogue\Détection incendie\Accessoires_outils\CAT-CS_04_35-01_Fiche catalogue - SMOKE PEN.pdf", "Fiche Produit")</f>
        <v>Fiche Produit</v>
      </c>
    </row>
    <row r="806" spans="1:6" x14ac:dyDescent="0.25">
      <c r="A806" t="s">
        <v>6</v>
      </c>
      <c r="B806" t="s">
        <v>9</v>
      </c>
      <c r="C806" t="s">
        <v>15</v>
      </c>
      <c r="D806" t="s">
        <v>821</v>
      </c>
      <c r="E806" t="s">
        <v>1709</v>
      </c>
      <c r="F806" t="str">
        <f>HYPERLINK("C:\Users\longueni\Desktop\Chubb produits code\Fiche catalogue\Détection incendie\Accessoires_outils\CAT-CS_04_98-01_Fiche catalogue - TESTIFIRE.pdf", "Fiche Produit")</f>
        <v>Fiche Produit</v>
      </c>
    </row>
    <row r="807" spans="1:6" x14ac:dyDescent="0.25">
      <c r="A807" t="s">
        <v>6</v>
      </c>
      <c r="B807" t="s">
        <v>9</v>
      </c>
      <c r="C807" t="s">
        <v>15</v>
      </c>
      <c r="D807" t="s">
        <v>822</v>
      </c>
      <c r="E807" t="s">
        <v>1710</v>
      </c>
      <c r="F807" t="str">
        <f>HYPERLINK("C:\Users\longueni\Desktop\Chubb produits code\Fiche catalogue\Détection incendie\Radio\PPMS\CAT-162_Fiche catalogue - PPMS à Pile RF Chubb.pdf", "Fiche Produit")</f>
        <v>Fiche Produit</v>
      </c>
    </row>
    <row r="808" spans="1:6" x14ac:dyDescent="0.25">
      <c r="A808" t="s">
        <v>6</v>
      </c>
      <c r="B808" t="s">
        <v>9</v>
      </c>
      <c r="C808" t="s">
        <v>15</v>
      </c>
      <c r="D808" t="s">
        <v>823</v>
      </c>
      <c r="E808" t="s">
        <v>1710</v>
      </c>
      <c r="F808" t="str">
        <f>HYPERLINK("C:\Users\longueni\Desktop\Chubb produits code\Fiche catalogue\Détection incendie\Radio\PPMS\CAT-162_Fiche catalogue - PPMS à Pile RF Chubb.pdf", "Fiche Produit")</f>
        <v>Fiche Produit</v>
      </c>
    </row>
    <row r="809" spans="1:6" x14ac:dyDescent="0.25">
      <c r="A809" t="s">
        <v>6</v>
      </c>
      <c r="B809" t="s">
        <v>9</v>
      </c>
      <c r="C809" t="s">
        <v>15</v>
      </c>
      <c r="D809" t="s">
        <v>824</v>
      </c>
      <c r="E809" t="s">
        <v>1711</v>
      </c>
      <c r="F809" t="str">
        <f>HYPERLINK("C:\Users\longueni\Desktop\Chubb produits code\Fiche catalogue\Détection incendie\Détecteur _ socle\CAT-CS_04_38-01_Fiche catalogue - OLFAR -  OLFAR R.pdf", "Fiche Produit")</f>
        <v>Fiche Produit</v>
      </c>
    </row>
    <row r="810" spans="1:6" x14ac:dyDescent="0.25">
      <c r="A810" t="s">
        <v>6</v>
      </c>
      <c r="B810" t="s">
        <v>9</v>
      </c>
      <c r="C810" t="s">
        <v>15</v>
      </c>
      <c r="D810" t="s">
        <v>825</v>
      </c>
      <c r="E810" t="s">
        <v>1712</v>
      </c>
      <c r="F810" t="str">
        <f>HYPERLINK("C:\Users\longueni\Desktop\Chubb produits code\Fiche catalogue\Détection incendie\Détecteur _ socle\CAT-CS_04_38-01_Fiche catalogue - OLFAR -  OLFAR R.pdf", "Fiche Produit")</f>
        <v>Fiche Produit</v>
      </c>
    </row>
    <row r="811" spans="1:6" x14ac:dyDescent="0.25">
      <c r="A811" t="s">
        <v>6</v>
      </c>
      <c r="B811" t="s">
        <v>9</v>
      </c>
      <c r="C811" t="s">
        <v>15</v>
      </c>
      <c r="D811" t="s">
        <v>826</v>
      </c>
      <c r="E811" t="s">
        <v>1713</v>
      </c>
      <c r="F811" t="str">
        <f>HYPERLINK("C:\Users\longueni\Desktop\Chubb produits code\Fiche catalogue\Détection incendie\Interface _ O.I. _ Report _ TRE\ICC\CAT-CS_01_72-03_Fiche catalogue - ICC I.Scan+.pdf", "Fiche Produit")</f>
        <v>Fiche Produit</v>
      </c>
    </row>
    <row r="812" spans="1:6" x14ac:dyDescent="0.25">
      <c r="A812" t="s">
        <v>6</v>
      </c>
      <c r="B812" t="s">
        <v>9</v>
      </c>
      <c r="C812" t="s">
        <v>15</v>
      </c>
      <c r="D812" t="s">
        <v>827</v>
      </c>
      <c r="E812" t="s">
        <v>1714</v>
      </c>
      <c r="F812" t="str">
        <f>HYPERLINK("C:\Users\longueni\Desktop\Chubb produits code\Fiche catalogue\Détection incendie\Détecteur _ socle\CAT-CS_04_101-01_Fiche catalogue - Détecteur de flammes UV -55000-025 APOLLO.pdf", "Fiche Produit")</f>
        <v>Fiche Produit</v>
      </c>
    </row>
    <row r="813" spans="1:6" x14ac:dyDescent="0.25">
      <c r="A813" t="s">
        <v>6</v>
      </c>
      <c r="B813" t="s">
        <v>9</v>
      </c>
      <c r="C813" t="s">
        <v>15</v>
      </c>
      <c r="D813" t="s">
        <v>828</v>
      </c>
      <c r="E813" t="s">
        <v>1715</v>
      </c>
      <c r="F813" t="str">
        <f>HYPERLINK("C:\Users\longueni\Desktop\Chubb produits code\Fiche catalogue\Extinction\Centrale\UTEX.Com\CAT-CS_N_16-01_Fiche catalogue - UTEX Com.pdf", "Fiche Produit")</f>
        <v>Fiche Produit</v>
      </c>
    </row>
    <row r="814" spans="1:6" x14ac:dyDescent="0.25">
      <c r="A814" t="s">
        <v>6</v>
      </c>
      <c r="B814" t="s">
        <v>9</v>
      </c>
      <c r="C814" t="s">
        <v>15</v>
      </c>
      <c r="D814" t="s">
        <v>829</v>
      </c>
      <c r="E814" t="s">
        <v>1716</v>
      </c>
      <c r="F814" t="str">
        <f>HYPERLINK("C:\Users\longueni\Desktop\Chubb produits code\Fiche catalogue\Extinction\Centrale\UTEX.Com\CAT-CS_N_16-01_Fiche catalogue - UTEX Com.pdf", "Fiche Produit")</f>
        <v>Fiche Produit</v>
      </c>
    </row>
    <row r="815" spans="1:6" x14ac:dyDescent="0.25">
      <c r="A815" t="s">
        <v>6</v>
      </c>
      <c r="B815" t="s">
        <v>9</v>
      </c>
      <c r="C815" t="s">
        <v>15</v>
      </c>
      <c r="D815" t="s">
        <v>830</v>
      </c>
      <c r="E815" t="s">
        <v>1717</v>
      </c>
      <c r="F815" t="str">
        <f>HYPERLINK("C:\Users\longueni\Desktop\Chubb produits code\Fiche catalogue\Extinction\Centrale\UTEX.Com\CAT-CS_N_16-01_Fiche catalogue - UTEX Com.pdf", "Fiche Produit")</f>
        <v>Fiche Produit</v>
      </c>
    </row>
    <row r="816" spans="1:6" x14ac:dyDescent="0.25">
      <c r="A816" t="s">
        <v>6</v>
      </c>
      <c r="B816" t="s">
        <v>9</v>
      </c>
      <c r="C816" t="s">
        <v>15</v>
      </c>
      <c r="D816" t="s">
        <v>831</v>
      </c>
      <c r="E816" t="s">
        <v>1718</v>
      </c>
      <c r="F816" t="str">
        <f>HYPERLINK("C:\Users\longueni\Desktop\Chubb produits code\Fiche catalogue\Extinction\Centrale\UTEX.Com\CAT-CS_N_16-01_Fiche catalogue - UTEX Com.pdf", "Fiche Produit")</f>
        <v>Fiche Produit</v>
      </c>
    </row>
    <row r="817" spans="1:6" x14ac:dyDescent="0.25">
      <c r="A817" t="s">
        <v>6</v>
      </c>
      <c r="B817" t="s">
        <v>10</v>
      </c>
      <c r="C817" t="s">
        <v>15</v>
      </c>
      <c r="D817" t="s">
        <v>832</v>
      </c>
      <c r="E817" t="s">
        <v>1719</v>
      </c>
      <c r="F817" t="str">
        <f>HYPERLINK("C:\Users\longueni\Desktop\Chubb produits code\Fiche catalogue\Détection incendie\Radio\PPMS\CAT-162_Fiche catalogue - PPMS à Pile RF Chubb.pdf", "Fiche Produit")</f>
        <v>Fiche Produit</v>
      </c>
    </row>
    <row r="818" spans="1:6" x14ac:dyDescent="0.25">
      <c r="A818" t="s">
        <v>6</v>
      </c>
      <c r="B818" t="s">
        <v>10</v>
      </c>
      <c r="C818" t="s">
        <v>15</v>
      </c>
      <c r="D818" t="s">
        <v>833</v>
      </c>
      <c r="E818" t="s">
        <v>1720</v>
      </c>
      <c r="F818" t="str">
        <f>HYPERLINK("C:\Users\longueni\Desktop\Chubb produits code\Fiche catalogue\Détection incendie\Radio\PPMS\CAT-162_Fiche catalogue - PPMS à Pile RF Chubb.pdf", "Fiche Produit")</f>
        <v>Fiche Produit</v>
      </c>
    </row>
    <row r="819" spans="1:6" x14ac:dyDescent="0.25">
      <c r="A819" t="s">
        <v>6</v>
      </c>
      <c r="B819" t="s">
        <v>10</v>
      </c>
      <c r="C819" t="s">
        <v>15</v>
      </c>
      <c r="D819" t="s">
        <v>834</v>
      </c>
      <c r="E819" t="s">
        <v>1721</v>
      </c>
      <c r="F819" t="str">
        <f>HYPERLINK("C:\Users\longueni\Desktop\Chubb produits code\Fiche catalogue\Détection incendie\Dispositif sonore _ lumineux\CAT-CS_07_02-01_Fiche catalogue - 400A.pdf", "Fiche Produit")</f>
        <v>Fiche Produit</v>
      </c>
    </row>
    <row r="820" spans="1:6" x14ac:dyDescent="0.25">
      <c r="A820" t="s">
        <v>6</v>
      </c>
      <c r="B820" t="s">
        <v>10</v>
      </c>
      <c r="C820" t="s">
        <v>15</v>
      </c>
      <c r="D820" t="s">
        <v>835</v>
      </c>
      <c r="E820" t="s">
        <v>1722</v>
      </c>
      <c r="F820" t="str">
        <f>HYPERLINK("C:\Users\longueni\Desktop\Chubb produits code\Fiche catalogue\Détection incendie\Dispositif sonore _ lumineux\CAT-CS_07_02-01_Fiche catalogue - 400A.pdf", "Fiche Produit")</f>
        <v>Fiche Produit</v>
      </c>
    </row>
    <row r="821" spans="1:6" x14ac:dyDescent="0.25">
      <c r="A821" t="s">
        <v>6</v>
      </c>
      <c r="B821" t="s">
        <v>11</v>
      </c>
      <c r="C821" t="s">
        <v>15</v>
      </c>
      <c r="D821" t="s">
        <v>836</v>
      </c>
      <c r="E821" t="s">
        <v>1723</v>
      </c>
      <c r="F821" t="str">
        <f>HYPERLINK("C:\Users\longueni\Desktop\Chubb produits code\CTLG-9001639_Catalogue - Produits et Systèmes CHUBB.pdf", "Fiche Produit")</f>
        <v>Fiche Produit</v>
      </c>
    </row>
    <row r="822" spans="1:6" x14ac:dyDescent="0.25">
      <c r="A822" t="s">
        <v>6</v>
      </c>
      <c r="B822" t="s">
        <v>11</v>
      </c>
      <c r="C822" t="s">
        <v>15</v>
      </c>
      <c r="D822" t="s">
        <v>837</v>
      </c>
      <c r="E822" t="s">
        <v>1723</v>
      </c>
      <c r="F822" t="str">
        <f>HYPERLINK("C:\Users\longueni\Desktop\Chubb produits code\CTLG-9001639_Catalogue - Produits et Systèmes CHUBB.pdf", "Fiche Produit")</f>
        <v>Fiche Produit</v>
      </c>
    </row>
    <row r="823" spans="1:6" x14ac:dyDescent="0.25">
      <c r="A823" t="s">
        <v>6</v>
      </c>
      <c r="B823" t="s">
        <v>11</v>
      </c>
      <c r="C823" t="s">
        <v>15</v>
      </c>
      <c r="D823" t="s">
        <v>838</v>
      </c>
      <c r="E823" t="s">
        <v>1724</v>
      </c>
      <c r="F823" t="str">
        <f>HYPERLINK("C:\Users\longueni\Desktop\Chubb produits code\CTLG-9001639_Catalogue - Produits et Systèmes CHUBB.pdf", "Fiche Produit")</f>
        <v>Fiche Produit</v>
      </c>
    </row>
    <row r="824" spans="1:6" x14ac:dyDescent="0.25">
      <c r="A824" t="s">
        <v>6</v>
      </c>
      <c r="B824" t="s">
        <v>11</v>
      </c>
      <c r="C824" t="s">
        <v>15</v>
      </c>
      <c r="D824" t="s">
        <v>839</v>
      </c>
      <c r="E824" t="s">
        <v>1725</v>
      </c>
      <c r="F824" t="str">
        <f>HYPERLINK("C:\Users\longueni\Desktop\Chubb produits code\CTLG-9001639_Catalogue - Produits et Systèmes CHUBB.pdf", "Fiche Produit")</f>
        <v>Fiche Produit</v>
      </c>
    </row>
    <row r="825" spans="1:6" x14ac:dyDescent="0.25">
      <c r="A825" t="s">
        <v>6</v>
      </c>
      <c r="B825" t="s">
        <v>11</v>
      </c>
      <c r="C825" t="s">
        <v>15</v>
      </c>
      <c r="D825" t="s">
        <v>840</v>
      </c>
      <c r="E825" t="s">
        <v>1726</v>
      </c>
      <c r="F825" t="str">
        <f>HYPERLINK("C:\Users\longueni\Desktop\Chubb produits code\Fiche catalogue\Détection incendie\Alimentation\RESONANCE 60_120W V2\CAT-CS_08_25-03_Fiche catalogue - RÉSONANCE 60W &amp; 120W V2 (coffret).pdf", "Fiche Produit")</f>
        <v>Fiche Produit</v>
      </c>
    </row>
    <row r="826" spans="1:6" x14ac:dyDescent="0.25">
      <c r="A826" t="s">
        <v>6</v>
      </c>
      <c r="B826" t="s">
        <v>11</v>
      </c>
      <c r="C826" t="s">
        <v>15</v>
      </c>
      <c r="D826" t="s">
        <v>841</v>
      </c>
      <c r="E826" t="s">
        <v>1727</v>
      </c>
      <c r="F826" t="str">
        <f>HYPERLINK("C:\Users\longueni\Desktop\Chubb produits code\Fiche catalogue\Extinction\Centrale\UTEX.Com\CAT-CS_N_16-01_Fiche catalogue - UTEX Com.pdf", "Fiche Produit")</f>
        <v>Fiche Produit</v>
      </c>
    </row>
    <row r="827" spans="1:6" x14ac:dyDescent="0.25">
      <c r="A827" t="s">
        <v>6</v>
      </c>
      <c r="B827" t="s">
        <v>11</v>
      </c>
      <c r="C827" t="s">
        <v>15</v>
      </c>
      <c r="D827" t="s">
        <v>842</v>
      </c>
      <c r="E827" t="s">
        <v>1728</v>
      </c>
      <c r="F827" t="str">
        <f>HYPERLINK("C:\Users\longueni\Desktop\Chubb produits code\Fiche catalogue\Extinction\Centrale\UTEX.Com\CAT-CS_N_16-01_Fiche catalogue - UTEX Com.pdf", "Fiche Produit")</f>
        <v>Fiche Produit</v>
      </c>
    </row>
    <row r="828" spans="1:6" x14ac:dyDescent="0.25">
      <c r="A828" t="s">
        <v>6</v>
      </c>
      <c r="B828" t="s">
        <v>11</v>
      </c>
      <c r="C828" t="s">
        <v>15</v>
      </c>
      <c r="D828" t="s">
        <v>843</v>
      </c>
      <c r="E828" t="s">
        <v>1729</v>
      </c>
      <c r="F828" t="str">
        <f>HYPERLINK("C:\Users\longueni\Desktop\Chubb produits code\CTLG-9001639_Catalogue - Produits et Systèmes CHUBB.pdf", "Fiche Produit")</f>
        <v>Fiche Produit</v>
      </c>
    </row>
    <row r="829" spans="1:6" x14ac:dyDescent="0.25">
      <c r="A829" t="s">
        <v>6</v>
      </c>
      <c r="B829" t="s">
        <v>11</v>
      </c>
      <c r="C829" t="s">
        <v>15</v>
      </c>
      <c r="D829" t="s">
        <v>844</v>
      </c>
      <c r="E829" t="s">
        <v>1730</v>
      </c>
      <c r="F829" t="str">
        <f>HYPERLINK("C:\Users\longueni\Desktop\Chubb produits code\Fiche catalogue\Détection incendie\Détecteur _ socle\OSID\CAT-018_Fiche catalogue - Détecteur de fumée - OSID.pdf", "Fiche Produit")</f>
        <v>Fiche Produit</v>
      </c>
    </row>
    <row r="830" spans="1:6" x14ac:dyDescent="0.25">
      <c r="A830" t="s">
        <v>6</v>
      </c>
      <c r="B830" t="s">
        <v>11</v>
      </c>
      <c r="C830" t="s">
        <v>15</v>
      </c>
      <c r="D830" t="s">
        <v>845</v>
      </c>
      <c r="E830" t="s">
        <v>1731</v>
      </c>
      <c r="F830" t="str">
        <f>HYPERLINK("C:\Users\longueni\Desktop\Chubb produits code\Fiche catalogue\Détection incendie\Détecteur _ socle\OSID\CAT-018_Fiche catalogue - Détecteur de fumée - OSID.pdf", "Fiche Produit")</f>
        <v>Fiche Produit</v>
      </c>
    </row>
    <row r="831" spans="1:6" x14ac:dyDescent="0.25">
      <c r="A831" t="s">
        <v>6</v>
      </c>
      <c r="B831" t="s">
        <v>11</v>
      </c>
      <c r="C831" t="s">
        <v>15</v>
      </c>
      <c r="D831" t="s">
        <v>846</v>
      </c>
      <c r="E831" t="s">
        <v>1732</v>
      </c>
      <c r="F831" t="str">
        <f>HYPERLINK("C:\Users\longueni\Desktop\Chubb produits code\Fiche catalogue\Détection incendie\Alimentation\VARIATION 940\CAT-CS_08_23-03_Fiche catalogue - VARIATION 940 - Coffret.pdf", "Fiche Produit")</f>
        <v>Fiche Produit</v>
      </c>
    </row>
    <row r="832" spans="1:6" x14ac:dyDescent="0.25">
      <c r="A832" t="s">
        <v>6</v>
      </c>
      <c r="B832" t="s">
        <v>11</v>
      </c>
      <c r="C832" t="s">
        <v>15</v>
      </c>
      <c r="D832" t="s">
        <v>847</v>
      </c>
      <c r="E832" t="s">
        <v>1733</v>
      </c>
      <c r="F832" t="str">
        <f>HYPERLINK("C:\Users\longueni\Desktop\Chubb produits code\Fiche catalogue\Détection incendie\Alimentation\RESONANCE 60_120W V2\CAT-CS_08_25-03_Fiche catalogue - RÉSONANCE 60W &amp; 120W V2 (coffret).pdf", "Fiche Produit")</f>
        <v>Fiche Produit</v>
      </c>
    </row>
    <row r="833" spans="1:6" x14ac:dyDescent="0.25">
      <c r="A833" t="s">
        <v>6</v>
      </c>
      <c r="B833" t="s">
        <v>11</v>
      </c>
      <c r="C833" t="s">
        <v>15</v>
      </c>
      <c r="D833" t="s">
        <v>848</v>
      </c>
      <c r="E833" t="s">
        <v>1734</v>
      </c>
      <c r="F833" t="str">
        <f t="shared" ref="F833:F839" si="11">HYPERLINK("C:\Users\longueni\Desktop\Chubb produits code\CTLG-9001639_Catalogue - Produits et Systèmes CHUBB.pdf", "Fiche Produit")</f>
        <v>Fiche Produit</v>
      </c>
    </row>
    <row r="834" spans="1:6" x14ac:dyDescent="0.25">
      <c r="A834" t="s">
        <v>6</v>
      </c>
      <c r="B834" t="s">
        <v>11</v>
      </c>
      <c r="C834" t="s">
        <v>15</v>
      </c>
      <c r="D834" t="s">
        <v>849</v>
      </c>
      <c r="E834" t="s">
        <v>1735</v>
      </c>
      <c r="F834" t="str">
        <f t="shared" si="11"/>
        <v>Fiche Produit</v>
      </c>
    </row>
    <row r="835" spans="1:6" x14ac:dyDescent="0.25">
      <c r="A835" t="s">
        <v>6</v>
      </c>
      <c r="B835" t="s">
        <v>11</v>
      </c>
      <c r="C835" t="s">
        <v>15</v>
      </c>
      <c r="D835" t="s">
        <v>850</v>
      </c>
      <c r="E835" t="s">
        <v>1736</v>
      </c>
      <c r="F835" t="str">
        <f t="shared" si="11"/>
        <v>Fiche Produit</v>
      </c>
    </row>
    <row r="836" spans="1:6" x14ac:dyDescent="0.25">
      <c r="A836" t="s">
        <v>6</v>
      </c>
      <c r="B836" t="s">
        <v>11</v>
      </c>
      <c r="C836" t="s">
        <v>15</v>
      </c>
      <c r="D836" t="s">
        <v>851</v>
      </c>
      <c r="E836" t="s">
        <v>1737</v>
      </c>
      <c r="F836" t="str">
        <f t="shared" si="11"/>
        <v>Fiche Produit</v>
      </c>
    </row>
    <row r="837" spans="1:6" x14ac:dyDescent="0.25">
      <c r="A837" t="s">
        <v>6</v>
      </c>
      <c r="B837" t="s">
        <v>11</v>
      </c>
      <c r="C837" t="s">
        <v>15</v>
      </c>
      <c r="D837" t="s">
        <v>852</v>
      </c>
      <c r="E837" t="s">
        <v>1738</v>
      </c>
      <c r="F837" t="str">
        <f t="shared" si="11"/>
        <v>Fiche Produit</v>
      </c>
    </row>
    <row r="838" spans="1:6" x14ac:dyDescent="0.25">
      <c r="A838" t="s">
        <v>6</v>
      </c>
      <c r="B838" t="s">
        <v>11</v>
      </c>
      <c r="C838" t="s">
        <v>15</v>
      </c>
      <c r="D838" t="s">
        <v>853</v>
      </c>
      <c r="E838" t="s">
        <v>1739</v>
      </c>
      <c r="F838" t="str">
        <f t="shared" si="11"/>
        <v>Fiche Produit</v>
      </c>
    </row>
    <row r="839" spans="1:6" x14ac:dyDescent="0.25">
      <c r="A839" t="s">
        <v>6</v>
      </c>
      <c r="B839" t="s">
        <v>11</v>
      </c>
      <c r="C839" t="s">
        <v>15</v>
      </c>
      <c r="D839" t="s">
        <v>854</v>
      </c>
      <c r="E839" t="s">
        <v>1740</v>
      </c>
      <c r="F839" t="str">
        <f t="shared" si="11"/>
        <v>Fiche Produit</v>
      </c>
    </row>
    <row r="840" spans="1:6" x14ac:dyDescent="0.25">
      <c r="A840" t="s">
        <v>6</v>
      </c>
      <c r="B840" t="s">
        <v>11</v>
      </c>
      <c r="C840" t="s">
        <v>15</v>
      </c>
      <c r="D840" t="s">
        <v>855</v>
      </c>
      <c r="E840" t="s">
        <v>1741</v>
      </c>
      <c r="F840" t="str">
        <f>HYPERLINK("C:\Users\longueni\Desktop\Chubb produits code\Fiche catalogue\Détection incendie\Centrale\UTI.Micro Pack\CAT-CS_01_85-01_Fiche catalogue - UTI.Micro Pack.pdf", "Fiche Produit")</f>
        <v>Fiche Produit</v>
      </c>
    </row>
    <row r="841" spans="1:6" x14ac:dyDescent="0.25">
      <c r="A841" t="s">
        <v>6</v>
      </c>
      <c r="B841" t="s">
        <v>11</v>
      </c>
      <c r="C841" t="s">
        <v>15</v>
      </c>
      <c r="D841" t="s">
        <v>856</v>
      </c>
      <c r="E841" t="s">
        <v>1741</v>
      </c>
      <c r="F841" t="str">
        <f>HYPERLINK("C:\Users\longueni\Desktop\Chubb produits code\Fiche catalogue\Détection incendie\Centrale\UTI.Micro Pack\CAT-CS_01_85-01_Fiche catalogue - UTI.Micro Pack.pdf", "Fiche Produit")</f>
        <v>Fiche Produit</v>
      </c>
    </row>
    <row r="842" spans="1:6" x14ac:dyDescent="0.25">
      <c r="A842" t="s">
        <v>6</v>
      </c>
      <c r="B842" t="s">
        <v>11</v>
      </c>
      <c r="C842" t="s">
        <v>15</v>
      </c>
      <c r="D842" t="s">
        <v>857</v>
      </c>
      <c r="E842" t="s">
        <v>1742</v>
      </c>
      <c r="F842" t="str">
        <f>HYPERLINK("C:\Users\longueni\Desktop\Chubb produits code\Fiche catalogue\Détection incendie\Dispositif sonore _ lumineux\CAT-101_Fiche catalogue - ECSAV SECURIVOC - CSNF08-NF.pdf", "Fiche Produit")</f>
        <v>Fiche Produit</v>
      </c>
    </row>
    <row r="843" spans="1:6" x14ac:dyDescent="0.25">
      <c r="A843" t="s">
        <v>6</v>
      </c>
      <c r="B843" t="s">
        <v>11</v>
      </c>
      <c r="C843" t="s">
        <v>15</v>
      </c>
      <c r="D843" t="s">
        <v>858</v>
      </c>
      <c r="E843" t="s">
        <v>1743</v>
      </c>
      <c r="F843" t="str">
        <f>HYPERLINK("C:\Users\longueni\Desktop\Chubb produits code\Fiche catalogue\Détection incendie\Radio\Détecteur _ Socle\CAT-CS_04_85-02_Fiche catalogue - Détecteur, déclencheur et interface radio - Gamme SG.Scan.pdf", "Fiche Produit")</f>
        <v>Fiche Produit</v>
      </c>
    </row>
    <row r="844" spans="1:6" x14ac:dyDescent="0.25">
      <c r="A844" t="s">
        <v>6</v>
      </c>
      <c r="B844" t="s">
        <v>12</v>
      </c>
      <c r="C844" t="s">
        <v>15</v>
      </c>
      <c r="D844" t="s">
        <v>859</v>
      </c>
      <c r="E844" t="s">
        <v>1744</v>
      </c>
      <c r="F844" t="str">
        <f>HYPERLINK("C:\Users\longueni\Desktop\Chubb produits code\Fiche catalogue\Détection incendie\Déclencheur manuel\MCP3A\CAT-CS_05_23-03_Fiche catalogue - MCP3A-R000SF-A207-03.pdf", "Fiche Produit")</f>
        <v>Fiche Produit</v>
      </c>
    </row>
    <row r="845" spans="1:6" x14ac:dyDescent="0.25">
      <c r="A845" t="s">
        <v>6</v>
      </c>
      <c r="B845" t="s">
        <v>12</v>
      </c>
      <c r="C845" t="s">
        <v>15</v>
      </c>
      <c r="D845" t="s">
        <v>860</v>
      </c>
      <c r="E845" t="s">
        <v>1745</v>
      </c>
      <c r="F845" t="str">
        <f>HYPERLINK("C:\Users\longueni\Desktop\Chubb produits code\Fiche catalogue\Détection incendie\Déclencheur manuel\MCP3A\CAT-CS_05_23-04_Fiche catalogue - MCP3A-R000SF-A207-04.pdf", "Fiche Produit")</f>
        <v>Fiche Produit</v>
      </c>
    </row>
    <row r="846" spans="1:6" x14ac:dyDescent="0.25">
      <c r="A846" t="s">
        <v>6</v>
      </c>
      <c r="B846" t="s">
        <v>12</v>
      </c>
      <c r="C846" t="s">
        <v>15</v>
      </c>
      <c r="D846" t="s">
        <v>861</v>
      </c>
      <c r="E846" t="s">
        <v>1746</v>
      </c>
      <c r="F846" t="str">
        <f>HYPERLINK("C:\Users\longueni\Desktop\Chubb produits code\Fiche catalogue\Détection incendie\Radio\PPMS\CAT-162_Fiche catalogue - PPMS à Pile RF Chubb.pdf", "Fiche Produit")</f>
        <v>Fiche Produit</v>
      </c>
    </row>
    <row r="847" spans="1:6" x14ac:dyDescent="0.25">
      <c r="A847" t="s">
        <v>6</v>
      </c>
      <c r="B847" t="s">
        <v>12</v>
      </c>
      <c r="C847" t="s">
        <v>15</v>
      </c>
      <c r="D847" t="s">
        <v>862</v>
      </c>
      <c r="E847" t="s">
        <v>1747</v>
      </c>
      <c r="F847" t="str">
        <f>HYPERLINK("C:\Users\longueni\Desktop\Chubb produits code\Fiche catalogue\Détection incendie\Déclencheur manuel\CAT-CS_05_31-01_Fiche catalogue - WCP5A-RP01SF-A207-01.pdf", "Fiche Produit")</f>
        <v>Fiche Produit</v>
      </c>
    </row>
    <row r="848" spans="1:6" x14ac:dyDescent="0.25">
      <c r="A848" t="s">
        <v>6</v>
      </c>
      <c r="B848" t="s">
        <v>12</v>
      </c>
      <c r="C848" t="s">
        <v>15</v>
      </c>
      <c r="D848" t="s">
        <v>863</v>
      </c>
      <c r="E848" t="s">
        <v>1748</v>
      </c>
      <c r="F848" t="str">
        <f>HYPERLINK("C:\Users\longueni\Desktop\Chubb produits code\Fiche catalogue\Détection incendie\Déclencheur manuel\CAT-CS_05_14-01_Fiche catalogue - DM M500KAC_SR2T_C_F.pdf", "Fiche Produit")</f>
        <v>Fiche Produit</v>
      </c>
    </row>
    <row r="849" spans="1:6" x14ac:dyDescent="0.25">
      <c r="A849" t="s">
        <v>6</v>
      </c>
      <c r="B849" t="s">
        <v>12</v>
      </c>
      <c r="C849" t="s">
        <v>15</v>
      </c>
      <c r="D849" t="s">
        <v>864</v>
      </c>
      <c r="E849" t="s">
        <v>1749</v>
      </c>
      <c r="F849" t="str">
        <f>HYPERLINK("C:\Users\longueni\Desktop\Chubb produits code\Fiche catalogue\Détection incendie\Déclencheur manuel\CAT-CS_05_11-01_Fiche catalogue -  DM M500KAC_SR2T.pdf", "Fiche Produit")</f>
        <v>Fiche Produit</v>
      </c>
    </row>
    <row r="850" spans="1:6" x14ac:dyDescent="0.25">
      <c r="A850" t="s">
        <v>6</v>
      </c>
      <c r="B850" t="s">
        <v>12</v>
      </c>
      <c r="C850" t="s">
        <v>15</v>
      </c>
      <c r="D850" t="s">
        <v>865</v>
      </c>
      <c r="E850" t="s">
        <v>1750</v>
      </c>
      <c r="F850" t="str">
        <f>HYPERLINK("C:\Users\longueni\Desktop\Chubb produits code\Fiche catalogue\Détection incendie\Déclencheur manuel\CAT-CS_05_12-01_Fiche catalogue - DM M500KAC_SR2T_C.pdf", "Fiche Produit")</f>
        <v>Fiche Produit</v>
      </c>
    </row>
    <row r="851" spans="1:6" x14ac:dyDescent="0.25">
      <c r="A851" t="s">
        <v>6</v>
      </c>
      <c r="B851" t="s">
        <v>12</v>
      </c>
      <c r="C851" t="s">
        <v>15</v>
      </c>
      <c r="D851" t="s">
        <v>866</v>
      </c>
      <c r="E851" t="s">
        <v>1751</v>
      </c>
      <c r="F851" t="str">
        <f>HYPERLINK("C:\Users\longueni\Desktop\Chubb produits code\Fiche catalogue\Détection incendie\Déclencheur manuel\CAT-CS_05_13-01_Fiche catalogue - DM M500KAC_SR2T_F.pdf", "Fiche Produit")</f>
        <v>Fiche Produit</v>
      </c>
    </row>
    <row r="852" spans="1:6" x14ac:dyDescent="0.25">
      <c r="A852" t="s">
        <v>6</v>
      </c>
      <c r="B852" t="s">
        <v>12</v>
      </c>
      <c r="C852" t="s">
        <v>15</v>
      </c>
      <c r="D852" t="s">
        <v>867</v>
      </c>
      <c r="E852" t="s">
        <v>1752</v>
      </c>
      <c r="F852" t="str">
        <f>HYPERLINK("C:\Users\longueni\Desktop\Chubb produits code\Fiche catalogue\Détection incendie\Déclencheur manuel\CAT-CS_05_14-02_Fiche catalogue - DM M500KAC_rainproof.pdf", "Fiche Produit")</f>
        <v>Fiche Produit</v>
      </c>
    </row>
    <row r="853" spans="1:6" x14ac:dyDescent="0.25">
      <c r="A853" t="s">
        <v>6</v>
      </c>
      <c r="B853" t="s">
        <v>12</v>
      </c>
      <c r="C853" t="s">
        <v>15</v>
      </c>
      <c r="D853" t="s">
        <v>868</v>
      </c>
      <c r="E853" t="s">
        <v>1753</v>
      </c>
      <c r="F853" t="str">
        <f>HYPERLINK("C:\Users\longueni\Desktop\Chubb produits code\Fiche catalogue\Détection incendie\Déclencheur manuel\MCP3A\CAT-CS_05_25-01_Fiche catalogue - MCP3A-G000SF-A207-01.pdf", "Fiche Produit")</f>
        <v>Fiche Produit</v>
      </c>
    </row>
    <row r="854" spans="1:6" x14ac:dyDescent="0.25">
      <c r="A854" t="s">
        <v>6</v>
      </c>
      <c r="B854" t="s">
        <v>12</v>
      </c>
      <c r="C854" t="s">
        <v>15</v>
      </c>
      <c r="D854" t="s">
        <v>869</v>
      </c>
      <c r="E854" t="s">
        <v>1753</v>
      </c>
      <c r="F854" t="str">
        <f>HYPERLINK("C:\Users\longueni\Desktop\Chubb produits code\CTLG-9001639_Catalogue - Produits et Systèmes CHUBB.pdf", "Fiche Produit")</f>
        <v>Fiche Produit</v>
      </c>
    </row>
    <row r="855" spans="1:6" x14ac:dyDescent="0.25">
      <c r="A855" t="s">
        <v>6</v>
      </c>
      <c r="B855" t="s">
        <v>12</v>
      </c>
      <c r="C855" t="s">
        <v>15</v>
      </c>
      <c r="D855" t="s">
        <v>870</v>
      </c>
      <c r="E855" t="s">
        <v>1754</v>
      </c>
      <c r="F855" t="str">
        <f>HYPERLINK("C:\Users\longueni\Desktop\Chubb produits code\Fiche catalogue\Détection incendie\BAAS\SON'ECLA\CAT-100_Fiche catalogue - SON'ECLA TYPE 4S NN.pdf", "Fiche Produit")</f>
        <v>Fiche Produit</v>
      </c>
    </row>
    <row r="856" spans="1:6" x14ac:dyDescent="0.25">
      <c r="A856" t="s">
        <v>6</v>
      </c>
      <c r="B856" t="s">
        <v>12</v>
      </c>
      <c r="C856" t="s">
        <v>15</v>
      </c>
      <c r="D856" t="s">
        <v>871</v>
      </c>
      <c r="E856" t="s">
        <v>1755</v>
      </c>
      <c r="F856" t="str">
        <f>HYPERLINK("C:\Users\longueni\Desktop\Chubb produits code\Fiche catalogue\Détection incendie\BAAS\SON'ECLA\CAT-CS_07_11-02_Fiche catalogue - SON'ECLA BAAS Ma NFS V.pdf", "Fiche Produit")</f>
        <v>Fiche Produit</v>
      </c>
    </row>
    <row r="857" spans="1:6" x14ac:dyDescent="0.25">
      <c r="A857" t="s">
        <v>6</v>
      </c>
      <c r="B857" t="s">
        <v>12</v>
      </c>
      <c r="C857" t="s">
        <v>15</v>
      </c>
      <c r="D857" t="s">
        <v>872</v>
      </c>
      <c r="E857" t="s">
        <v>1756</v>
      </c>
      <c r="F857" t="str">
        <f>HYPERLINK("C:\Users\longueni\Desktop\Chubb produits code\Fiche catalogue\Détection incendie\BAAS\SON'ECLA\CAT-100_Fiche catalogue - SON'ECLA TYPE 4S NN.pdf", "Fiche Produit")</f>
        <v>Fiche Produit</v>
      </c>
    </row>
    <row r="858" spans="1:6" x14ac:dyDescent="0.25">
      <c r="A858" t="s">
        <v>6</v>
      </c>
      <c r="B858" t="s">
        <v>12</v>
      </c>
      <c r="C858" t="s">
        <v>15</v>
      </c>
      <c r="D858" t="s">
        <v>873</v>
      </c>
      <c r="E858" t="s">
        <v>1757</v>
      </c>
      <c r="F858" t="str">
        <f>HYPERLINK("C:\Users\longueni\Desktop\Chubb produits code\Fiche catalogue\Détection incendie\BAAS\SON'ECLA\CAT-CS_07_11-02_Fiche catalogue - SON'ECLA BAAS Ma NFS V.pdf", "Fiche Produit")</f>
        <v>Fiche Produit</v>
      </c>
    </row>
    <row r="859" spans="1:6" x14ac:dyDescent="0.25">
      <c r="A859" t="s">
        <v>6</v>
      </c>
      <c r="B859" t="s">
        <v>12</v>
      </c>
      <c r="C859" t="s">
        <v>15</v>
      </c>
      <c r="D859" t="s">
        <v>874</v>
      </c>
      <c r="E859" t="s">
        <v>1758</v>
      </c>
      <c r="F859" t="str">
        <f>HYPERLINK("C:\Users\longueni\Desktop\Chubb produits code\Fiche catalogue\Détection incendie\Déclencheur manuel\CAT-CS_05_28-01_Fiche catalogue - MCP4A-G000SF-A207-01.pdf", "Fiche Produit")</f>
        <v>Fiche Produit</v>
      </c>
    </row>
    <row r="860" spans="1:6" x14ac:dyDescent="0.25">
      <c r="A860" t="s">
        <v>6</v>
      </c>
      <c r="B860" t="s">
        <v>12</v>
      </c>
      <c r="C860" t="s">
        <v>15</v>
      </c>
      <c r="D860" t="s">
        <v>875</v>
      </c>
      <c r="E860" t="s">
        <v>1759</v>
      </c>
      <c r="F860" t="str">
        <f>HYPERLINK("C:\Users\longueni\Desktop\Chubb produits code\Fiche catalogue\Détection incendie\Déclencheur manuel\CAT-CS_05_33-01_Fiche catalogue - WCP3A-R000SF-A207-01.pdf", "Fiche Produit")</f>
        <v>Fiche Produit</v>
      </c>
    </row>
    <row r="861" spans="1:6" x14ac:dyDescent="0.25">
      <c r="A861" t="s">
        <v>6</v>
      </c>
      <c r="B861" t="s">
        <v>12</v>
      </c>
      <c r="C861" t="s">
        <v>15</v>
      </c>
      <c r="D861" t="s">
        <v>876</v>
      </c>
      <c r="E861" t="s">
        <v>1760</v>
      </c>
      <c r="F861" t="str">
        <f>HYPERLINK("C:\Users\longueni\Desktop\Chubb produits code\Fiche catalogue\Détection incendie\Déclencheur manuel\CAT-CS_05_34-01_Fiche catalogue - WCP3A-R000SF-A207-02.pdf", "Fiche Produit")</f>
        <v>Fiche Produit</v>
      </c>
    </row>
    <row r="862" spans="1:6" x14ac:dyDescent="0.25">
      <c r="A862" t="s">
        <v>6</v>
      </c>
      <c r="B862" t="s">
        <v>12</v>
      </c>
      <c r="C862" t="s">
        <v>15</v>
      </c>
      <c r="D862" t="s">
        <v>877</v>
      </c>
      <c r="E862" t="s">
        <v>1761</v>
      </c>
      <c r="F862" t="str">
        <f>HYPERLINK("C:\Users\longueni\Desktop\Chubb produits code\Fiche catalogue\Détection incendie\Déclencheur manuel\CAT-CS_05_32-02_Fiche catalogue - WCP5A-RP02SF-A207-02.pdf", "Fiche Produit")</f>
        <v>Fiche Produit</v>
      </c>
    </row>
    <row r="863" spans="1:6" x14ac:dyDescent="0.25">
      <c r="A863" t="s">
        <v>6</v>
      </c>
      <c r="B863" t="s">
        <v>12</v>
      </c>
      <c r="C863" t="s">
        <v>15</v>
      </c>
      <c r="D863" t="s">
        <v>878</v>
      </c>
      <c r="E863" t="s">
        <v>1762</v>
      </c>
      <c r="F863" t="str">
        <f>HYPERLINK("C:\Users\longueni\Desktop\Chubb produits code\Fiche catalogue\Détection incendie\Déclencheur manuel\CAT-CS_05_10-02_Fiche catalogue - WG2001_SG_C_F.pdf", "Fiche Produit")</f>
        <v>Fiche Produit</v>
      </c>
    </row>
    <row r="864" spans="1:6" x14ac:dyDescent="0.25">
      <c r="A864" t="s">
        <v>6</v>
      </c>
      <c r="B864" t="s">
        <v>12</v>
      </c>
      <c r="C864" t="s">
        <v>15</v>
      </c>
      <c r="D864" t="s">
        <v>879</v>
      </c>
      <c r="E864" t="s">
        <v>1763</v>
      </c>
      <c r="F864" t="str">
        <f>HYPERLINK("C:\Users\longueni\Desktop\Chubb produits code\Fiche catalogue\Détection incendie\Déclencheur manuel\CAT-CS_05_07-02_Fiche catalogue - DM WR 2001_SR.pdf", "Fiche Produit")</f>
        <v>Fiche Produit</v>
      </c>
    </row>
    <row r="865" spans="1:6" x14ac:dyDescent="0.25">
      <c r="A865" t="s">
        <v>6</v>
      </c>
      <c r="B865" t="s">
        <v>12</v>
      </c>
      <c r="C865" t="s">
        <v>15</v>
      </c>
      <c r="D865" t="s">
        <v>880</v>
      </c>
      <c r="E865" t="s">
        <v>1764</v>
      </c>
      <c r="F865" t="str">
        <f>HYPERLINK("C:\Users\longueni\Desktop\Chubb produits code\Fiche catalogue\Détection incendie\Déclencheur manuel\CAT-CS_05_07-01_Fiche catalogue - DM WR 2001_SR_C.pdf", "Fiche Produit")</f>
        <v>Fiche Produit</v>
      </c>
    </row>
    <row r="866" spans="1:6" x14ac:dyDescent="0.25">
      <c r="A866" t="s">
        <v>6</v>
      </c>
      <c r="B866" t="s">
        <v>12</v>
      </c>
      <c r="C866" t="s">
        <v>15</v>
      </c>
      <c r="D866" t="s">
        <v>881</v>
      </c>
      <c r="E866" t="s">
        <v>1765</v>
      </c>
      <c r="F866" t="str">
        <f>HYPERLINK("C:\Users\longueni\Desktop\Chubb produits code\Fiche catalogue\Détection incendie\Déclencheur manuel\CAT-CS_05_07-04_Fiche catalogue - DM WR 2001_SR_C_F.pdf", "Fiche Produit")</f>
        <v>Fiche Produit</v>
      </c>
    </row>
    <row r="867" spans="1:6" x14ac:dyDescent="0.25">
      <c r="A867" t="s">
        <v>6</v>
      </c>
      <c r="B867" t="s">
        <v>12</v>
      </c>
      <c r="C867" t="s">
        <v>15</v>
      </c>
      <c r="D867" t="s">
        <v>882</v>
      </c>
      <c r="E867" t="s">
        <v>1766</v>
      </c>
      <c r="F867" t="str">
        <f>HYPERLINK("C:\Users\longueni\Desktop\Chubb produits code\Fiche catalogue\Détection incendie\Déclencheur manuel\CAT-CS_05_07-03_Fiche catalogue - DM WR 2001_SR_F.pdf", "Fiche Produit")</f>
        <v>Fiche Produit</v>
      </c>
    </row>
    <row r="868" spans="1:6" x14ac:dyDescent="0.25">
      <c r="A868" t="s">
        <v>6</v>
      </c>
      <c r="B868" t="s">
        <v>12</v>
      </c>
      <c r="C868" t="s">
        <v>15</v>
      </c>
      <c r="D868" t="s">
        <v>883</v>
      </c>
      <c r="E868" t="s">
        <v>1767</v>
      </c>
      <c r="F868" t="str">
        <f>HYPERLINK("C:\Users\longueni\Desktop\Chubb produits code\Fiche catalogue\Détection incendie\Déclencheur manuel\CAT-CS_05_01-01_Fiche catalogue - DM WR 2004_SR-910.pdf", "Fiche Produit")</f>
        <v>Fiche Produit</v>
      </c>
    </row>
    <row r="869" spans="1:6" x14ac:dyDescent="0.25">
      <c r="A869" t="s">
        <v>6</v>
      </c>
      <c r="B869" t="s">
        <v>12</v>
      </c>
      <c r="C869" t="s">
        <v>15</v>
      </c>
      <c r="D869" t="s">
        <v>884</v>
      </c>
      <c r="E869" t="s">
        <v>1768</v>
      </c>
      <c r="F869" t="str">
        <f>HYPERLINK("C:\Users\longueni\Desktop\Chubb produits code\Fiche catalogue\Détection incendie\Déclencheur manuel\CAT-CS_05_02-01_Fiche catalogue - DM WR 2004_SR_C-910.pdf", "Fiche Produit")</f>
        <v>Fiche Produit</v>
      </c>
    </row>
    <row r="870" spans="1:6" x14ac:dyDescent="0.25">
      <c r="A870" t="s">
        <v>6</v>
      </c>
      <c r="B870" t="s">
        <v>12</v>
      </c>
      <c r="C870" t="s">
        <v>15</v>
      </c>
      <c r="D870" t="s">
        <v>885</v>
      </c>
      <c r="E870" t="s">
        <v>1769</v>
      </c>
      <c r="F870" t="str">
        <f>HYPERLINK("C:\Users\longueni\Desktop\Chubb produits code\Fiche catalogue\Détection incendie\Déclencheur manuel\CAT-CS_05_06-01_Fiche catalogue - DM WR 2004_SR_C_F-910.pdf", "Fiche Produit")</f>
        <v>Fiche Produit</v>
      </c>
    </row>
    <row r="871" spans="1:6" x14ac:dyDescent="0.25">
      <c r="A871" t="s">
        <v>6</v>
      </c>
      <c r="B871" t="s">
        <v>12</v>
      </c>
      <c r="C871" t="s">
        <v>15</v>
      </c>
      <c r="D871" t="s">
        <v>886</v>
      </c>
      <c r="E871" t="s">
        <v>1770</v>
      </c>
      <c r="F871" t="str">
        <f>HYPERLINK("C:\Users\longueni\Desktop\Chubb produits code\Fiche catalogue\Détection incendie\Déclencheur manuel\CAT-CS_05_05-01_Fiche catalogue - DM WR 2004_SR_F-910.pdf", "Fiche Produit")</f>
        <v>Fiche Produit</v>
      </c>
    </row>
    <row r="872" spans="1:6" x14ac:dyDescent="0.25">
      <c r="A872" t="s">
        <v>6</v>
      </c>
      <c r="B872" t="s">
        <v>12</v>
      </c>
      <c r="C872" t="s">
        <v>15</v>
      </c>
      <c r="D872" t="s">
        <v>887</v>
      </c>
      <c r="E872" t="s">
        <v>1771</v>
      </c>
      <c r="F872" t="str">
        <f>HYPERLINK("C:\Users\longueni\Desktop\Chubb produits code\Fiche catalogue\Détection incendie\Déclencheur manuel\CAT-CS_05_03-01_Fiche catalogue - DM WR 2061 SR.pdf", "Fiche Produit")</f>
        <v>Fiche Produit</v>
      </c>
    </row>
    <row r="873" spans="1:6" x14ac:dyDescent="0.25">
      <c r="A873" t="s">
        <v>6</v>
      </c>
      <c r="B873" t="s">
        <v>12</v>
      </c>
      <c r="C873" t="s">
        <v>15</v>
      </c>
      <c r="D873" t="s">
        <v>888</v>
      </c>
      <c r="E873" t="s">
        <v>1772</v>
      </c>
      <c r="F873" t="str">
        <f>HYPERLINK("C:\Users\longueni\Desktop\Chubb produits code\Fiche catalogue\Détection incendie\Déclencheur manuel\CAT-CS_05_04-01_Fiche catalogue - DM WR 2061 SR_C.pdf", "Fiche Produit")</f>
        <v>Fiche Produit</v>
      </c>
    </row>
    <row r="874" spans="1:6" x14ac:dyDescent="0.25">
      <c r="A874" t="s">
        <v>6</v>
      </c>
      <c r="B874" t="s">
        <v>12</v>
      </c>
      <c r="C874" t="s">
        <v>15</v>
      </c>
      <c r="D874" t="s">
        <v>889</v>
      </c>
      <c r="E874" t="s">
        <v>1773</v>
      </c>
      <c r="F874" t="str">
        <f>HYPERLINK("C:\Users\longueni\Desktop\Chubb produits code\Fiche catalogue\Détection incendie\Centrale\UTH.Pack\CAT-CS_01_84-01_Fiche catalogue - UTH.Pack.pdf", "Fiche Produit")</f>
        <v>Fiche Produit</v>
      </c>
    </row>
    <row r="875" spans="1:6" x14ac:dyDescent="0.25">
      <c r="A875" t="s">
        <v>6</v>
      </c>
      <c r="B875" t="s">
        <v>12</v>
      </c>
      <c r="C875" t="s">
        <v>15</v>
      </c>
      <c r="D875" t="s">
        <v>890</v>
      </c>
      <c r="E875" t="s">
        <v>1774</v>
      </c>
      <c r="F875" t="str">
        <f>HYPERLINK("C:\Users\longueni\Desktop\Chubb produits code\Fiche catalogue\Détection incendie\Centrale\UTH.Pack\CAT-CS_01_84-01_Fiche catalogue - UTH.Pack.pdf", "Fiche Produit")</f>
        <v>Fiche Produit</v>
      </c>
    </row>
    <row r="876" spans="1:6" x14ac:dyDescent="0.25">
      <c r="A876" t="s">
        <v>6</v>
      </c>
      <c r="B876" t="s">
        <v>12</v>
      </c>
      <c r="C876" t="s">
        <v>15</v>
      </c>
      <c r="D876" t="s">
        <v>891</v>
      </c>
      <c r="E876" t="s">
        <v>1775</v>
      </c>
      <c r="F876" t="str">
        <f>HYPERLINK("C:\Users\longueni\Desktop\Chubb produits code\Fiche catalogue\Détection incendie\Centrale\UTH.Pack\CAT-CS_01_84-01_Fiche catalogue - UTH.Pack.pdf", "Fiche Produit")</f>
        <v>Fiche Produit</v>
      </c>
    </row>
    <row r="877" spans="1:6" x14ac:dyDescent="0.25">
      <c r="A877" t="s">
        <v>6</v>
      </c>
      <c r="B877" t="s">
        <v>12</v>
      </c>
      <c r="C877" t="s">
        <v>15</v>
      </c>
      <c r="D877" t="s">
        <v>892</v>
      </c>
      <c r="E877" t="s">
        <v>1776</v>
      </c>
      <c r="F877" t="str">
        <f>HYPERLINK("C:\Users\longueni\Desktop\Chubb produits code\Fiche catalogue\Détection incendie\Centrale\UTH.Pack\CAT-CS_01_84-01_Fiche catalogue - UTH.Pack.pdf", "Fiche Produit")</f>
        <v>Fiche Produit</v>
      </c>
    </row>
    <row r="878" spans="1:6" x14ac:dyDescent="0.25">
      <c r="A878" t="s">
        <v>6</v>
      </c>
      <c r="B878" t="s">
        <v>12</v>
      </c>
      <c r="C878" t="s">
        <v>15</v>
      </c>
      <c r="D878" t="s">
        <v>893</v>
      </c>
      <c r="E878" t="s">
        <v>1777</v>
      </c>
      <c r="F878" t="str">
        <f>HYPERLINK("C:\Users\longueni\Desktop\Chubb produits code\Fiche catalogue\Extinction\Accessoires_outils\CAT-CS_N_01-01_Fiche catalogue - DAOV PYROTECHNIQUE V2.pdf", "Fiche Produit")</f>
        <v>Fiche Produit</v>
      </c>
    </row>
    <row r="879" spans="1:6" x14ac:dyDescent="0.25">
      <c r="A879" t="s">
        <v>6</v>
      </c>
      <c r="B879" t="s">
        <v>12</v>
      </c>
      <c r="C879" t="s">
        <v>15</v>
      </c>
      <c r="D879" t="s">
        <v>894</v>
      </c>
      <c r="E879" t="s">
        <v>1778</v>
      </c>
      <c r="F879" t="str">
        <f>HYPERLINK("C:\Users\longueni\Desktop\Chubb produits code\Fiche catalogue\Extinction\Accessoires_outils\CAT-CS_N_01-01_Fiche catalogue - DAOV PYROTECHNIQUE V2.pdf", "Fiche Produit")</f>
        <v>Fiche Produit</v>
      </c>
    </row>
    <row r="880" spans="1:6" x14ac:dyDescent="0.25">
      <c r="A880" t="s">
        <v>6</v>
      </c>
      <c r="B880" t="s">
        <v>12</v>
      </c>
      <c r="C880" t="s">
        <v>15</v>
      </c>
      <c r="D880" t="s">
        <v>895</v>
      </c>
      <c r="E880" t="s">
        <v>1779</v>
      </c>
      <c r="F880" t="str">
        <f>HYPERLINK("C:\Users\longueni\Desktop\Chubb produits code\Fiche catalogue\Extinction\Accessoires_outils\CAT-056_Fiche catalogue - DAOV électrique V3.pdf", "Fiche Produit")</f>
        <v>Fiche Produit</v>
      </c>
    </row>
    <row r="881" spans="1:6" x14ac:dyDescent="0.25">
      <c r="A881" t="s">
        <v>6</v>
      </c>
      <c r="B881" t="s">
        <v>12</v>
      </c>
      <c r="C881" t="s">
        <v>15</v>
      </c>
      <c r="D881" t="s">
        <v>896</v>
      </c>
      <c r="E881" t="s">
        <v>1780</v>
      </c>
      <c r="F881" t="str">
        <f>HYPERLINK("C:\Users\longueni\Desktop\Chubb produits code\Fiche catalogue\Détection incendie\Centrale\DAD SECOURU\CAT-CS_04_24-01_Fiche catalogue - DAD SECOURU.pdf", "Fiche Produit")</f>
        <v>Fiche Produit</v>
      </c>
    </row>
    <row r="882" spans="1:6" x14ac:dyDescent="0.25">
      <c r="A882" t="s">
        <v>6</v>
      </c>
      <c r="B882" t="s">
        <v>12</v>
      </c>
      <c r="C882" t="s">
        <v>15</v>
      </c>
      <c r="D882" t="s">
        <v>897</v>
      </c>
      <c r="E882" t="s">
        <v>1781</v>
      </c>
      <c r="F882" t="str">
        <f>HYPERLINK("C:\Users\longueni\Desktop\Chubb produits code\Fiche catalogue\Détection incendie\Déclencheur manuel\CAT-CS_05_31-01_Fiche catalogue - WCP5A-RP01SF-A207-01.pdf", "Fiche Produit")</f>
        <v>Fiche Produit</v>
      </c>
    </row>
    <row r="883" spans="1:6" x14ac:dyDescent="0.25">
      <c r="A883" t="s">
        <v>6</v>
      </c>
      <c r="B883" t="s">
        <v>12</v>
      </c>
      <c r="C883" t="s">
        <v>15</v>
      </c>
      <c r="D883" t="s">
        <v>898</v>
      </c>
      <c r="E883" t="s">
        <v>1782</v>
      </c>
      <c r="F883" t="str">
        <f>HYPERLINK("C:\Users\longueni\Desktop\Chubb produits code\Fiche catalogue\Détection incendie\Radio\R.Scan+\CAT-027_Fiche catalogue - Gamme radio R.Scan+.pdf", "Fiche Produit")</f>
        <v>Fiche Produit</v>
      </c>
    </row>
    <row r="884" spans="1:6" x14ac:dyDescent="0.25">
      <c r="A884" t="s">
        <v>6</v>
      </c>
      <c r="B884" t="s">
        <v>12</v>
      </c>
      <c r="C884" t="s">
        <v>15</v>
      </c>
      <c r="D884" t="s">
        <v>899</v>
      </c>
      <c r="E884" t="s">
        <v>1783</v>
      </c>
      <c r="F884" t="str">
        <f>HYPERLINK("C:\Users\longueni\Desktop\Chubb produits code\Fiche catalogue\Détection incendie\Centrale\DAD SECOURU\CAT-CS_04_24-01_Fiche catalogue - DAD SECOURU.pdf", "Fiche Produit")</f>
        <v>Fiche Produit</v>
      </c>
    </row>
    <row r="885" spans="1:6" x14ac:dyDescent="0.25">
      <c r="A885" t="s">
        <v>6</v>
      </c>
      <c r="B885" t="s">
        <v>12</v>
      </c>
      <c r="C885" t="s">
        <v>15</v>
      </c>
      <c r="D885" t="s">
        <v>900</v>
      </c>
      <c r="E885" t="s">
        <v>1784</v>
      </c>
      <c r="F885" t="str">
        <f>HYPERLINK("C:\Users\longueni\Desktop\Chubb produits code\Fiche catalogue\Détection incendie\Centrale\DAD SECOURU\CAT-CS_04_24-01_Fiche catalogue - DAD SECOURU.pdf", "Fiche Produit")</f>
        <v>Fiche Produit</v>
      </c>
    </row>
    <row r="886" spans="1:6" x14ac:dyDescent="0.25">
      <c r="A886" t="s">
        <v>6</v>
      </c>
      <c r="B886" t="s">
        <v>12</v>
      </c>
      <c r="C886" t="s">
        <v>15</v>
      </c>
      <c r="D886" t="s">
        <v>901</v>
      </c>
      <c r="E886" t="s">
        <v>1785</v>
      </c>
      <c r="F886" t="str">
        <f>HYPERLINK("C:\Users\longueni\Desktop\Chubb produits code\Fiche catalogue\Détection incendie\Centrale\TSC1\CAT-CS_04_24-02_Fiche catalogue - TSC1.pdf", "Fiche Produit")</f>
        <v>Fiche Produit</v>
      </c>
    </row>
    <row r="887" spans="1:6" x14ac:dyDescent="0.25">
      <c r="A887" t="s">
        <v>6</v>
      </c>
      <c r="B887" t="s">
        <v>12</v>
      </c>
      <c r="C887" t="s">
        <v>15</v>
      </c>
      <c r="D887" t="s">
        <v>902</v>
      </c>
      <c r="E887" t="s">
        <v>1786</v>
      </c>
      <c r="F887" t="str">
        <f>HYPERLINK("C:\Users\longueni\Desktop\Chubb produits code\Fiche catalogue\Détection incendie\Centrale\TSC1\CAT-CS_04_24-02_Fiche catalogue - TSC1.pdf", "Fiche Produit")</f>
        <v>Fiche Produit</v>
      </c>
    </row>
    <row r="888" spans="1:6" x14ac:dyDescent="0.25">
      <c r="A888" t="s">
        <v>6</v>
      </c>
      <c r="B888" t="s">
        <v>12</v>
      </c>
      <c r="C888" t="s">
        <v>15</v>
      </c>
      <c r="D888" t="s">
        <v>903</v>
      </c>
      <c r="E888" t="s">
        <v>1787</v>
      </c>
      <c r="F888" t="str">
        <f>HYPERLINK("C:\Users\longueni\Desktop\Chubb produits code\Fiche catalogue\Détection incendie\Centrale\CAT-CS_04_85-01_Fiche catalogue - GAMME RADIO.pdf", "Fiche Produit")</f>
        <v>Fiche Produit</v>
      </c>
    </row>
    <row r="889" spans="1:6" x14ac:dyDescent="0.25">
      <c r="A889" t="s">
        <v>6</v>
      </c>
      <c r="B889" t="s">
        <v>12</v>
      </c>
      <c r="C889" t="s">
        <v>15</v>
      </c>
      <c r="D889" t="s">
        <v>904</v>
      </c>
      <c r="E889" t="s">
        <v>1788</v>
      </c>
      <c r="F889" t="str">
        <f>HYPERLINK("C:\Users\longueni\Desktop\Chubb produits code\Fiche catalogue\Détection incendie\Déclencheur manuel\CAT-CS_05_31-01_Fiche catalogue - WCP5A-RP01SF-A207-01.pdf", "Fiche Produit")</f>
        <v>Fiche Produit</v>
      </c>
    </row>
    <row r="890" spans="1:6" x14ac:dyDescent="0.25">
      <c r="A890" t="s">
        <v>6</v>
      </c>
      <c r="B890" t="s">
        <v>13</v>
      </c>
      <c r="C890" t="s">
        <v>15</v>
      </c>
      <c r="D890" t="s">
        <v>905</v>
      </c>
      <c r="E890" t="s">
        <v>1789</v>
      </c>
      <c r="F890" t="str">
        <f>HYPERLINK("C:\Users\longueni\Desktop\Chubb produits code\CTLG-9001639_Catalogue - Produits et Systèmes CHUBB.pdf", "Fiche Produit")</f>
        <v>Fiche Produit</v>
      </c>
    </row>
    <row r="891" spans="1:6" x14ac:dyDescent="0.25">
      <c r="A891" t="s">
        <v>6</v>
      </c>
      <c r="B891" t="s">
        <v>13</v>
      </c>
      <c r="C891" t="s">
        <v>15</v>
      </c>
      <c r="D891" t="s">
        <v>906</v>
      </c>
      <c r="E891" t="s">
        <v>1790</v>
      </c>
      <c r="F891" t="str">
        <f>HYPERLINK("C:\Users\longueni\Desktop\Chubb produits code\CTLG-9001639_Catalogue - Produits et Systèmes CHUBB.pdf", "Fiche Produit")</f>
        <v>Fiche Produit</v>
      </c>
    </row>
    <row r="892" spans="1:6" x14ac:dyDescent="0.25">
      <c r="A892" t="s">
        <v>6</v>
      </c>
      <c r="B892" t="s">
        <v>13</v>
      </c>
      <c r="C892" t="s">
        <v>15</v>
      </c>
      <c r="D892" t="s">
        <v>907</v>
      </c>
      <c r="E892" t="s">
        <v>1791</v>
      </c>
      <c r="F892" t="str">
        <f>HYPERLINK("C:\Users\longueni\Desktop\Chubb produits code\Fiche catalogue\Détection incendie\Accessoires_outils\CAT-CS_04_16-01_Fiche catalogue - ACCESSOIRES DÉTECTEURS PONCTUELS.pdf", "Fiche Produit")</f>
        <v>Fiche Produit</v>
      </c>
    </row>
    <row r="893" spans="1:6" x14ac:dyDescent="0.25">
      <c r="A893" t="s">
        <v>6</v>
      </c>
      <c r="B893" t="s">
        <v>13</v>
      </c>
      <c r="C893" t="s">
        <v>15</v>
      </c>
      <c r="D893" t="s">
        <v>908</v>
      </c>
      <c r="E893" t="s">
        <v>1791</v>
      </c>
      <c r="F893" t="str">
        <f>HYPERLINK("C:\Users\longueni\Desktop\Chubb produits code\Fiche catalogue\Détection incendie\Accessoires_outils\CAT-CS_04_16-01_Fiche catalogue - ACCESSOIRES DÉTECTEURS PONCTUELS.pdf", "Fiche Produit")</f>
        <v>Fiche Produit</v>
      </c>
    </row>
    <row r="894" spans="1:6" x14ac:dyDescent="0.25">
      <c r="A894" t="s">
        <v>6</v>
      </c>
      <c r="B894" t="s">
        <v>13</v>
      </c>
      <c r="C894" t="s">
        <v>15</v>
      </c>
      <c r="D894" t="s">
        <v>909</v>
      </c>
      <c r="E894" t="s">
        <v>1792</v>
      </c>
      <c r="F894" t="str">
        <f>HYPERLINK("C:\Users\longueni\Desktop\Chubb produits code\CTLG-9001639_Catalogue - Produits et Systèmes CHUBB.pdf", "Fiche Produit")</f>
        <v>Fiche Produit</v>
      </c>
    </row>
    <row r="895" spans="1:6" x14ac:dyDescent="0.25">
      <c r="A895" t="s">
        <v>6</v>
      </c>
      <c r="B895" t="s">
        <v>13</v>
      </c>
      <c r="C895" t="s">
        <v>16</v>
      </c>
      <c r="D895" t="s">
        <v>910</v>
      </c>
      <c r="E895" t="s">
        <v>1793</v>
      </c>
      <c r="F895" t="str">
        <f>HYPERLINK("C:\Users\longueni\Desktop\Chubb produits code\Fiche catalogue\Détection incendie\Radio\R.Scan+\CAT-027_Fiche catalogue - Gamme radio R.Scan+.pdf", "Fiche Produit")</f>
        <v>Fiche Produit</v>
      </c>
    </row>
    <row r="896" spans="1:6" x14ac:dyDescent="0.25">
      <c r="A896" t="s">
        <v>6</v>
      </c>
      <c r="B896" t="s">
        <v>13</v>
      </c>
      <c r="C896" t="s">
        <v>15</v>
      </c>
      <c r="D896" t="s">
        <v>911</v>
      </c>
      <c r="E896" t="s">
        <v>1794</v>
      </c>
      <c r="F896" t="str">
        <f>HYPERLINK("C:\Users\longueni\Desktop\Chubb produits code\CTLG-9001639_Catalogue - Produits et Systèmes CHUBB.pdf", "Fiche Produit")</f>
        <v>Fiche Produit</v>
      </c>
    </row>
    <row r="897" spans="1:6" x14ac:dyDescent="0.25">
      <c r="A897" t="s">
        <v>6</v>
      </c>
      <c r="B897" t="s">
        <v>13</v>
      </c>
      <c r="C897" t="s">
        <v>16</v>
      </c>
      <c r="D897" t="s">
        <v>912</v>
      </c>
      <c r="E897" t="s">
        <v>1795</v>
      </c>
      <c r="F897" t="str">
        <f>HYPERLINK("C:\Users\longueni\Desktop\Chubb produits code\Fiche catalogue\Détection incendie\Interface _ O.I. _ Report _ TRE\ICF I.Scan+ V2\CAT-169_Fiche catalogue - ICF I.Scan+ V2.pdf", "Fiche Produit")</f>
        <v>Fiche Produit</v>
      </c>
    </row>
    <row r="898" spans="1:6" x14ac:dyDescent="0.25">
      <c r="A898" t="s">
        <v>6</v>
      </c>
      <c r="B898" t="s">
        <v>13</v>
      </c>
      <c r="C898" t="s">
        <v>16</v>
      </c>
      <c r="D898" t="s">
        <v>913</v>
      </c>
      <c r="E898" t="s">
        <v>1795</v>
      </c>
      <c r="F898" t="str">
        <f>HYPERLINK("C:\Users\longueni\Desktop\Chubb produits code\Fiche catalogue\Détection incendie\Interface _ O.I. _ Report _ TRE\ICF I.Scan+\CAT-CS_01_50-02_Fiche catalogue -  ICF I.Scan+.pdf", "Fiche Produit")</f>
        <v>Fiche Produit</v>
      </c>
    </row>
    <row r="899" spans="1:6" x14ac:dyDescent="0.25">
      <c r="A899" t="s">
        <v>6</v>
      </c>
      <c r="B899" t="s">
        <v>13</v>
      </c>
      <c r="C899" t="s">
        <v>15</v>
      </c>
      <c r="D899" t="s">
        <v>914</v>
      </c>
      <c r="E899" t="s">
        <v>1796</v>
      </c>
      <c r="F899" t="str">
        <f>HYPERLINK("C:\Users\longueni\Desktop\Chubb produits code\CTLG-9001639_Catalogue - Produits et Systèmes CHUBB.pdf", "Fiche Produit")</f>
        <v>Fiche Produit</v>
      </c>
    </row>
    <row r="900" spans="1:6" x14ac:dyDescent="0.25">
      <c r="A900" t="s">
        <v>6</v>
      </c>
      <c r="B900" t="s">
        <v>13</v>
      </c>
      <c r="C900" t="s">
        <v>15</v>
      </c>
      <c r="D900" t="s">
        <v>915</v>
      </c>
      <c r="E900" t="s">
        <v>1797</v>
      </c>
      <c r="F900" t="str">
        <f>HYPERLINK("C:\Users\longueni\Desktop\Chubb produits code\CTLG-9001639_Catalogue - Produits et Systèmes CHUBB.pdf", "Fiche Produit")</f>
        <v>Fiche Produit</v>
      </c>
    </row>
    <row r="901" spans="1:6" x14ac:dyDescent="0.25">
      <c r="A901" t="s">
        <v>6</v>
      </c>
      <c r="B901" t="s">
        <v>13</v>
      </c>
      <c r="C901" t="s">
        <v>15</v>
      </c>
      <c r="D901" t="s">
        <v>916</v>
      </c>
      <c r="E901" t="s">
        <v>1798</v>
      </c>
      <c r="F901" t="str">
        <f>HYPERLINK("C:\Users\longueni\Desktop\Chubb produits code\Fiche catalogue\Détection incendie\Détecteur _ socle\CAT-CS_04_15-01_Fiche catalogue - Report_Test RT3 pour DG13.pdf", "Fiche Produit")</f>
        <v>Fiche Produit</v>
      </c>
    </row>
    <row r="902" spans="1:6" x14ac:dyDescent="0.25">
      <c r="A902" t="s">
        <v>6</v>
      </c>
      <c r="B902" t="s">
        <v>13</v>
      </c>
      <c r="C902" t="s">
        <v>16</v>
      </c>
      <c r="D902" t="s">
        <v>917</v>
      </c>
      <c r="E902" t="s">
        <v>1799</v>
      </c>
      <c r="F902" t="str">
        <f>HYPERLINK("C:\Users\longueni\Desktop\Chubb produits code\Fiche catalogue\Détection incendie\Détecteur _ socle\CAT-CS_04_12-04_Fiche catalogue - DG13 ADRESSÉ V2.pdf", "Fiche Produit")</f>
        <v>Fiche Produit</v>
      </c>
    </row>
    <row r="903" spans="1:6" x14ac:dyDescent="0.25">
      <c r="A903" t="s">
        <v>6</v>
      </c>
      <c r="B903" t="s">
        <v>13</v>
      </c>
      <c r="C903" t="s">
        <v>15</v>
      </c>
      <c r="D903" t="s">
        <v>918</v>
      </c>
      <c r="E903" t="s">
        <v>1800</v>
      </c>
      <c r="F903" t="str">
        <f>HYPERLINK("C:\Users\longueni\Desktop\Chubb produits code\Fiche catalogue\Détection incendie\Détecteur _ socle\CAT-CS_04_12-03_Fiche catalogue - DG13 V2.pdf", "Fiche Produit")</f>
        <v>Fiche Produit</v>
      </c>
    </row>
    <row r="904" spans="1:6" x14ac:dyDescent="0.25">
      <c r="A904" t="s">
        <v>6</v>
      </c>
      <c r="B904" t="s">
        <v>13</v>
      </c>
      <c r="C904" t="s">
        <v>15</v>
      </c>
      <c r="D904" t="s">
        <v>919</v>
      </c>
      <c r="E904" t="s">
        <v>1801</v>
      </c>
      <c r="F904" t="str">
        <f>HYPERLINK("C:\Users\longueni\Desktop\Chubb produits code\Fiche catalogue\Détection incendie\Détecteur _ socle\C.Scan _ C.Scan+\CAT-CS_04_52-01_Fiche catalogue - C.Scan+ O.pdf", "Fiche Produit")</f>
        <v>Fiche Produit</v>
      </c>
    </row>
    <row r="905" spans="1:6" x14ac:dyDescent="0.25">
      <c r="A905" t="s">
        <v>6</v>
      </c>
      <c r="B905" t="s">
        <v>13</v>
      </c>
      <c r="C905" t="s">
        <v>15</v>
      </c>
      <c r="D905" t="s">
        <v>920</v>
      </c>
      <c r="E905" t="s">
        <v>1802</v>
      </c>
      <c r="F905" t="str">
        <f>HYPERLINK("C:\Users\longueni\Desktop\Chubb produits code\Fiche catalogue\Détection incendie\Détecteur _ socle\CAT-CS_04_102-01_Fiche catalogue - IR²  16581.pdf", "Fiche Produit")</f>
        <v>Fiche Produit</v>
      </c>
    </row>
    <row r="906" spans="1:6" x14ac:dyDescent="0.25">
      <c r="A906" t="s">
        <v>6</v>
      </c>
      <c r="B906" t="s">
        <v>13</v>
      </c>
      <c r="C906" t="s">
        <v>15</v>
      </c>
      <c r="D906" t="s">
        <v>921</v>
      </c>
      <c r="E906" t="s">
        <v>1803</v>
      </c>
      <c r="F906" t="str">
        <f>HYPERLINK("C:\Users\longueni\Desktop\Chubb produits code\Fiche catalogue\Détection incendie\Détecteur _ socle\C.Scan _ C.Scan+\CAT-CS_04_52-01_Fiche catalogue - C.Scan+ O.pdf", "Fiche Produit")</f>
        <v>Fiche Produit</v>
      </c>
    </row>
    <row r="907" spans="1:6" x14ac:dyDescent="0.25">
      <c r="A907" t="s">
        <v>6</v>
      </c>
      <c r="B907" t="s">
        <v>13</v>
      </c>
      <c r="C907" t="s">
        <v>15</v>
      </c>
      <c r="D907" t="s">
        <v>922</v>
      </c>
      <c r="E907" t="s">
        <v>1804</v>
      </c>
      <c r="F907" t="str">
        <f>HYPERLINK("C:\Users\longueni\Desktop\Chubb produits code\Fiche catalogue\Détection incendie\Détecteur _ socle\C.Scan _ C.Scan+\CAT-CS_04_53-01_Fiche catalogue - C.Scan+ T.pdf", "Fiche Produit")</f>
        <v>Fiche Produit</v>
      </c>
    </row>
    <row r="908" spans="1:6" x14ac:dyDescent="0.25">
      <c r="A908" t="s">
        <v>6</v>
      </c>
      <c r="B908" t="s">
        <v>13</v>
      </c>
      <c r="C908" t="s">
        <v>15</v>
      </c>
      <c r="D908" t="s">
        <v>923</v>
      </c>
      <c r="E908" t="s">
        <v>1805</v>
      </c>
      <c r="F908" t="str">
        <f>HYPERLINK("C:\Users\longueni\Desktop\Chubb produits code\Fiche catalogue\Détection incendie\Détecteur _ socle\C.Scan _ C.Scan+\CAT-CS_04_54-01_Fiche catalogue - C.Scan+ TV.pdf", "Fiche Produit")</f>
        <v>Fiche Produit</v>
      </c>
    </row>
    <row r="909" spans="1:6" x14ac:dyDescent="0.25">
      <c r="A909" t="s">
        <v>6</v>
      </c>
      <c r="B909" t="s">
        <v>13</v>
      </c>
      <c r="C909" t="s">
        <v>15</v>
      </c>
      <c r="D909" t="s">
        <v>924</v>
      </c>
      <c r="E909" t="s">
        <v>1806</v>
      </c>
      <c r="F909" t="str">
        <f>HYPERLINK("C:\Users\longueni\Desktop\Chubb produits code\CTLG-9001639_Catalogue - Produits et Systèmes CHUBB.pdf", "Fiche Produit")</f>
        <v>Fiche Produit</v>
      </c>
    </row>
    <row r="910" spans="1:6" x14ac:dyDescent="0.25">
      <c r="A910" t="s">
        <v>6</v>
      </c>
      <c r="B910" t="s">
        <v>13</v>
      </c>
      <c r="C910" t="s">
        <v>16</v>
      </c>
      <c r="D910" t="s">
        <v>925</v>
      </c>
      <c r="E910" t="s">
        <v>1807</v>
      </c>
      <c r="F910" t="str">
        <f>HYPERLINK("C:\Users\longueni\Desktop\Chubb produits code\Fiche catalogue\Détection incendie\Détecteur _ socle\I.Scan _ I.Scan+\CAT-CS_04_72-02_Fiche catalogue - I.Scan+ O.pdf", "Fiche Produit")</f>
        <v>Fiche Produit</v>
      </c>
    </row>
    <row r="911" spans="1:6" x14ac:dyDescent="0.25">
      <c r="A911" t="s">
        <v>6</v>
      </c>
      <c r="B911" t="s">
        <v>13</v>
      </c>
      <c r="C911" t="s">
        <v>16</v>
      </c>
      <c r="D911" t="s">
        <v>926</v>
      </c>
      <c r="E911" t="s">
        <v>1808</v>
      </c>
      <c r="F911" t="str">
        <f>HYPERLINK("C:\Users\longueni\Desktop\Chubb produits code\Fiche catalogue\Détection incendie\Détecteur _ socle\I.Scan _ I.Scan+\CAT-CS_04_75-02_Fiche catalogue - SOCLE I.Scan+.pdf", "Fiche Produit")</f>
        <v>Fiche Produit</v>
      </c>
    </row>
    <row r="912" spans="1:6" x14ac:dyDescent="0.25">
      <c r="A912" t="s">
        <v>6</v>
      </c>
      <c r="B912" t="s">
        <v>13</v>
      </c>
      <c r="C912" t="s">
        <v>16</v>
      </c>
      <c r="D912" t="s">
        <v>927</v>
      </c>
      <c r="E912" t="s">
        <v>1809</v>
      </c>
      <c r="F912" t="str">
        <f>HYPERLINK("C:\Users\longueni\Desktop\Chubb produits code\Fiche catalogue\Détection incendie\Détecteur _ socle\I.Scan _ I.Scan+\CAT-CS_04_72-02_Fiche catalogue - I.Scan+ O.pdf", "Fiche Produit")</f>
        <v>Fiche Produit</v>
      </c>
    </row>
    <row r="913" spans="1:6" x14ac:dyDescent="0.25">
      <c r="A913" t="s">
        <v>6</v>
      </c>
      <c r="B913" t="s">
        <v>13</v>
      </c>
      <c r="C913" t="s">
        <v>16</v>
      </c>
      <c r="D913" t="s">
        <v>928</v>
      </c>
      <c r="E913" t="s">
        <v>1810</v>
      </c>
      <c r="F913" t="str">
        <f>HYPERLINK("C:\Users\longueni\Desktop\Chubb produits code\Fiche catalogue\Détection incendie\Interface _ O.I. _ Report _ TRE\ICC\CAT-CS_01_72-03_Fiche catalogue - ICC I.Scan+.pdf", "Fiche Produit")</f>
        <v>Fiche Produit</v>
      </c>
    </row>
    <row r="914" spans="1:6" x14ac:dyDescent="0.25">
      <c r="A914" t="s">
        <v>6</v>
      </c>
      <c r="B914" t="s">
        <v>13</v>
      </c>
      <c r="C914" t="s">
        <v>16</v>
      </c>
      <c r="D914" t="s">
        <v>929</v>
      </c>
      <c r="E914" t="s">
        <v>1811</v>
      </c>
      <c r="F914" t="str">
        <f>HYPERLINK("C:\Users\longueni\Desktop\Chubb produits code\Fiche catalogue\Détection incendie\Interface _ O.I. _ Report _ TRE\ICC\CAT-CS_01_72-02_Fiche catalogue - ICC I.Scan Filaire.pdf", "Fiche Produit")</f>
        <v>Fiche Produit</v>
      </c>
    </row>
    <row r="915" spans="1:6" x14ac:dyDescent="0.25">
      <c r="A915" t="s">
        <v>6</v>
      </c>
      <c r="B915" t="s">
        <v>13</v>
      </c>
      <c r="C915" t="s">
        <v>16</v>
      </c>
      <c r="D915" t="s">
        <v>930</v>
      </c>
      <c r="E915" t="s">
        <v>1812</v>
      </c>
      <c r="F915" t="str">
        <f>HYPERLINK("C:\Users\longueni\Desktop\Chubb produits code\Fiche catalogue\Détection incendie\Interface _ O.I. _ Report _ TRE\ICF I.Scan+\CAT-CS_01_50-02_Fiche catalogue -  ICF I.Scan+.pdf", "Fiche Produit")</f>
        <v>Fiche Produit</v>
      </c>
    </row>
    <row r="916" spans="1:6" x14ac:dyDescent="0.25">
      <c r="A916" t="s">
        <v>6</v>
      </c>
      <c r="B916" t="s">
        <v>13</v>
      </c>
      <c r="C916" t="s">
        <v>16</v>
      </c>
      <c r="D916" t="s">
        <v>931</v>
      </c>
      <c r="E916" t="s">
        <v>1813</v>
      </c>
      <c r="F916" t="str">
        <f>HYPERLINK("C:\Users\longueni\Desktop\Chubb produits code\Fiche catalogue\Détection incendie\Interface _ O.I. _ Report _ TRE\ICF I.Scan+ V2\CAT-169_Fiche catalogue - ICF I.Scan+ V2.pdf", "Fiche Produit")</f>
        <v>Fiche Produit</v>
      </c>
    </row>
    <row r="917" spans="1:6" x14ac:dyDescent="0.25">
      <c r="A917" t="s">
        <v>6</v>
      </c>
      <c r="B917" t="s">
        <v>13</v>
      </c>
      <c r="C917" t="s">
        <v>15</v>
      </c>
      <c r="D917" t="s">
        <v>932</v>
      </c>
      <c r="E917" t="s">
        <v>1814</v>
      </c>
      <c r="F917" t="str">
        <f>HYPERLINK("C:\Users\longueni\Desktop\Chubb produits code\CTLG-9001639_Catalogue - Produits et Systèmes CHUBB.pdf", "Fiche Produit")</f>
        <v>Fiche Produit</v>
      </c>
    </row>
    <row r="918" spans="1:6" x14ac:dyDescent="0.25">
      <c r="A918" t="s">
        <v>6</v>
      </c>
      <c r="B918" t="s">
        <v>13</v>
      </c>
      <c r="C918" t="s">
        <v>15</v>
      </c>
      <c r="D918" t="s">
        <v>933</v>
      </c>
      <c r="E918" t="s">
        <v>1814</v>
      </c>
      <c r="F918" t="str">
        <f>HYPERLINK("C:\Users\longueni\Desktop\Chubb produits code\CTLG-9001639_Catalogue - Produits et Systèmes CHUBB.pdf", "Fiche Produit")</f>
        <v>Fiche Produit</v>
      </c>
    </row>
    <row r="919" spans="1:6" x14ac:dyDescent="0.25">
      <c r="A919" t="s">
        <v>6</v>
      </c>
      <c r="B919" t="s">
        <v>13</v>
      </c>
      <c r="C919" t="s">
        <v>15</v>
      </c>
      <c r="D919" t="s">
        <v>934</v>
      </c>
      <c r="E919" t="s">
        <v>1814</v>
      </c>
      <c r="F919" t="str">
        <f>HYPERLINK("C:\Users\longueni\Desktop\Chubb produits code\CTLG-9001639_Catalogue - Produits et Systèmes CHUBB.pdf", "Fiche Produit")</f>
        <v>Fiche Produit</v>
      </c>
    </row>
    <row r="920" spans="1:6" x14ac:dyDescent="0.25">
      <c r="A920" t="s">
        <v>6</v>
      </c>
      <c r="B920" t="s">
        <v>13</v>
      </c>
      <c r="C920" t="s">
        <v>15</v>
      </c>
      <c r="D920" t="s">
        <v>935</v>
      </c>
      <c r="E920" t="s">
        <v>1815</v>
      </c>
      <c r="F920" t="str">
        <f>HYPERLINK("C:\Users\longueni\Desktop\Chubb produits code\Fiche catalogue\Détection incendie\Détecteur _ socle\DET-TRONICS\CAT-097_Fiche catalogue - Détecteur DET-TRONICS X3301 IR.pdf", "Fiche Produit")</f>
        <v>Fiche Produit</v>
      </c>
    </row>
    <row r="921" spans="1:6" x14ac:dyDescent="0.25">
      <c r="A921" t="s">
        <v>6</v>
      </c>
      <c r="B921" t="s">
        <v>13</v>
      </c>
      <c r="C921" t="s">
        <v>15</v>
      </c>
      <c r="D921" t="s">
        <v>936</v>
      </c>
      <c r="E921" t="s">
        <v>1816</v>
      </c>
      <c r="F921" t="str">
        <f>HYPERLINK("C:\Users\longueni\Desktop\Chubb produits code\Fiche catalogue\Détection incendie\Détecteur _ socle\CAT-CS_04_15-01_Fiche catalogue - Report_Test RT3 pour DG13.pdf", "Fiche Produit")</f>
        <v>Fiche Produit</v>
      </c>
    </row>
    <row r="922" spans="1:6" x14ac:dyDescent="0.25">
      <c r="A922" t="s">
        <v>6</v>
      </c>
      <c r="B922" t="s">
        <v>13</v>
      </c>
      <c r="C922" t="s">
        <v>16</v>
      </c>
      <c r="D922" t="s">
        <v>937</v>
      </c>
      <c r="E922" t="s">
        <v>1817</v>
      </c>
      <c r="F922" t="str">
        <f>HYPERLINK("C:\Users\longueni\Desktop\Chubb produits code\Fiche catalogue\Détection incendie\Dispositif sonore _ lumineux\CAT-CS_04_61-01_Fiche catalogue - Socle Buzzer Scan.pdf", "Fiche Produit")</f>
        <v>Fiche Produit</v>
      </c>
    </row>
    <row r="923" spans="1:6" x14ac:dyDescent="0.25">
      <c r="A923" t="s">
        <v>6</v>
      </c>
      <c r="B923" t="s">
        <v>13</v>
      </c>
      <c r="C923" t="s">
        <v>15</v>
      </c>
      <c r="D923" t="s">
        <v>938</v>
      </c>
      <c r="E923" t="s">
        <v>1818</v>
      </c>
      <c r="F923" t="str">
        <f>HYPERLINK("C:\Users\longueni\Desktop\Chubb produits code\Fiche catalogue\Détection incendie\Détecteur _ socle\CAT-CS_04_102-01_Fiche catalogue - IR²  16581.pdf", "Fiche Produit")</f>
        <v>Fiche Produit</v>
      </c>
    </row>
    <row r="924" spans="1:6" x14ac:dyDescent="0.25">
      <c r="A924" t="s">
        <v>6</v>
      </c>
      <c r="B924" t="s">
        <v>13</v>
      </c>
      <c r="C924" t="s">
        <v>16</v>
      </c>
      <c r="D924" t="s">
        <v>939</v>
      </c>
      <c r="E924" t="s">
        <v>1819</v>
      </c>
      <c r="F924" t="str">
        <f>HYPERLINK("C:\Users\longueni\Desktop\Chubb produits code\Fiche catalogue\Détection incendie\Centrale\CAT-CS_01_65-01_Fiche catalogue - UAI 2B I.Scan LON FTT.pdf", "Fiche Produit")</f>
        <v>Fiche Produit</v>
      </c>
    </row>
    <row r="925" spans="1:6" x14ac:dyDescent="0.25">
      <c r="A925" t="s">
        <v>6</v>
      </c>
      <c r="B925" t="s">
        <v>13</v>
      </c>
      <c r="C925" t="s">
        <v>16</v>
      </c>
      <c r="D925" t="s">
        <v>940</v>
      </c>
      <c r="E925" t="s">
        <v>1820</v>
      </c>
      <c r="F925" t="str">
        <f>HYPERLINK("C:\Users\longueni\Desktop\Chubb produits code\Fiche catalogue\Détection incendie\Centrale\CAT-CS_01_65-01_Fiche catalogue - UAI 2B I.Scan LON FTT.pdf", "Fiche Produit")</f>
        <v>Fiche Produit</v>
      </c>
    </row>
    <row r="926" spans="1:6" x14ac:dyDescent="0.25">
      <c r="A926" t="s">
        <v>6</v>
      </c>
      <c r="B926" t="s">
        <v>13</v>
      </c>
      <c r="C926" t="s">
        <v>15</v>
      </c>
      <c r="D926" t="s">
        <v>941</v>
      </c>
      <c r="E926" t="s">
        <v>1821</v>
      </c>
      <c r="F926" t="str">
        <f>HYPERLINK("C:\Users\longueni\Desktop\Chubb produits code\CTLG-9001639_Catalogue - Produits et Systèmes CHUBB.pdf", "Fiche Produit")</f>
        <v>Fiche Produit</v>
      </c>
    </row>
    <row r="927" spans="1:6" x14ac:dyDescent="0.25">
      <c r="A927" t="s">
        <v>6</v>
      </c>
      <c r="B927" t="s">
        <v>13</v>
      </c>
      <c r="C927" t="s">
        <v>16</v>
      </c>
      <c r="D927" t="s">
        <v>942</v>
      </c>
      <c r="E927" t="s">
        <v>1822</v>
      </c>
      <c r="F927" t="str">
        <f>HYPERLINK("C:\Users\longueni\Desktop\Chubb produits code\Fiche catalogue\Détection incendie\Accessoires_outils\CAT-CS_04_88-01_Fiche catalogue - VALISE TEST DÉTECTEUR.pdf", "Fiche Produit")</f>
        <v>Fiche Produit</v>
      </c>
    </row>
    <row r="928" spans="1:6" x14ac:dyDescent="0.25">
      <c r="A928" t="s">
        <v>6</v>
      </c>
      <c r="B928" t="s">
        <v>13</v>
      </c>
      <c r="C928" t="s">
        <v>16</v>
      </c>
      <c r="D928" t="s">
        <v>943</v>
      </c>
      <c r="E928" t="s">
        <v>1823</v>
      </c>
      <c r="F928" t="str">
        <f>HYPERLINK("C:\Users\longueni\Desktop\Chubb produits code\Fiche catalogue\Détection incendie\Accessoires_outils\CAT-CS_04_88-02_Fiche catalogue - VALISE TEST I.SCAN _ SPECTRAL.pdf", "Fiche Produit")</f>
        <v>Fiche Produit</v>
      </c>
    </row>
    <row r="929" spans="1:6" x14ac:dyDescent="0.25">
      <c r="A929" t="s">
        <v>6</v>
      </c>
      <c r="B929" t="s">
        <v>13</v>
      </c>
      <c r="C929" t="s">
        <v>15</v>
      </c>
      <c r="D929" t="s">
        <v>944</v>
      </c>
      <c r="E929" t="s">
        <v>1824</v>
      </c>
      <c r="F929" t="str">
        <f>HYPERLINK("C:\Users\longueni\Desktop\Chubb produits code\Fiche catalogue\Détection incendie\Détecteur _ socle\DET-TRONICS\CAT-097_Fiche catalogue - Détecteur DET-TRONICS X3301 IR.pdf", "Fiche Produit")</f>
        <v>Fiche Produit</v>
      </c>
    </row>
    <row r="930" spans="1:6" x14ac:dyDescent="0.25">
      <c r="A930" t="s">
        <v>6</v>
      </c>
      <c r="B930" t="s">
        <v>13</v>
      </c>
      <c r="C930" t="s">
        <v>15</v>
      </c>
      <c r="D930" t="s">
        <v>945</v>
      </c>
      <c r="E930" t="s">
        <v>1825</v>
      </c>
      <c r="F930" t="str">
        <f>HYPERLINK("C:\Users\longueni\Desktop\Chubb produits code\Fiche catalogue\Détection incendie\Détecteur _ socle\DET-TRONICS\CAT-131_Fiche catalogue - Détecteur DET-TRONICS IR X9800.pdf", "Fiche Produit")</f>
        <v>Fiche Produit</v>
      </c>
    </row>
    <row r="931" spans="1:6" x14ac:dyDescent="0.25">
      <c r="A931" t="s">
        <v>6</v>
      </c>
      <c r="B931" t="s">
        <v>13</v>
      </c>
      <c r="C931" t="s">
        <v>16</v>
      </c>
      <c r="D931" t="s">
        <v>946</v>
      </c>
      <c r="E931" t="s">
        <v>1826</v>
      </c>
      <c r="F931" t="str">
        <f>HYPERLINK("C:\Users\longueni\Desktop\Chubb produits code\Fiche catalogue\Détection incendie\Interface _ O.I. _ Report _ TRE\ICC\CAT-CS_01_72-01_Fiche catalogue - ICC I.Scan.pdf", "Fiche Produit")</f>
        <v>Fiche Produit</v>
      </c>
    </row>
    <row r="932" spans="1:6" x14ac:dyDescent="0.25">
      <c r="A932" t="s">
        <v>6</v>
      </c>
      <c r="B932" t="s">
        <v>13</v>
      </c>
      <c r="C932" t="s">
        <v>15</v>
      </c>
      <c r="D932" t="s">
        <v>947</v>
      </c>
      <c r="E932" t="s">
        <v>1827</v>
      </c>
      <c r="F932" t="str">
        <f>HYPERLINK("C:\Users\longueni\Desktop\Chubb produits code\Fiche catalogue\Détection incendie\Radio\Détecteur _ Socle\CAT-CS_04_85-02_Fiche catalogue - Détecteur, déclencheur et interface radio - Gamme SG.Scan.pdf", "Fiche Produit")</f>
        <v>Fiche Produit</v>
      </c>
    </row>
    <row r="933" spans="1:6" x14ac:dyDescent="0.25">
      <c r="A933" t="s">
        <v>6</v>
      </c>
      <c r="B933" t="s">
        <v>14</v>
      </c>
      <c r="C933" t="s">
        <v>15</v>
      </c>
      <c r="D933" t="s">
        <v>948</v>
      </c>
      <c r="E933" t="s">
        <v>1828</v>
      </c>
      <c r="F933" t="str">
        <f>HYPERLINK("C:\Users\longueni\Desktop\Chubb produits code\Fiche catalogue\Extinction\Accessoires_outils\CAT-056_Fiche catalogue - DAOV électrique V3.pdf", "Fiche Produit")</f>
        <v>Fiche Produit</v>
      </c>
    </row>
    <row r="934" spans="1:6" x14ac:dyDescent="0.25">
      <c r="A934" t="s">
        <v>6</v>
      </c>
      <c r="B934" t="s">
        <v>14</v>
      </c>
      <c r="C934" t="s">
        <v>15</v>
      </c>
      <c r="D934" t="s">
        <v>949</v>
      </c>
      <c r="E934" t="s">
        <v>1829</v>
      </c>
      <c r="F934" t="str">
        <f>HYPERLINK("C:\Users\longueni\Desktop\Chubb produits code\Fiche catalogue\Extinction\Accessoires_outils\CAT-CS_N_01-01_Fiche catalogue - DAOV PYROTECHNIQUE V2.pdf", "Fiche Produit")</f>
        <v>Fiche Produit</v>
      </c>
    </row>
    <row r="935" spans="1:6" x14ac:dyDescent="0.25">
      <c r="A935" t="s">
        <v>7</v>
      </c>
      <c r="B935" t="s">
        <v>8</v>
      </c>
      <c r="C935" t="s">
        <v>15</v>
      </c>
      <c r="D935" t="s">
        <v>950</v>
      </c>
      <c r="E935" t="s">
        <v>1830</v>
      </c>
      <c r="F935" t="str">
        <f>HYPERLINK("C:\Users\longueni\Desktop\Chubb produits code\Fiche catalogue\Détection incendie\Centrale\CAT-143_INFLUENCE - Carte 2F DIRECTE CAN.pdf", "Fiche Produit")</f>
        <v>Fiche Produit</v>
      </c>
    </row>
    <row r="936" spans="1:6" x14ac:dyDescent="0.25">
      <c r="A936" t="s">
        <v>7</v>
      </c>
      <c r="B936" t="s">
        <v>8</v>
      </c>
      <c r="C936" t="s">
        <v>15</v>
      </c>
      <c r="D936" t="s">
        <v>951</v>
      </c>
      <c r="E936" t="s">
        <v>1831</v>
      </c>
      <c r="F936" t="str">
        <f>HYPERLINK("C:\Users\longueni\Desktop\Chubb produits code\Fiche catalogue\Détection incendie\Centrale\CAT-144_INFLUENCE - Module xF_xV DIRECTE CAN.pdf", "Fiche Produit")</f>
        <v>Fiche Produit</v>
      </c>
    </row>
    <row r="937" spans="1:6" x14ac:dyDescent="0.25">
      <c r="A937" t="s">
        <v>7</v>
      </c>
      <c r="B937" t="s">
        <v>8</v>
      </c>
      <c r="C937" t="s">
        <v>15</v>
      </c>
      <c r="D937" t="s">
        <v>952</v>
      </c>
      <c r="E937" t="s">
        <v>1832</v>
      </c>
      <c r="F937" t="str">
        <f>HYPERLINK("C:\Users\longueni\Desktop\Chubb produits code\Fiche catalogue\Détection incendie\Centrale\CAT-145_INFLUENCE - Carte Face avant 8F CAN.pdf", "Fiche Produit")</f>
        <v>Fiche Produit</v>
      </c>
    </row>
    <row r="938" spans="1:6" x14ac:dyDescent="0.25">
      <c r="A938" t="s">
        <v>7</v>
      </c>
      <c r="B938" t="s">
        <v>8</v>
      </c>
      <c r="C938" t="s">
        <v>15</v>
      </c>
      <c r="D938" t="s">
        <v>953</v>
      </c>
      <c r="E938" t="s">
        <v>1833</v>
      </c>
      <c r="F938" t="str">
        <f>HYPERLINK("C:\Users\longueni\Desktop\Chubb produits code\Fiche catalogue\Détection incendie\Centrale\CAT-135_INFLUENCE - INnova-FAD CMSI.pdf", "Fiche Produit")</f>
        <v>Fiche Produit</v>
      </c>
    </row>
    <row r="939" spans="1:6" x14ac:dyDescent="0.25">
      <c r="A939" t="s">
        <v>7</v>
      </c>
      <c r="B939" t="s">
        <v>8</v>
      </c>
      <c r="C939" t="s">
        <v>15</v>
      </c>
      <c r="D939" t="s">
        <v>954</v>
      </c>
      <c r="E939" t="s">
        <v>1833</v>
      </c>
      <c r="F939" t="str">
        <f>HYPERLINK("C:\Users\longueni\Desktop\Chubb produits code\Fiche catalogue\Détection incendie\Centrale\CAT-135_INFLUENCE - INnova-FAD CMSI.pdf", "Fiche Produit")</f>
        <v>Fiche Produit</v>
      </c>
    </row>
    <row r="940" spans="1:6" x14ac:dyDescent="0.25">
      <c r="A940" t="s">
        <v>7</v>
      </c>
      <c r="B940" t="s">
        <v>9</v>
      </c>
      <c r="C940" t="s">
        <v>15</v>
      </c>
      <c r="D940" t="s">
        <v>955</v>
      </c>
      <c r="E940" t="s">
        <v>1834</v>
      </c>
      <c r="F940" t="str">
        <f>HYPERLINK("C:\Users\longueni\Desktop\Chubb produits code\Fiche catalogue\Détection incendie\Centrale\INfluence\CAT-045_INFLUENCE - INfluence-I ECS.pdf", "Fiche Produit")</f>
        <v>Fiche Produit</v>
      </c>
    </row>
    <row r="941" spans="1:6" x14ac:dyDescent="0.25">
      <c r="A941" t="s">
        <v>7</v>
      </c>
      <c r="B941" t="s">
        <v>9</v>
      </c>
      <c r="C941" t="s">
        <v>15</v>
      </c>
      <c r="D941" t="s">
        <v>956</v>
      </c>
      <c r="E941" t="s">
        <v>1835</v>
      </c>
      <c r="F941" t="str">
        <f>HYPERLINK("C:\Users\longueni\Desktop\Chubb produits code\Fiche catalogue\Détection incendie\Centrale\CAT-160_INFLUENCE - Bloc ALIM 150W IN.pdf", "Fiche Produit")</f>
        <v>Fiche Produit</v>
      </c>
    </row>
    <row r="942" spans="1:6" x14ac:dyDescent="0.25">
      <c r="A942" t="s">
        <v>7</v>
      </c>
      <c r="B942" t="s">
        <v>9</v>
      </c>
      <c r="C942" t="s">
        <v>15</v>
      </c>
      <c r="D942" t="s">
        <v>957</v>
      </c>
      <c r="E942" t="s">
        <v>1836</v>
      </c>
      <c r="F942" t="str">
        <f>HYPERLINK("C:\Users\longueni\Desktop\Chubb produits code\CTLG-9001936_Catalogue - Produits et Systèmes INfluence.pdf", "Fiche Produit")</f>
        <v>Fiche Produit</v>
      </c>
    </row>
    <row r="943" spans="1:6" x14ac:dyDescent="0.25">
      <c r="A943" t="s">
        <v>7</v>
      </c>
      <c r="B943" t="s">
        <v>9</v>
      </c>
      <c r="C943" t="s">
        <v>15</v>
      </c>
      <c r="D943" t="s">
        <v>958</v>
      </c>
      <c r="E943" t="s">
        <v>1837</v>
      </c>
      <c r="F943" t="str">
        <f>HYPERLINK("C:\Users\longueni\Desktop\Chubb produits code\Fiche catalogue\Détection incendie\Centrale\CAT-149_INFLUENCE - Carte 4_8 VOIES CAN.pdf", "Fiche Produit")</f>
        <v>Fiche Produit</v>
      </c>
    </row>
    <row r="944" spans="1:6" x14ac:dyDescent="0.25">
      <c r="A944" t="s">
        <v>7</v>
      </c>
      <c r="B944" t="s">
        <v>9</v>
      </c>
      <c r="C944" t="s">
        <v>15</v>
      </c>
      <c r="D944" t="s">
        <v>959</v>
      </c>
      <c r="E944" t="s">
        <v>1838</v>
      </c>
      <c r="F944" t="str">
        <f>HYPERLINK("C:\Users\longueni\Desktop\Chubb produits code\Fiche catalogue\Détection incendie\Centrale\CAT-151_INFLUENCE - Carte 2_4 VOIES LON IN.pdf", "Fiche Produit")</f>
        <v>Fiche Produit</v>
      </c>
    </row>
    <row r="945" spans="1:6" x14ac:dyDescent="0.25">
      <c r="A945" t="s">
        <v>7</v>
      </c>
      <c r="B945" t="s">
        <v>9</v>
      </c>
      <c r="C945" t="s">
        <v>15</v>
      </c>
      <c r="D945" t="s">
        <v>960</v>
      </c>
      <c r="E945" t="s">
        <v>1839</v>
      </c>
      <c r="F945" t="str">
        <f>HYPERLINK("C:\Users\longueni\Desktop\Chubb produits code\Fiche catalogue\Détection incendie\Centrale\CAT-149_INFLUENCE - Carte 4_8 VOIES CAN.pdf", "Fiche Produit")</f>
        <v>Fiche Produit</v>
      </c>
    </row>
    <row r="946" spans="1:6" x14ac:dyDescent="0.25">
      <c r="A946" t="s">
        <v>7</v>
      </c>
      <c r="B946" t="s">
        <v>9</v>
      </c>
      <c r="C946" t="s">
        <v>15</v>
      </c>
      <c r="D946" t="s">
        <v>961</v>
      </c>
      <c r="E946" t="s">
        <v>1840</v>
      </c>
      <c r="F946" t="str">
        <f>HYPERLINK("C:\Users\longueni\Desktop\Chubb produits code\Fiche catalogue\Détection incendie\Centrale\CAT-155_INFLUENCE - Carte DEPORT LPT 24_48 IN.pdf", "Fiche Produit")</f>
        <v>Fiche Produit</v>
      </c>
    </row>
    <row r="947" spans="1:6" x14ac:dyDescent="0.25">
      <c r="A947" t="s">
        <v>7</v>
      </c>
      <c r="B947" t="s">
        <v>9</v>
      </c>
      <c r="C947" t="s">
        <v>15</v>
      </c>
      <c r="D947" t="s">
        <v>962</v>
      </c>
      <c r="E947" t="s">
        <v>1841</v>
      </c>
      <c r="F947" t="str">
        <f>HYPERLINK("C:\Users\longueni\Desktop\Chubb produits code\Fiche catalogue\Détection incendie\Centrale\CAT-167_INFLUENCE - Carte Déport FTT IN.pdf", "Fiche Produit")</f>
        <v>Fiche Produit</v>
      </c>
    </row>
    <row r="948" spans="1:6" x14ac:dyDescent="0.25">
      <c r="A948" t="s">
        <v>7</v>
      </c>
      <c r="B948" t="s">
        <v>9</v>
      </c>
      <c r="C948" t="s">
        <v>15</v>
      </c>
      <c r="D948" t="s">
        <v>963</v>
      </c>
      <c r="E948" t="s">
        <v>1842</v>
      </c>
      <c r="F948" t="str">
        <f>HYPERLINK("C:\Users\longueni\Desktop\Chubb produits code\Fiche catalogue\Détection incendie\Centrale\CAT-148_INFLUENCE - Carte UAC 16ZD CAN.pdf", "Fiche Produit")</f>
        <v>Fiche Produit</v>
      </c>
    </row>
    <row r="949" spans="1:6" x14ac:dyDescent="0.25">
      <c r="A949" t="s">
        <v>7</v>
      </c>
      <c r="B949" t="s">
        <v>9</v>
      </c>
      <c r="C949" t="s">
        <v>15</v>
      </c>
      <c r="D949" t="s">
        <v>964</v>
      </c>
      <c r="E949" t="s">
        <v>1843</v>
      </c>
      <c r="F949" t="str">
        <f>HYPERLINK("C:\Users\longueni\Desktop\Chubb produits code\Fiche catalogue\Détection incendie\Centrale\CAT-147_INFLUENCE - Carte UAI 2B LON IN.pdf", "Fiche Produit")</f>
        <v>Fiche Produit</v>
      </c>
    </row>
    <row r="950" spans="1:6" x14ac:dyDescent="0.25">
      <c r="A950" t="s">
        <v>7</v>
      </c>
      <c r="B950" t="s">
        <v>9</v>
      </c>
      <c r="C950" t="s">
        <v>15</v>
      </c>
      <c r="D950" t="s">
        <v>965</v>
      </c>
      <c r="E950" t="s">
        <v>1844</v>
      </c>
      <c r="F950" t="str">
        <f>HYPERLINK("C:\Users\longueni\Desktop\Chubb produits code\Fiche catalogue\Détection incendie\Centrale\CAT-150_INFLUENCE - Carte UCR 12_24 RELAIS CAN.pdf", "Fiche Produit")</f>
        <v>Fiche Produit</v>
      </c>
    </row>
    <row r="951" spans="1:6" x14ac:dyDescent="0.25">
      <c r="A951" t="s">
        <v>7</v>
      </c>
      <c r="B951" t="s">
        <v>9</v>
      </c>
      <c r="C951" t="s">
        <v>15</v>
      </c>
      <c r="D951" t="s">
        <v>966</v>
      </c>
      <c r="E951" t="s">
        <v>1845</v>
      </c>
      <c r="F951" t="str">
        <f>HYPERLINK("C:\Users\longueni\Desktop\Chubb produits code\Fiche catalogue\Détection incendie\Centrale\CAT-150_INFLUENCE - Carte UCR 12_24 RELAIS CAN.pdf", "Fiche Produit")</f>
        <v>Fiche Produit</v>
      </c>
    </row>
    <row r="952" spans="1:6" x14ac:dyDescent="0.25">
      <c r="A952" t="s">
        <v>7</v>
      </c>
      <c r="B952" t="s">
        <v>9</v>
      </c>
      <c r="C952" t="s">
        <v>15</v>
      </c>
      <c r="D952" t="s">
        <v>967</v>
      </c>
      <c r="E952" t="s">
        <v>1846</v>
      </c>
      <c r="F952" t="str">
        <f>HYPERLINK("C:\Users\longueni\Desktop\Chubb produits code\Fiche catalogue\Détection incendie\Centrale\CAT-142_INFLUENCE - Carte Face avant 2ZA CAN.pdf", "Fiche Produit")</f>
        <v>Fiche Produit</v>
      </c>
    </row>
    <row r="953" spans="1:6" x14ac:dyDescent="0.25">
      <c r="A953" t="s">
        <v>7</v>
      </c>
      <c r="B953" t="s">
        <v>9</v>
      </c>
      <c r="C953" t="s">
        <v>15</v>
      </c>
      <c r="D953" t="s">
        <v>968</v>
      </c>
      <c r="E953" t="s">
        <v>1847</v>
      </c>
      <c r="F953" t="str">
        <f>HYPERLINK("C:\Users\longueni\Desktop\Chubb produits code\Fiche catalogue\Détection incendie\Centrale\CAT-147_INFLUENCE - Carte UAI 2B LON IN.pdf", "Fiche Produit")</f>
        <v>Fiche Produit</v>
      </c>
    </row>
    <row r="954" spans="1:6" x14ac:dyDescent="0.25">
      <c r="A954" t="s">
        <v>7</v>
      </c>
      <c r="B954" t="s">
        <v>9</v>
      </c>
      <c r="C954" t="s">
        <v>15</v>
      </c>
      <c r="D954" t="s">
        <v>969</v>
      </c>
      <c r="E954" t="s">
        <v>1848</v>
      </c>
      <c r="F954" t="str">
        <f>HYPERLINK("C:\Users\longueni\Desktop\Chubb produits code\Fiche catalogue\Détection incendie\Centrale\CAT-149_INFLUENCE - Carte 4_8 VOIES CAN.pdf", "Fiche Produit")</f>
        <v>Fiche Produit</v>
      </c>
    </row>
    <row r="955" spans="1:6" x14ac:dyDescent="0.25">
      <c r="A955" t="s">
        <v>7</v>
      </c>
      <c r="B955" t="s">
        <v>9</v>
      </c>
      <c r="C955" t="s">
        <v>15</v>
      </c>
      <c r="D955" t="s">
        <v>970</v>
      </c>
      <c r="E955" t="s">
        <v>1849</v>
      </c>
      <c r="F955" t="str">
        <f>HYPERLINK("C:\Users\longueni\Desktop\Chubb produits code\Fiche catalogue\Détection incendie\Centrale\CAT-150_INFLUENCE - Carte UCR 12_24 RELAIS CAN.pdf", "Fiche Produit")</f>
        <v>Fiche Produit</v>
      </c>
    </row>
    <row r="956" spans="1:6" x14ac:dyDescent="0.25">
      <c r="A956" t="s">
        <v>7</v>
      </c>
      <c r="B956" t="s">
        <v>9</v>
      </c>
      <c r="C956" t="s">
        <v>15</v>
      </c>
      <c r="D956" t="s">
        <v>971</v>
      </c>
      <c r="E956" t="s">
        <v>1850</v>
      </c>
      <c r="F956" t="str">
        <f>HYPERLINK("C:\Users\longueni\Desktop\Chubb produits code\Fiche catalogue\Détection incendie\Centrale\CAT-151_INFLUENCE - Carte 2_4 VOIES LON IN.pdf", "Fiche Produit")</f>
        <v>Fiche Produit</v>
      </c>
    </row>
    <row r="957" spans="1:6" x14ac:dyDescent="0.25">
      <c r="A957" t="s">
        <v>7</v>
      </c>
      <c r="B957" t="s">
        <v>9</v>
      </c>
      <c r="C957" t="s">
        <v>15</v>
      </c>
      <c r="D957" t="s">
        <v>972</v>
      </c>
      <c r="E957" t="s">
        <v>1851</v>
      </c>
      <c r="F957" t="str">
        <f>HYPERLINK("C:\Users\longueni\Desktop\Chubb produits code\Fiche catalogue\Détection incendie\Centrale\CAT-152_INFLUENCE - Carte SATI 4_8 VOIES IN.pdf", "Fiche Produit")</f>
        <v>Fiche Produit</v>
      </c>
    </row>
    <row r="958" spans="1:6" x14ac:dyDescent="0.25">
      <c r="A958" t="s">
        <v>7</v>
      </c>
      <c r="B958" t="s">
        <v>9</v>
      </c>
      <c r="C958" t="s">
        <v>15</v>
      </c>
      <c r="D958" t="s">
        <v>973</v>
      </c>
      <c r="E958" t="s">
        <v>1852</v>
      </c>
      <c r="F958" t="str">
        <f>HYPERLINK("C:\Users\longueni\Desktop\Chubb produits code\Fiche catalogue\Détection incendie\Centrale\CAT-155_INFLUENCE - Carte DEPORT LPT 24_48 IN.pdf", "Fiche Produit")</f>
        <v>Fiche Produit</v>
      </c>
    </row>
    <row r="959" spans="1:6" x14ac:dyDescent="0.25">
      <c r="A959" t="s">
        <v>7</v>
      </c>
      <c r="B959" t="s">
        <v>9</v>
      </c>
      <c r="C959" t="s">
        <v>15</v>
      </c>
      <c r="D959" t="s">
        <v>974</v>
      </c>
      <c r="E959" t="s">
        <v>1853</v>
      </c>
      <c r="F959" t="str">
        <f>HYPERLINK("C:\Users\longueni\Desktop\Chubb produits code\Fiche catalogue\Détection incendie\Centrale\CAT-134_INFLUENCE - Carte SAT C 8 relais IN.pdf", "Fiche Produit")</f>
        <v>Fiche Produit</v>
      </c>
    </row>
    <row r="960" spans="1:6" x14ac:dyDescent="0.25">
      <c r="A960" t="s">
        <v>7</v>
      </c>
      <c r="B960" t="s">
        <v>9</v>
      </c>
      <c r="C960" t="s">
        <v>15</v>
      </c>
      <c r="D960" t="s">
        <v>975</v>
      </c>
      <c r="E960" t="s">
        <v>1854</v>
      </c>
      <c r="F960" t="str">
        <f>HYPERLINK("C:\Users\longueni\Desktop\Chubb produits code\Fiche catalogue\Détection incendie\Centrale\CAT-167_INFLUENCE - Carte Déport FTT IN.pdf", "Fiche Produit")</f>
        <v>Fiche Produit</v>
      </c>
    </row>
    <row r="961" spans="1:6" x14ac:dyDescent="0.25">
      <c r="A961" t="s">
        <v>7</v>
      </c>
      <c r="B961" t="s">
        <v>9</v>
      </c>
      <c r="C961" t="s">
        <v>15</v>
      </c>
      <c r="D961" t="s">
        <v>976</v>
      </c>
      <c r="E961" t="s">
        <v>1855</v>
      </c>
      <c r="F961" t="str">
        <f>HYPERLINK("C:\Users\longueni\Desktop\Chubb produits code\Fiche catalogue\Détection incendie\Centrale\CAT-153_INFLUENCE - Carte SATC 4_8 VOIES IN.pdf", "Fiche Produit")</f>
        <v>Fiche Produit</v>
      </c>
    </row>
    <row r="962" spans="1:6" x14ac:dyDescent="0.25">
      <c r="A962" t="s">
        <v>7</v>
      </c>
      <c r="B962" t="s">
        <v>9</v>
      </c>
      <c r="C962" t="s">
        <v>15</v>
      </c>
      <c r="D962" t="s">
        <v>977</v>
      </c>
      <c r="E962" t="s">
        <v>1856</v>
      </c>
      <c r="F962" t="str">
        <f>HYPERLINK("C:\Users\longueni\Desktop\Chubb produits code\CTLG-9001936_Catalogue - Produits et Systèmes INfluence.pdf", "Fiche Produit")</f>
        <v>Fiche Produit</v>
      </c>
    </row>
    <row r="963" spans="1:6" x14ac:dyDescent="0.25">
      <c r="A963" t="s">
        <v>7</v>
      </c>
      <c r="B963" t="s">
        <v>9</v>
      </c>
      <c r="C963" t="s">
        <v>15</v>
      </c>
      <c r="D963" t="s">
        <v>978</v>
      </c>
      <c r="E963" t="s">
        <v>1857</v>
      </c>
      <c r="F963" t="str">
        <f>HYPERLINK("C:\Users\longueni\Desktop\Chubb produits code\Fiche catalogue\Détection incendie\Centrale\INfluence\CAT-045_INFLUENCE - INfluence-I ECS.pdf", "Fiche Produit")</f>
        <v>Fiche Produit</v>
      </c>
    </row>
    <row r="964" spans="1:6" x14ac:dyDescent="0.25">
      <c r="A964" t="s">
        <v>7</v>
      </c>
      <c r="B964" t="s">
        <v>9</v>
      </c>
      <c r="C964" t="s">
        <v>15</v>
      </c>
      <c r="D964" t="s">
        <v>979</v>
      </c>
      <c r="E964" t="s">
        <v>1857</v>
      </c>
      <c r="F964" t="str">
        <f>HYPERLINK("C:\Users\longueni\Desktop\Chubb produits code\Fiche catalogue\Détection incendie\Centrale\INfluence\CAT-045_INFLUENCE - INfluence-I ECS.pdf", "Fiche Produit")</f>
        <v>Fiche Produit</v>
      </c>
    </row>
    <row r="965" spans="1:6" x14ac:dyDescent="0.25">
      <c r="A965" t="s">
        <v>7</v>
      </c>
      <c r="B965" t="s">
        <v>9</v>
      </c>
      <c r="C965" t="s">
        <v>15</v>
      </c>
      <c r="D965" t="s">
        <v>980</v>
      </c>
      <c r="E965" t="s">
        <v>1857</v>
      </c>
      <c r="F965" t="str">
        <f>HYPERLINK("C:\Users\longueni\Desktop\Chubb produits code\Fiche catalogue\Détection incendie\Centrale\INfluence\CAT-045_INFLUENCE - INfluence-I ECS.pdf", "Fiche Produit")</f>
        <v>Fiche Produit</v>
      </c>
    </row>
    <row r="966" spans="1:6" x14ac:dyDescent="0.25">
      <c r="A966" t="s">
        <v>7</v>
      </c>
      <c r="B966" t="s">
        <v>9</v>
      </c>
      <c r="C966" t="s">
        <v>15</v>
      </c>
      <c r="D966" t="s">
        <v>981</v>
      </c>
      <c r="E966" t="s">
        <v>1858</v>
      </c>
      <c r="F966" t="str">
        <f>HYPERLINK("C:\Users\longueni\Desktop\Chubb produits code\Fiche catalogue\Détection incendie\Centrale\INfluence\CAT-046_INFLUENCE - INfluence-I ECS-CMSI.pdf", "Fiche Produit")</f>
        <v>Fiche Produit</v>
      </c>
    </row>
    <row r="967" spans="1:6" x14ac:dyDescent="0.25">
      <c r="A967" t="s">
        <v>7</v>
      </c>
      <c r="B967" t="s">
        <v>9</v>
      </c>
      <c r="C967" t="s">
        <v>15</v>
      </c>
      <c r="D967" t="s">
        <v>982</v>
      </c>
      <c r="E967" t="s">
        <v>1859</v>
      </c>
      <c r="F967" t="str">
        <f>HYPERLINK("C:\Users\longueni\Desktop\Chubb produits code\Fiche catalogue\Détection incendie\Centrale\INfluence\CAT-046_INFLUENCE - INfluence-I ECS-CMSI.pdf", "Fiche Produit")</f>
        <v>Fiche Produit</v>
      </c>
    </row>
    <row r="968" spans="1:6" x14ac:dyDescent="0.25">
      <c r="A968" t="s">
        <v>7</v>
      </c>
      <c r="B968" t="s">
        <v>9</v>
      </c>
      <c r="C968" t="s">
        <v>15</v>
      </c>
      <c r="D968" t="s">
        <v>983</v>
      </c>
      <c r="E968" t="s">
        <v>1860</v>
      </c>
      <c r="F968" t="str">
        <f>HYPERLINK("C:\Users\longueni\Desktop\Chubb produits code\Fiche catalogue\Détection incendie\Centrale\INfluence\CAT-046_INFLUENCE - INfluence-I ECS-CMSI.pdf", "Fiche Produit")</f>
        <v>Fiche Produit</v>
      </c>
    </row>
    <row r="969" spans="1:6" x14ac:dyDescent="0.25">
      <c r="A969" t="s">
        <v>7</v>
      </c>
      <c r="B969" t="s">
        <v>9</v>
      </c>
      <c r="C969" t="s">
        <v>15</v>
      </c>
      <c r="D969" t="s">
        <v>984</v>
      </c>
      <c r="E969" t="s">
        <v>1861</v>
      </c>
      <c r="F969" t="str">
        <f>HYPERLINK("C:\Users\longueni\Desktop\Chubb produits code\Fiche catalogue\Détection incendie\Centrale\INfluence\CAT-046_INFLUENCE - INfluence-I ECS-CMSI.pdf", "Fiche Produit")</f>
        <v>Fiche Produit</v>
      </c>
    </row>
    <row r="970" spans="1:6" x14ac:dyDescent="0.25">
      <c r="A970" t="s">
        <v>7</v>
      </c>
      <c r="B970" t="s">
        <v>9</v>
      </c>
      <c r="C970" t="s">
        <v>15</v>
      </c>
      <c r="D970" t="s">
        <v>985</v>
      </c>
      <c r="E970" t="s">
        <v>1862</v>
      </c>
      <c r="F970" t="str">
        <f>HYPERLINK("C:\Users\longueni\Desktop\Chubb produits code\Fiche catalogue\Détection incendie\Centrale\INfluence\CAT-046_INFLUENCE - INfluence-I ECS-CMSI.pdf", "Fiche Produit")</f>
        <v>Fiche Produit</v>
      </c>
    </row>
    <row r="971" spans="1:6" x14ac:dyDescent="0.25">
      <c r="A971" t="s">
        <v>7</v>
      </c>
      <c r="B971" t="s">
        <v>9</v>
      </c>
      <c r="C971" t="s">
        <v>15</v>
      </c>
      <c r="D971" t="s">
        <v>986</v>
      </c>
      <c r="E971" t="s">
        <v>1863</v>
      </c>
      <c r="F971" t="str">
        <f>HYPERLINK("C:\Users\longueni\Desktop\Chubb produits code\Fiche catalogue\Détection incendie\Centrale\INfluence\CAT-047_INFLUENCE - INfluence-S.pdf", "Fiche Produit")</f>
        <v>Fiche Produit</v>
      </c>
    </row>
    <row r="972" spans="1:6" x14ac:dyDescent="0.25">
      <c r="A972" t="s">
        <v>7</v>
      </c>
      <c r="B972" t="s">
        <v>9</v>
      </c>
      <c r="C972" t="s">
        <v>15</v>
      </c>
      <c r="D972" t="s">
        <v>987</v>
      </c>
      <c r="E972" t="s">
        <v>1864</v>
      </c>
      <c r="F972" t="str">
        <f>HYPERLINK("C:\Users\longueni\Desktop\Chubb produits code\Fiche catalogue\Détection incendie\Centrale\INfluence\CAT-047_INFLUENCE - INfluence-S.pdf", "Fiche Produit")</f>
        <v>Fiche Produit</v>
      </c>
    </row>
    <row r="973" spans="1:6" x14ac:dyDescent="0.25">
      <c r="A973" t="s">
        <v>7</v>
      </c>
      <c r="B973" t="s">
        <v>9</v>
      </c>
      <c r="C973" t="s">
        <v>15</v>
      </c>
      <c r="D973" t="s">
        <v>988</v>
      </c>
      <c r="E973" t="s">
        <v>1865</v>
      </c>
      <c r="F973" t="str">
        <f>HYPERLINK("C:\Users\longueni\Desktop\Chubb produits code\Fiche catalogue\Détection incendie\Centrale\INfluence\CAT-045_INFLUENCE - INfluence-I ECS.pdf", "Fiche Produit")</f>
        <v>Fiche Produit</v>
      </c>
    </row>
    <row r="974" spans="1:6" x14ac:dyDescent="0.25">
      <c r="A974" t="s">
        <v>7</v>
      </c>
      <c r="B974" t="s">
        <v>9</v>
      </c>
      <c r="C974" t="s">
        <v>15</v>
      </c>
      <c r="D974" t="s">
        <v>989</v>
      </c>
      <c r="E974" t="s">
        <v>1866</v>
      </c>
      <c r="F974" t="str">
        <f>HYPERLINK("C:\Users\longueni\Desktop\Chubb produits code\Fiche catalogue\Détection incendie\Centrale\CAT-152_INFLUENCE - Carte SATI 4_8 VOIES IN.pdf", "Fiche Produit")</f>
        <v>Fiche Produit</v>
      </c>
    </row>
    <row r="975" spans="1:6" x14ac:dyDescent="0.25">
      <c r="A975" t="s">
        <v>7</v>
      </c>
      <c r="B975" t="s">
        <v>9</v>
      </c>
      <c r="C975" t="s">
        <v>15</v>
      </c>
      <c r="D975" t="s">
        <v>990</v>
      </c>
      <c r="E975" t="s">
        <v>1867</v>
      </c>
      <c r="F975" t="str">
        <f>HYPERLINK("C:\Users\longueni\Desktop\Chubb produits code\Fiche catalogue\Détection incendie\Centrale\INfluence\CAT-045_INFLUENCE - INfluence-I ECS.pdf", "Fiche Produit")</f>
        <v>Fiche Produit</v>
      </c>
    </row>
    <row r="976" spans="1:6" x14ac:dyDescent="0.25">
      <c r="A976" t="s">
        <v>7</v>
      </c>
      <c r="B976" t="s">
        <v>9</v>
      </c>
      <c r="C976" t="s">
        <v>15</v>
      </c>
      <c r="D976" t="s">
        <v>991</v>
      </c>
      <c r="E976" t="s">
        <v>1868</v>
      </c>
      <c r="F976" t="str">
        <f>HYPERLINK("C:\Users\longueni\Desktop\Chubb produits code\Fiche catalogue\Détection incendie\Centrale\CAT-146_INFLUENCE - Carte UAI 2B DIRECTE IN.pdf", "Fiche Produit")</f>
        <v>Fiche Produit</v>
      </c>
    </row>
    <row r="977" spans="1:6" x14ac:dyDescent="0.25">
      <c r="A977" t="s">
        <v>7</v>
      </c>
      <c r="B977" t="s">
        <v>9</v>
      </c>
      <c r="C977" t="s">
        <v>15</v>
      </c>
      <c r="D977" t="s">
        <v>992</v>
      </c>
      <c r="E977" t="s">
        <v>1868</v>
      </c>
      <c r="F977" t="str">
        <f>HYPERLINK("C:\Users\longueni\Desktop\Chubb produits code\Fiche catalogue\Détection incendie\Centrale\CAT-148_INFLUENCE - Carte UAC 16ZD CAN.pdf", "Fiche Produit")</f>
        <v>Fiche Produit</v>
      </c>
    </row>
    <row r="978" spans="1:6" x14ac:dyDescent="0.25">
      <c r="A978" t="s">
        <v>7</v>
      </c>
      <c r="B978" t="s">
        <v>9</v>
      </c>
      <c r="C978" t="s">
        <v>15</v>
      </c>
      <c r="D978" t="s">
        <v>993</v>
      </c>
      <c r="E978" t="s">
        <v>1869</v>
      </c>
      <c r="F978" t="str">
        <f>HYPERLINK("C:\Users\longueni\Desktop\Chubb produits code\Fiche catalogue\Détection incendie\Centrale\CAT-135_INFLUENCE - INnova-FAD CMSI.pdf", "Fiche Produit")</f>
        <v>Fiche Produit</v>
      </c>
    </row>
    <row r="979" spans="1:6" x14ac:dyDescent="0.25">
      <c r="A979" t="s">
        <v>7</v>
      </c>
      <c r="B979" t="s">
        <v>9</v>
      </c>
      <c r="C979" t="s">
        <v>15</v>
      </c>
      <c r="D979" t="s">
        <v>994</v>
      </c>
      <c r="E979" t="s">
        <v>1870</v>
      </c>
      <c r="F979" t="str">
        <f>HYPERLINK("C:\Users\longueni\Desktop\Chubb produits code\Fiche catalogue\Détection incendie\Centrale\INfluence\CAT-046_INFLUENCE - INfluence-I ECS-CMSI.pdf", "Fiche Produit")</f>
        <v>Fiche Produit</v>
      </c>
    </row>
    <row r="980" spans="1:6" x14ac:dyDescent="0.25">
      <c r="A980" t="s">
        <v>7</v>
      </c>
      <c r="B980" t="s">
        <v>9</v>
      </c>
      <c r="C980" t="s">
        <v>15</v>
      </c>
      <c r="D980" t="s">
        <v>995</v>
      </c>
      <c r="E980" t="s">
        <v>1871</v>
      </c>
      <c r="F980" t="str">
        <f>HYPERLINK("C:\Users\longueni\Desktop\Chubb produits code\Fiche catalogue\Détection incendie\Centrale\CAT-144_INFLUENCE - Module xF_xV DIRECTE CAN.pdf", "Fiche Produit")</f>
        <v>Fiche Produit</v>
      </c>
    </row>
    <row r="981" spans="1:6" x14ac:dyDescent="0.25">
      <c r="A981" t="s">
        <v>7</v>
      </c>
      <c r="B981" t="s">
        <v>9</v>
      </c>
      <c r="C981" t="s">
        <v>15</v>
      </c>
      <c r="D981" t="s">
        <v>996</v>
      </c>
      <c r="E981" t="s">
        <v>1872</v>
      </c>
      <c r="F981" t="str">
        <f>HYPERLINK("C:\Users\longueni\Desktop\Chubb produits code\Fiche catalogue\Détection incendie\Centrale\CAT-144_INFLUENCE - Module xF_xV DIRECTE CAN.pdf", "Fiche Produit")</f>
        <v>Fiche Produit</v>
      </c>
    </row>
    <row r="982" spans="1:6" x14ac:dyDescent="0.25">
      <c r="A982" t="s">
        <v>7</v>
      </c>
      <c r="B982" t="s">
        <v>9</v>
      </c>
      <c r="C982" t="s">
        <v>15</v>
      </c>
      <c r="D982" t="s">
        <v>997</v>
      </c>
      <c r="E982" t="s">
        <v>1873</v>
      </c>
      <c r="F982" t="str">
        <f>HYPERLINK("C:\Users\longueni\Desktop\Chubb produits code\Fiche catalogue\Détection incendie\Centrale\CAT-153_INFLUENCE - Carte SATC 4_8 VOIES IN.pdf", "Fiche Produit")</f>
        <v>Fiche Produit</v>
      </c>
    </row>
    <row r="983" spans="1:6" x14ac:dyDescent="0.25">
      <c r="A983" t="s">
        <v>7</v>
      </c>
      <c r="B983" t="s">
        <v>9</v>
      </c>
      <c r="C983" t="s">
        <v>15</v>
      </c>
      <c r="D983" t="s">
        <v>998</v>
      </c>
      <c r="E983" t="s">
        <v>1874</v>
      </c>
      <c r="F983" t="str">
        <f>HYPERLINK("C:\Users\longueni\Desktop\Chubb produits code\Fiche catalogue\Détection incendie\Centrale\CAT-153_INFLUENCE - Carte SATC 4_8 VOIES IN.pdf", "Fiche Produit")</f>
        <v>Fiche Produit</v>
      </c>
    </row>
    <row r="984" spans="1:6" x14ac:dyDescent="0.25">
      <c r="A984" t="s">
        <v>7</v>
      </c>
      <c r="B984" t="s">
        <v>9</v>
      </c>
      <c r="C984" t="s">
        <v>15</v>
      </c>
      <c r="D984" t="s">
        <v>999</v>
      </c>
      <c r="E984" t="s">
        <v>1875</v>
      </c>
      <c r="F984" t="str">
        <f>HYPERLINK("C:\Users\longueni\Desktop\Chubb produits code\Fiche catalogue\Détection incendie\Centrale\CAT-153_INFLUENCE - Carte SATC 4_8 VOIES IN.pdf", "Fiche Produit")</f>
        <v>Fiche Produit</v>
      </c>
    </row>
    <row r="985" spans="1:6" x14ac:dyDescent="0.25">
      <c r="A985" t="s">
        <v>7</v>
      </c>
      <c r="B985" t="s">
        <v>9</v>
      </c>
      <c r="C985" t="s">
        <v>15</v>
      </c>
      <c r="D985" t="s">
        <v>1000</v>
      </c>
      <c r="E985" t="s">
        <v>1876</v>
      </c>
      <c r="F985" t="str">
        <f>HYPERLINK("C:\Users\longueni\Desktop\Chubb produits code\CTLG-9001936_Catalogue - Produits et Systèmes INfluence.pdf", "Fiche Produit")</f>
        <v>Fiche Produit</v>
      </c>
    </row>
    <row r="986" spans="1:6" x14ac:dyDescent="0.25">
      <c r="A986" t="s">
        <v>7</v>
      </c>
      <c r="B986" t="s">
        <v>9</v>
      </c>
      <c r="C986" t="s">
        <v>15</v>
      </c>
      <c r="D986" t="s">
        <v>1001</v>
      </c>
      <c r="E986" t="s">
        <v>1877</v>
      </c>
      <c r="F986" t="str">
        <f>HYPERLINK("C:\Users\longueni\Desktop\Chubb produits code\CTLG-9001936_Catalogue - Produits et Systèmes INfluence.pdf", "Fiche Produit")</f>
        <v>Fiche Produit</v>
      </c>
    </row>
    <row r="987" spans="1:6" x14ac:dyDescent="0.25">
      <c r="A987" t="s">
        <v>7</v>
      </c>
      <c r="B987" t="s">
        <v>9</v>
      </c>
      <c r="C987" t="s">
        <v>15</v>
      </c>
      <c r="D987" t="s">
        <v>1002</v>
      </c>
      <c r="E987" t="s">
        <v>1878</v>
      </c>
      <c r="F987" t="str">
        <f>HYPERLINK("C:\Users\longueni\Desktop\Chubb produits code\Fiche catalogue\Détection incendie\Centrale\INfluence\CAT-047_INFLUENCE - INfluence-S.pdf", "Fiche Produit")</f>
        <v>Fiche Produit</v>
      </c>
    </row>
    <row r="988" spans="1:6" x14ac:dyDescent="0.25">
      <c r="A988" t="s">
        <v>7</v>
      </c>
      <c r="B988" t="s">
        <v>9</v>
      </c>
      <c r="C988" t="s">
        <v>15</v>
      </c>
      <c r="D988" t="s">
        <v>1003</v>
      </c>
      <c r="E988" t="s">
        <v>1879</v>
      </c>
      <c r="F988" t="str">
        <f>HYPERLINK("C:\Users\longueni\Desktop\Chubb produits code\Fiche catalogue\Détection incendie\Centrale\INfluence\CAT-046_INFLUENCE - INfluence-I ECS-CMSI.pdf", "Fiche Produit")</f>
        <v>Fiche Produit</v>
      </c>
    </row>
    <row r="989" spans="1:6" x14ac:dyDescent="0.25">
      <c r="A989" t="s">
        <v>7</v>
      </c>
      <c r="B989" t="s">
        <v>9</v>
      </c>
      <c r="C989" t="s">
        <v>15</v>
      </c>
      <c r="D989" t="s">
        <v>1004</v>
      </c>
      <c r="E989" t="s">
        <v>1880</v>
      </c>
      <c r="F989" t="str">
        <f>HYPERLINK("C:\Users\longueni\Desktop\Chubb produits code\Fiche catalogue\Détection incendie\Centrale\INfluence\CAT-047_INFLUENCE - INfluence-S.pdf", "Fiche Produit")</f>
        <v>Fiche Produit</v>
      </c>
    </row>
    <row r="990" spans="1:6" x14ac:dyDescent="0.25">
      <c r="A990" t="s">
        <v>7</v>
      </c>
      <c r="B990" t="s">
        <v>9</v>
      </c>
      <c r="C990" t="s">
        <v>15</v>
      </c>
      <c r="D990" t="s">
        <v>1005</v>
      </c>
      <c r="E990" t="s">
        <v>1881</v>
      </c>
      <c r="F990" t="str">
        <f>HYPERLINK("C:\Users\longueni\Desktop\Chubb produits code\Fiche catalogue\Détection incendie\Centrale\INfluence\CAT-045_INFLUENCE - INfluence-I ECS.pdf", "Fiche Produit")</f>
        <v>Fiche Produit</v>
      </c>
    </row>
    <row r="991" spans="1:6" x14ac:dyDescent="0.25">
      <c r="A991" t="s">
        <v>7</v>
      </c>
      <c r="B991" t="s">
        <v>9</v>
      </c>
      <c r="C991" t="s">
        <v>15</v>
      </c>
      <c r="D991" t="s">
        <v>1006</v>
      </c>
      <c r="E991" t="s">
        <v>1882</v>
      </c>
      <c r="F991" t="str">
        <f>HYPERLINK("C:\Users\longueni\Desktop\Chubb produits code\Fiche catalogue\Détection incendie\Centrale\CAT-153_INFLUENCE - Carte SATC 4_8 VOIES IN.pdf", "Fiche Produit")</f>
        <v>Fiche Produit</v>
      </c>
    </row>
    <row r="992" spans="1:6" x14ac:dyDescent="0.25">
      <c r="A992" t="s">
        <v>7</v>
      </c>
      <c r="B992" t="s">
        <v>9</v>
      </c>
      <c r="C992" t="s">
        <v>15</v>
      </c>
      <c r="D992" t="s">
        <v>1007</v>
      </c>
      <c r="E992" t="s">
        <v>1882</v>
      </c>
      <c r="F992" t="str">
        <f>HYPERLINK("C:\Users\longueni\Desktop\Chubb produits code\Fiche catalogue\Détection incendie\Centrale\CAT-153_INFLUENCE - Carte SATC 4_8 VOIES IN.pdf", "Fiche Produit")</f>
        <v>Fiche Produit</v>
      </c>
    </row>
    <row r="993" spans="1:6" x14ac:dyDescent="0.25">
      <c r="A993" t="s">
        <v>7</v>
      </c>
      <c r="B993" t="s">
        <v>9</v>
      </c>
      <c r="C993" t="s">
        <v>15</v>
      </c>
      <c r="D993" t="s">
        <v>1008</v>
      </c>
      <c r="E993" t="s">
        <v>1883</v>
      </c>
      <c r="F993" t="str">
        <f>HYPERLINK("C:\Users\longueni\Desktop\Chubb produits code\Fiche catalogue\Détection incendie\Centrale\INfluence\CAT-047_INFLUENCE - INfluence-S.pdf", "Fiche Produit")</f>
        <v>Fiche Produit</v>
      </c>
    </row>
    <row r="994" spans="1:6" x14ac:dyDescent="0.25">
      <c r="A994" t="s">
        <v>7</v>
      </c>
      <c r="B994" t="s">
        <v>9</v>
      </c>
      <c r="C994" t="s">
        <v>15</v>
      </c>
      <c r="D994" t="s">
        <v>1009</v>
      </c>
      <c r="E994" t="s">
        <v>1884</v>
      </c>
      <c r="F994" t="str">
        <f>HYPERLINK("C:\Users\longueni\Desktop\Chubb produits code\Fiche catalogue\Détection incendie\Centrale\CAT-152_INFLUENCE - Carte SATI 4_8 VOIES IN.pdf", "Fiche Produit")</f>
        <v>Fiche Produit</v>
      </c>
    </row>
    <row r="995" spans="1:6" x14ac:dyDescent="0.25">
      <c r="A995" t="s">
        <v>7</v>
      </c>
      <c r="B995" t="s">
        <v>9</v>
      </c>
      <c r="C995" t="s">
        <v>15</v>
      </c>
      <c r="D995" t="s">
        <v>1010</v>
      </c>
      <c r="E995" t="s">
        <v>1885</v>
      </c>
      <c r="F995" t="str">
        <f>HYPERLINK("C:\Users\longueni\Desktop\Chubb produits code\Fiche catalogue\Détection incendie\Centrale\CAT-152_INFLUENCE - Carte SATI 4_8 VOIES IN.pdf", "Fiche Produit")</f>
        <v>Fiche Produit</v>
      </c>
    </row>
    <row r="996" spans="1:6" x14ac:dyDescent="0.25">
      <c r="A996" t="s">
        <v>7</v>
      </c>
      <c r="B996" t="s">
        <v>9</v>
      </c>
      <c r="C996" t="s">
        <v>15</v>
      </c>
      <c r="D996" t="s">
        <v>1011</v>
      </c>
      <c r="E996" t="s">
        <v>1886</v>
      </c>
      <c r="F996" t="str">
        <f>HYPERLINK("C:\Users\longueni\Desktop\Chubb produits code\Fiche catalogue\Détection incendie\Centrale\CAT-152_INFLUENCE - Carte SATI 4_8 VOIES IN.pdf", "Fiche Produit")</f>
        <v>Fiche Produit</v>
      </c>
    </row>
    <row r="997" spans="1:6" x14ac:dyDescent="0.25">
      <c r="A997" t="s">
        <v>7</v>
      </c>
      <c r="B997" t="s">
        <v>9</v>
      </c>
      <c r="C997" t="s">
        <v>15</v>
      </c>
      <c r="D997" t="s">
        <v>1012</v>
      </c>
      <c r="E997" t="s">
        <v>1887</v>
      </c>
      <c r="F997" t="str">
        <f>HYPERLINK("C:\Users\longueni\Desktop\Chubb produits code\Fiche catalogue\Détection incendie\Centrale\CAT-135_INFLUENCE - INnova-FAD CMSI.pdf", "Fiche Produit")</f>
        <v>Fiche Produit</v>
      </c>
    </row>
    <row r="998" spans="1:6" x14ac:dyDescent="0.25">
      <c r="A998" t="s">
        <v>7</v>
      </c>
      <c r="B998" t="s">
        <v>9</v>
      </c>
      <c r="C998" t="s">
        <v>15</v>
      </c>
      <c r="D998" t="s">
        <v>1013</v>
      </c>
      <c r="E998" t="s">
        <v>1888</v>
      </c>
      <c r="F998" t="str">
        <f>HYPERLINK("C:\Users\longueni\Desktop\Chubb produits code\Fiche catalogue\Détection incendie\Centrale\CAT-141_INFLUENCE - Carte UES Générale.pdf", "Fiche Produit")</f>
        <v>Fiche Produit</v>
      </c>
    </row>
    <row r="999" spans="1:6" x14ac:dyDescent="0.25">
      <c r="A999" t="s">
        <v>7</v>
      </c>
      <c r="B999" t="s">
        <v>9</v>
      </c>
      <c r="C999" t="s">
        <v>15</v>
      </c>
      <c r="D999" t="s">
        <v>1014</v>
      </c>
      <c r="E999" t="s">
        <v>1889</v>
      </c>
      <c r="F999" t="str">
        <f>HYPERLINK("C:\Users\longueni\Desktop\Chubb produits code\Fiche catalogue\Détection incendie\Centrale\INfluence\CAT-047_INFLUENCE - INfluence-S.pdf", "Fiche Produit")</f>
        <v>Fiche Produit</v>
      </c>
    </row>
    <row r="1000" spans="1:6" x14ac:dyDescent="0.25">
      <c r="A1000" t="s">
        <v>7</v>
      </c>
      <c r="B1000" t="s">
        <v>9</v>
      </c>
      <c r="C1000" t="s">
        <v>15</v>
      </c>
      <c r="D1000" t="s">
        <v>1015</v>
      </c>
      <c r="E1000" t="s">
        <v>1890</v>
      </c>
      <c r="F1000" t="str">
        <f>HYPERLINK("C:\Users\longueni\Desktop\Chubb produits code\Fiche catalogue\Détection incendie\Centrale\INfluence\CAT-045_INFLUENCE - INfluence-I ECS.pdf", "Fiche Produit")</f>
        <v>Fiche Produit</v>
      </c>
    </row>
    <row r="1001" spans="1:6" x14ac:dyDescent="0.25">
      <c r="A1001" t="s">
        <v>7</v>
      </c>
      <c r="B1001" t="s">
        <v>11</v>
      </c>
      <c r="C1001" t="s">
        <v>15</v>
      </c>
      <c r="D1001" t="s">
        <v>1016</v>
      </c>
      <c r="E1001" t="s">
        <v>1891</v>
      </c>
      <c r="F1001" t="str">
        <f>HYPERLINK("C:\Users\longueni\Desktop\Chubb produits code\CTLG-9001936_Catalogue - Produits et Systèmes INfluence.pdf", "Fiche Produit")</f>
        <v>Fiche Produit</v>
      </c>
    </row>
    <row r="1002" spans="1:6" x14ac:dyDescent="0.25">
      <c r="A1002" t="s">
        <v>7</v>
      </c>
      <c r="B1002" t="s">
        <v>11</v>
      </c>
      <c r="C1002" t="s">
        <v>15</v>
      </c>
      <c r="D1002" t="s">
        <v>1017</v>
      </c>
      <c r="E1002" t="s">
        <v>1892</v>
      </c>
      <c r="F1002" t="str">
        <f>HYPERLINK("C:\Users\longueni\Desktop\Chubb produits code\Fiche catalogue\Détection incendie\Centrale\CAT-160_INFLUENCE - Bloc ALIM 150W IN.pdf", "Fiche Produit")</f>
        <v>Fiche Produit</v>
      </c>
    </row>
    <row r="1003" spans="1:6" x14ac:dyDescent="0.25">
      <c r="A1003" t="s">
        <v>7</v>
      </c>
      <c r="B1003" t="s">
        <v>11</v>
      </c>
      <c r="C1003" t="s">
        <v>15</v>
      </c>
      <c r="D1003" t="s">
        <v>1018</v>
      </c>
      <c r="E1003" t="s">
        <v>1893</v>
      </c>
      <c r="F1003" t="str">
        <f>HYPERLINK("C:\Users\longueni\Desktop\Chubb produits code\Fiche catalogue\Détection incendie\Centrale\CAT-135_INFLUENCE - INnova-FAD CMSI.pdf", "Fiche Produit")</f>
        <v>Fiche Produit</v>
      </c>
    </row>
    <row r="1004" spans="1:6" x14ac:dyDescent="0.25">
      <c r="A1004" t="s">
        <v>7</v>
      </c>
      <c r="B1004" t="s">
        <v>11</v>
      </c>
      <c r="C1004" t="s">
        <v>15</v>
      </c>
      <c r="D1004" t="s">
        <v>1019</v>
      </c>
      <c r="E1004" t="s">
        <v>1894</v>
      </c>
      <c r="F1004" t="str">
        <f>HYPERLINK("C:\Users\longueni\Desktop\Chubb produits code\Fiche catalogue\Détection incendie\Centrale\INfluence\CAT-046_INFLUENCE - INfluence-I ECS-CMSI.pdf", "Fiche Produit")</f>
        <v>Fiche Produit</v>
      </c>
    </row>
    <row r="1005" spans="1:6" x14ac:dyDescent="0.25">
      <c r="A1005" t="s">
        <v>7</v>
      </c>
      <c r="B1005" t="s">
        <v>11</v>
      </c>
      <c r="C1005" t="s">
        <v>15</v>
      </c>
      <c r="D1005" t="s">
        <v>1020</v>
      </c>
      <c r="E1005" t="s">
        <v>1895</v>
      </c>
      <c r="F1005" t="str">
        <f>HYPERLINK("C:\Users\longueni\Desktop\Chubb produits code\Fiche catalogue\Détection incendie\Centrale\CAT-135_INFLUENCE - INnova-FAD CMSI.pdf", "Fiche Produit")</f>
        <v>Fiche Produit</v>
      </c>
    </row>
    <row r="1006" spans="1:6" x14ac:dyDescent="0.25">
      <c r="A1006" t="s">
        <v>7</v>
      </c>
      <c r="B1006" t="s">
        <v>11</v>
      </c>
      <c r="C1006" t="s">
        <v>15</v>
      </c>
      <c r="D1006" t="s">
        <v>1021</v>
      </c>
      <c r="E1006" t="s">
        <v>1896</v>
      </c>
      <c r="F1006" t="str">
        <f>HYPERLINK("C:\Users\longueni\Desktop\Chubb produits code\Fiche catalogue\Détection incendie\Centrale\CAT-156_INFLUENCE - INnova-FAD ECS.pdf", "Fiche Produit")</f>
        <v>Fiche Produit</v>
      </c>
    </row>
    <row r="1007" spans="1:6" x14ac:dyDescent="0.25">
      <c r="A1007" t="s">
        <v>7</v>
      </c>
      <c r="B1007" t="s">
        <v>11</v>
      </c>
      <c r="C1007" t="s">
        <v>15</v>
      </c>
      <c r="D1007" t="s">
        <v>1022</v>
      </c>
      <c r="E1007" t="s">
        <v>1897</v>
      </c>
      <c r="F1007" t="str">
        <f>HYPERLINK("C:\Users\longueni\Desktop\Chubb produits code\Fiche catalogue\Détection incendie\Centrale\INfluence\CAT-045_INFLUENCE - INfluence-I ECS.pdf", "Fiche Produit")</f>
        <v>Fiche Produit</v>
      </c>
    </row>
    <row r="1008" spans="1:6" x14ac:dyDescent="0.25">
      <c r="A1008" t="s">
        <v>7</v>
      </c>
      <c r="B1008" t="s">
        <v>11</v>
      </c>
      <c r="C1008" t="s">
        <v>15</v>
      </c>
      <c r="D1008" t="s">
        <v>1023</v>
      </c>
      <c r="E1008" t="s">
        <v>1898</v>
      </c>
      <c r="F1008" t="str">
        <f>HYPERLINK("C:\Users\longueni\Desktop\Chubb produits code\Fiche catalogue\Détection incendie\Centrale\CAT-135_INFLUENCE - INnova-FAD CMSI.pdf", "Fiche Produit")</f>
        <v>Fiche Produit</v>
      </c>
    </row>
    <row r="1009" spans="1:6" x14ac:dyDescent="0.25">
      <c r="A1009" t="s">
        <v>7</v>
      </c>
      <c r="B1009" t="s">
        <v>11</v>
      </c>
      <c r="C1009" t="s">
        <v>15</v>
      </c>
      <c r="D1009" t="s">
        <v>1024</v>
      </c>
      <c r="E1009" t="s">
        <v>1899</v>
      </c>
      <c r="F1009" t="str">
        <f>HYPERLINK("C:\Users\longueni\Desktop\Chubb produits code\Fiche catalogue\Détection incendie\Centrale\CAT-135_INFLUENCE - INnova-FAD CMSI.pdf", "Fiche Produit")</f>
        <v>Fiche Produit</v>
      </c>
    </row>
    <row r="1010" spans="1:6" x14ac:dyDescent="0.25">
      <c r="A1010" t="s">
        <v>7</v>
      </c>
      <c r="B1010" t="s">
        <v>11</v>
      </c>
      <c r="C1010" t="s">
        <v>15</v>
      </c>
      <c r="D1010" t="s">
        <v>1025</v>
      </c>
      <c r="E1010" t="s">
        <v>1900</v>
      </c>
      <c r="F1010" t="str">
        <f>HYPERLINK("C:\Users\longueni\Desktop\Chubb produits code\Fiche catalogue\Détection incendie\Centrale\CAT-156_INFLUENCE - INnova-FAD ECS.pdf", "Fiche Produit")</f>
        <v>Fiche Produit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LONGUEVILLE, Nicolas</cp:lastModifiedBy>
  <dcterms:created xsi:type="dcterms:W3CDTF">2026-01-15T11:04:42Z</dcterms:created>
  <dcterms:modified xsi:type="dcterms:W3CDTF">2026-01-19T14:55:43Z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2-bc88714345d2_Enabled">
    <vt:lpwstr>true</vt:lpwstr>
  </property>
  <property fmtid="{D5CDD505-2E9C-101B-9397-08002B2CF9AE}" pid="3" name="MSIP_Label_defa4170-0d19-0005-0002-bc88714345d2_SetDate">
    <vt:lpwstr>2026-01-19T14:55:43Z</vt:lpwstr>
  </property>
  <property fmtid="{D5CDD505-2E9C-101B-9397-08002B2CF9AE}" pid="4" name="MSIP_Label_defa4170-0d19-0005-0002-bc88714345d2_Method">
    <vt:lpwstr>Standard</vt:lpwstr>
  </property>
  <property fmtid="{D5CDD505-2E9C-101B-9397-08002B2CF9AE}" pid="5" name="MSIP_Label_defa4170-0d19-0005-0002-bc88714345d2_Name">
    <vt:lpwstr>defa4170-0d19-0005-0002-bc88714345d2</vt:lpwstr>
  </property>
  <property fmtid="{D5CDD505-2E9C-101B-9397-08002B2CF9AE}" pid="6" name="MSIP_Label_defa4170-0d19-0005-0002-bc88714345d2_SiteId">
    <vt:lpwstr>47995fc2-1f56-47ce-9137-a87caef4be74</vt:lpwstr>
  </property>
  <property fmtid="{D5CDD505-2E9C-101B-9397-08002B2CF9AE}" pid="7" name="MSIP_Label_defa4170-0d19-0005-0002-bc88714345d2_ActionId">
    <vt:lpwstr>f24c6154-1e4e-42b1-bcd4-6a9d001e9b84</vt:lpwstr>
  </property>
  <property fmtid="{D5CDD505-2E9C-101B-9397-08002B2CF9AE}" pid="8" name="MSIP_Label_defa4170-0d19-0005-0002-bc88714345d2_ContentBits">
    <vt:lpwstr>0</vt:lpwstr>
  </property>
  <property fmtid="{D5CDD505-2E9C-101B-9397-08002B2CF9AE}" pid="9" name="MSIP_Label_defa4170-0d19-0005-0002-bc88714345d2_Tag">
    <vt:lpwstr>10, 3, 0, 1</vt:lpwstr>
  </property>
</Properties>
</file>