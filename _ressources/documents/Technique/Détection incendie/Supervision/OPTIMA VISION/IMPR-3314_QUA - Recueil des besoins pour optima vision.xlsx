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arcgl.sharepoint.com/sites/DirectionTechnique-Supervision/Shared Documents/Supervision/OptimaVision/Chiffrage/"/>
    </mc:Choice>
  </mc:AlternateContent>
  <xr:revisionPtr revIDLastSave="23" documentId="13_ncr:1_{7E1EB1CF-9081-4988-BA25-B3B6203568FB}" xr6:coauthVersionLast="47" xr6:coauthVersionMax="47" xr10:uidLastSave="{5D1DBC40-23BA-40B9-8CA2-B567FB1CAE9B}"/>
  <bookViews>
    <workbookView xWindow="-120" yWindow="-120" windowWidth="29040" windowHeight="17790" activeTab="1" xr2:uid="{00000000-000D-0000-FFFF-FFFF00000000}"/>
  </bookViews>
  <sheets>
    <sheet name="Instruction" sheetId="3" r:id="rId1"/>
    <sheet name="Besoin" sheetId="1" r:id="rId2"/>
    <sheet name="Calcul" sheetId="2" state="hidden" r:id="rId3"/>
    <sheet name="Evolution" sheetId="4" state="hidden" r:id="rId4"/>
  </sheets>
  <definedNames>
    <definedName name="_xlnm._FilterDatabase" localSheetId="1" hidden="1">Besoin!$U$115:$U$138</definedName>
    <definedName name="_xlnm.Print_Area" localSheetId="1">Besoin!$A$1:$R$107</definedName>
    <definedName name="_xlnm.Print_Area" localSheetId="0">Instruction!$A$1:$B$26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3" i="1" l="1"/>
  <c r="J82" i="1"/>
  <c r="J81" i="1"/>
  <c r="J80" i="1"/>
  <c r="H78" i="1"/>
  <c r="I13" i="2" l="1"/>
  <c r="C52" i="2" l="1"/>
  <c r="K43" i="2"/>
  <c r="K44" i="2"/>
  <c r="J44" i="2"/>
  <c r="O44" i="2" s="1"/>
  <c r="J43" i="2"/>
  <c r="N25" i="2" l="1"/>
  <c r="N20" i="2"/>
  <c r="N21" i="2"/>
  <c r="I20" i="2"/>
  <c r="I21" i="2"/>
  <c r="N22" i="2"/>
  <c r="I23" i="2"/>
  <c r="N23" i="2" s="1"/>
  <c r="I24" i="2"/>
  <c r="N24" i="2" s="1"/>
  <c r="I14" i="2" l="1"/>
  <c r="N14" i="2"/>
  <c r="N13" i="2"/>
  <c r="P14" i="2"/>
  <c r="H79" i="1" l="1"/>
  <c r="N59" i="1"/>
  <c r="K61" i="1" l="1"/>
  <c r="K59" i="1"/>
  <c r="A2" i="2" l="1"/>
  <c r="J45" i="2" l="1"/>
  <c r="H39" i="1"/>
  <c r="J48" i="2" l="1"/>
  <c r="O48" i="2" s="1"/>
  <c r="O43" i="2"/>
  <c r="O41" i="2"/>
  <c r="N19" i="2"/>
  <c r="I19" i="2"/>
  <c r="P83" i="1"/>
  <c r="P82" i="1"/>
  <c r="O45" i="2"/>
  <c r="J47" i="2"/>
  <c r="O47" i="2" s="1"/>
  <c r="P81" i="1"/>
  <c r="F79" i="1"/>
  <c r="J79" i="1" s="1"/>
  <c r="F78" i="1"/>
  <c r="J78" i="1" s="1"/>
  <c r="M51" i="1"/>
  <c r="A47" i="1"/>
  <c r="M40" i="1"/>
  <c r="A61" i="1"/>
  <c r="L55" i="1"/>
  <c r="N15" i="2"/>
  <c r="N16" i="2"/>
  <c r="O50" i="2"/>
  <c r="J50" i="2"/>
  <c r="A51" i="1"/>
  <c r="B40" i="1"/>
  <c r="J7" i="2"/>
  <c r="N17" i="2"/>
  <c r="J72" i="1"/>
  <c r="J42" i="2"/>
  <c r="O42" i="2" s="1"/>
  <c r="K42" i="2"/>
  <c r="I16" i="2"/>
  <c r="P16" i="2"/>
  <c r="I15" i="2"/>
  <c r="M15" i="2" s="1"/>
  <c r="P15" i="2"/>
  <c r="P13" i="2"/>
  <c r="O6" i="2"/>
  <c r="J6" i="2"/>
  <c r="D7" i="2"/>
  <c r="D6" i="2"/>
  <c r="B38" i="1"/>
  <c r="B39" i="1"/>
  <c r="O72" i="1"/>
  <c r="J68" i="1"/>
  <c r="J70" i="1"/>
  <c r="M94" i="1"/>
  <c r="L66" i="1"/>
  <c r="J27" i="1"/>
  <c r="J13" i="1"/>
  <c r="J46" i="2" l="1"/>
  <c r="O46" i="2" s="1"/>
  <c r="N52" i="2" s="1"/>
  <c r="P79" i="1"/>
  <c r="O84" i="1" l="1"/>
  <c r="P78" i="1"/>
  <c r="I18" i="2" l="1"/>
  <c r="N18" i="2" s="1"/>
  <c r="I17" i="2"/>
</calcChain>
</file>

<file path=xl/sharedStrings.xml><?xml version="1.0" encoding="utf-8"?>
<sst xmlns="http://schemas.openxmlformats.org/spreadsheetml/2006/main" count="217" uniqueCount="179">
  <si>
    <t>Date :</t>
  </si>
  <si>
    <t>Agence :</t>
  </si>
  <si>
    <t>Site :</t>
  </si>
  <si>
    <t>LILLE</t>
  </si>
  <si>
    <t>REIMS</t>
  </si>
  <si>
    <t>NANCY</t>
  </si>
  <si>
    <t>STRASBOURG</t>
  </si>
  <si>
    <t>DIJON</t>
  </si>
  <si>
    <t>LYON</t>
  </si>
  <si>
    <t>GRENOBLE</t>
  </si>
  <si>
    <t>AIX EN P.</t>
  </si>
  <si>
    <t>ANTIBES</t>
  </si>
  <si>
    <t>TOULOUSE</t>
  </si>
  <si>
    <t>BORDEAUX</t>
  </si>
  <si>
    <t>LORIENT</t>
  </si>
  <si>
    <t>NANTES</t>
  </si>
  <si>
    <t>ROUEN</t>
  </si>
  <si>
    <t>TOURS</t>
  </si>
  <si>
    <t>ROSNY</t>
  </si>
  <si>
    <t>AGENCES</t>
  </si>
  <si>
    <t>OUI</t>
  </si>
  <si>
    <t>NON</t>
  </si>
  <si>
    <t>REPONSE</t>
  </si>
  <si>
    <t>CENTRALES</t>
  </si>
  <si>
    <t>ACTIVA 1000 LON</t>
  </si>
  <si>
    <t>UTC.COM</t>
  </si>
  <si>
    <t>UTI.COM</t>
  </si>
  <si>
    <t>CMSI.COM</t>
  </si>
  <si>
    <t>Commercial :</t>
  </si>
  <si>
    <t>CAF / BE :</t>
  </si>
  <si>
    <t>Installation déjà supervisée :</t>
  </si>
  <si>
    <t>Y a-t-il un(des) site(s) distant(s) à superviser :</t>
  </si>
  <si>
    <t>Liaisons entre les SSI pour supervision :</t>
  </si>
  <si>
    <t>Commentaires sur liaison (nature, type, etc…) :</t>
  </si>
  <si>
    <t>RENSEIGNEMENTS   GENERAUX</t>
  </si>
  <si>
    <t>GESTION   DES   PLANS</t>
  </si>
  <si>
    <t>Doit-on afficher des plans :</t>
  </si>
  <si>
    <t>Distances entre les divers matériels :</t>
  </si>
  <si>
    <r>
      <t>ÖÖÖÖ</t>
    </r>
    <r>
      <rPr>
        <i/>
        <sz val="9"/>
        <rFont val="Arial"/>
        <family val="2"/>
      </rPr>
      <t xml:space="preserve">    Nota : Joindre un synoptique de l'architecture au format pdf    </t>
    </r>
    <r>
      <rPr>
        <sz val="9"/>
        <rFont val="Arial"/>
        <family val="2"/>
      </rPr>
      <t xml:space="preserve"> </t>
    </r>
    <r>
      <rPr>
        <sz val="9"/>
        <rFont val="Wingdings"/>
        <charset val="2"/>
      </rPr>
      <t>ÕÕÕÕ</t>
    </r>
  </si>
  <si>
    <t xml:space="preserve">Doit-on matérialiser les zones de détection ZD : </t>
  </si>
  <si>
    <t>Qui créra le projet de supervision :</t>
  </si>
  <si>
    <t>Date prévue de mise en service :</t>
  </si>
  <si>
    <t>Formation interne pour paramétrage et mise en œuvre à prévoir :</t>
  </si>
  <si>
    <t>COMMENTAIRES</t>
  </si>
  <si>
    <t>AUTRE : Préciser :</t>
  </si>
  <si>
    <t>Réalisé par :</t>
  </si>
  <si>
    <t>LISTE   DES   MATERIELS   NECESSAIRES</t>
  </si>
  <si>
    <t>Nombre de postes serveurs :</t>
  </si>
  <si>
    <t>Une imprimante FIL DE L'EAU est-elle prévue :</t>
  </si>
  <si>
    <t>Une imprimante ECRAN est-elle prévue :</t>
  </si>
  <si>
    <t>Client :</t>
  </si>
  <si>
    <t>Désignation</t>
  </si>
  <si>
    <t>Référence</t>
  </si>
  <si>
    <t>Quantité à prévoir</t>
  </si>
  <si>
    <t>PC</t>
  </si>
  <si>
    <t>Imprimante ECRAN</t>
  </si>
  <si>
    <t>Imprimante FIL DE L'EAU</t>
  </si>
  <si>
    <t>Serveurs OPC</t>
  </si>
  <si>
    <t>Interfaces communications</t>
  </si>
  <si>
    <t>Fournit par Client</t>
  </si>
  <si>
    <t>Ecran</t>
  </si>
  <si>
    <t xml:space="preserve"> /</t>
  </si>
  <si>
    <t>DETAIL  DU  TEMPS   DE   M.O  SELON  LES ELEMENTS  TRANSMIS</t>
  </si>
  <si>
    <t>Temps à prévoir</t>
  </si>
  <si>
    <t>Temps de paramétrage et test PC</t>
  </si>
  <si>
    <t>Mise en service</t>
  </si>
  <si>
    <t>A définir par agence</t>
  </si>
  <si>
    <t>Formation</t>
  </si>
  <si>
    <t>heures</t>
  </si>
  <si>
    <t>Plan Autocad (nettoyage/formatage)</t>
  </si>
  <si>
    <t>Nombre DA/DM (implantation)</t>
  </si>
  <si>
    <t>Nombre DAS (implantation)</t>
  </si>
  <si>
    <t>Nombre ZD (implantation)</t>
  </si>
  <si>
    <t>Nombre centrale pour MAJ (importation)</t>
  </si>
  <si>
    <t>Commentaire</t>
  </si>
  <si>
    <t>????</t>
  </si>
  <si>
    <t>Nombre de Points</t>
  </si>
  <si>
    <t>LON RESONANCE</t>
  </si>
  <si>
    <t>TOTAL</t>
  </si>
  <si>
    <t>Nombre de Centrale SDI</t>
  </si>
  <si>
    <t>Nombre de Centrales CMSI</t>
  </si>
  <si>
    <t>DELAI   &amp;   FORMATION</t>
  </si>
  <si>
    <t>LON
ACTIVA</t>
  </si>
  <si>
    <t>BRIVE</t>
  </si>
  <si>
    <t>POITIERS</t>
  </si>
  <si>
    <t>CLERMONT Fd</t>
  </si>
  <si>
    <t>CHAMBERY</t>
  </si>
  <si>
    <t>MONTPELLIER</t>
  </si>
  <si>
    <t>Doit-on fournir le(s) PC(s) :</t>
  </si>
  <si>
    <t>Liaison poste serveur / poste(s) client(s) :</t>
  </si>
  <si>
    <t>Routeurs</t>
  </si>
  <si>
    <r>
      <t>Nota :</t>
    </r>
    <r>
      <rPr>
        <sz val="9"/>
        <rFont val="Arial"/>
        <family val="2"/>
      </rPr>
      <t xml:space="preserve"> Le temps d'installation sur site de(s) serveur(s) et/ou poste(s) client(s) n'est pas pris en compte dans ce calcul</t>
    </r>
  </si>
  <si>
    <t>En phase de réalisation:</t>
  </si>
  <si>
    <t>VILLENEUVE LA G</t>
  </si>
  <si>
    <t>VILLEPINTE</t>
  </si>
  <si>
    <t>IVRY S/SEINE</t>
  </si>
  <si>
    <t>En phase de mise en service :</t>
  </si>
  <si>
    <t>Vous devrez alors :</t>
  </si>
  <si>
    <r>
      <t xml:space="preserve">  3 -</t>
    </r>
    <r>
      <rPr>
        <sz val="10"/>
        <color indexed="18"/>
        <rFont val="Arial"/>
        <family val="2"/>
      </rPr>
      <t xml:space="preserve"> Vous renverra par mail un document PDF résumant la liste des éléments à commander et le nombre d'heures de réalisation à prévoir, </t>
    </r>
  </si>
  <si>
    <t>ACTIVACOM LON</t>
  </si>
  <si>
    <t>Marche à suivre lorsqu’une affaire comprend une supervision à base de OPTIMA VISION :</t>
  </si>
  <si>
    <r>
      <t xml:space="preserve">  1 -</t>
    </r>
    <r>
      <rPr>
        <sz val="10"/>
        <color indexed="18"/>
        <rFont val="Arial"/>
        <family val="2"/>
      </rPr>
      <t xml:space="preserve"> Renseigner l'onglet "Besoin",</t>
    </r>
  </si>
  <si>
    <t>Recueil des besoins pour élaborer une supervision OPTIMA VISION</t>
  </si>
  <si>
    <t>Centrales Chubb à superviser (quantité et type) 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</si>
  <si>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</si>
  <si>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</si>
  <si>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</si>
  <si>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</si>
  <si>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</si>
  <si>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</si>
  <si>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</si>
  <si>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</si>
  <si>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</si>
  <si>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</si>
  <si>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Chiffrage OPTIMA VISION</t>
  </si>
  <si>
    <t>CONFIGURATION   A   PROPOSER   (suite…)</t>
  </si>
  <si>
    <t>Attention, la mise en service sur site de la supervision dépend de l’environnement et des exigences du client, et est à estimer en complément.</t>
  </si>
  <si>
    <r>
      <t xml:space="preserve">  5 -</t>
    </r>
    <r>
      <rPr>
        <sz val="10"/>
        <color indexed="18"/>
        <rFont val="Arial"/>
        <family val="2"/>
      </rPr>
      <t xml:space="preserve"> Renseigner I-Sales avec la réponse fournie par votre Référent au point 3,</t>
    </r>
  </si>
  <si>
    <t>Licence OPTIMA poste serveur</t>
  </si>
  <si>
    <t>Redondance des serveurs</t>
  </si>
  <si>
    <t>Fait à l'agence</t>
  </si>
  <si>
    <r>
      <t xml:space="preserve">  4 -</t>
    </r>
    <r>
      <rPr>
        <sz val="10"/>
        <color indexed="18"/>
        <rFont val="Arial"/>
        <family val="2"/>
      </rPr>
      <t xml:space="preserve"> Créera un nouveau projet de supervision sur le site intranet « SiTech » accessible par l'IntraNews, en statut « chiffrage »,</t>
    </r>
  </si>
  <si>
    <t>Sous 15 jours, Votre référent UAE :</t>
  </si>
  <si>
    <r>
      <rPr>
        <b/>
        <sz val="10"/>
        <color indexed="18"/>
        <rFont val="Arial"/>
        <family val="2"/>
      </rPr>
      <t>En phase chiffrage</t>
    </r>
    <r>
      <rPr>
        <sz val="10"/>
        <color indexed="18"/>
        <rFont val="Arial"/>
        <family val="2"/>
      </rPr>
      <t xml:space="preserve"> :</t>
    </r>
  </si>
  <si>
    <r>
      <t>Lors de la réception de la commande Client</t>
    </r>
    <r>
      <rPr>
        <sz val="10"/>
        <color indexed="18"/>
        <rFont val="Arial"/>
        <family val="2"/>
      </rPr>
      <t xml:space="preserve"> :</t>
    </r>
  </si>
  <si>
    <r>
      <t xml:space="preserve">  6 -</t>
    </r>
    <r>
      <rPr>
        <sz val="10"/>
        <color indexed="18"/>
        <rFont val="Arial"/>
        <family val="2"/>
      </rPr>
      <t xml:space="preserve"> Avertir votre référent UAE par email de l'obtention de la commande,</t>
    </r>
  </si>
  <si>
    <t>Doit-on matérialiser les DAS / DCT :</t>
  </si>
  <si>
    <t>CALCUL   LICENCES  Optima Vision</t>
  </si>
  <si>
    <t>Nombre de Zones de détection</t>
  </si>
  <si>
    <t>Nombre de ZA / Fonctions</t>
  </si>
  <si>
    <t>Nombre de DAS / DCT</t>
  </si>
  <si>
    <r>
      <t>Document à retourner au format EXCEL par mail à votre Référent UAE</t>
    </r>
    <r>
      <rPr>
        <sz val="9"/>
        <color indexed="16"/>
        <rFont val="Arial"/>
        <family val="2"/>
      </rPr>
      <t xml:space="preserve">     :      Réponse sous 2 semaines</t>
    </r>
  </si>
  <si>
    <r>
      <t>10 -</t>
    </r>
    <r>
      <rPr>
        <sz val="10"/>
        <color indexed="18"/>
        <rFont val="Arial"/>
        <family val="2"/>
      </rPr>
      <t xml:space="preserve"> L’assistance téléphonique sera assurée par votre Référent UAE en cas de besoin.</t>
    </r>
  </si>
  <si>
    <t>Liste des référents</t>
  </si>
  <si>
    <r>
      <t xml:space="preserve">  2 -</t>
    </r>
    <r>
      <rPr>
        <sz val="10"/>
        <color indexed="18"/>
        <rFont val="Arial"/>
        <family val="2"/>
      </rPr>
      <t xml:space="preserve"> Retourner ce document au format EXCEL uniquement à votre référent UAE</t>
    </r>
  </si>
  <si>
    <r>
      <t xml:space="preserve">  7 -</t>
    </r>
    <r>
      <rPr>
        <sz val="10"/>
        <color indexed="18"/>
        <rFont val="Arial"/>
        <family val="2"/>
      </rPr>
      <t xml:space="preserve"> Pour le matériel, lancer l'approvisionnement conformément à la liste fournie par votre Référent au point 3.</t>
    </r>
  </si>
  <si>
    <t>Liste des prestataires</t>
  </si>
  <si>
    <r>
      <t xml:space="preserve">  8 -</t>
    </r>
    <r>
      <rPr>
        <sz val="10"/>
        <color indexed="18"/>
        <rFont val="Arial"/>
        <family val="2"/>
      </rPr>
      <t xml:space="preserve"> Le projet peut être réalisé en interne ou en externe auprès d'un prestataire référencé</t>
    </r>
  </si>
  <si>
    <r>
      <t xml:space="preserve">  9 -</t>
    </r>
    <r>
      <rPr>
        <sz val="10"/>
        <color indexed="18"/>
        <rFont val="Arial"/>
        <family val="2"/>
      </rPr>
      <t xml:space="preserve"> Si une formation du personnel CHUBB a été prévue, se mettre en contact avec votre référent UAE pour planifier cette formation.</t>
    </r>
  </si>
  <si>
    <r>
      <t xml:space="preserve">INSTALLATION   A   SUPERVISER 
</t>
    </r>
    <r>
      <rPr>
        <sz val="9"/>
        <rFont val="Arial"/>
        <family val="2"/>
      </rPr>
      <t>Nota: Les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centrales référencées de la concurrence seront selectionnables dans une prochaine révision</t>
    </r>
  </si>
  <si>
    <t>CONFIGURATION   A   PROPOSER</t>
  </si>
  <si>
    <t>Nombre de points du superviseur:</t>
  </si>
  <si>
    <t>http://cfrrya21/sitech/</t>
  </si>
  <si>
    <t xml:space="preserve">Nombre de postes Clients "LOURDS" :   </t>
  </si>
  <si>
    <t xml:space="preserve">Nombre de postes Clients "LEGERS" :   </t>
  </si>
  <si>
    <t>Option Licence Supplémentaire</t>
  </si>
  <si>
    <t>Option Protocole Supplémentaire</t>
  </si>
  <si>
    <t>Option SMS/mail</t>
  </si>
  <si>
    <t>Option Main courante</t>
  </si>
  <si>
    <t xml:space="preserve">Besoin option main courante : </t>
  </si>
  <si>
    <t>/</t>
  </si>
  <si>
    <t xml:space="preserve">Besoin option SMS/Mail :  </t>
  </si>
  <si>
    <t>Révision</t>
  </si>
  <si>
    <t>Description</t>
  </si>
  <si>
    <t>Changement calcul sur la question Doit-on fournir le(s) PC(s) :</t>
  </si>
  <si>
    <t>Ajout code article option SMS Mail</t>
  </si>
  <si>
    <t>Licence physique:</t>
  </si>
  <si>
    <t>Ajout du choix du type de licence: physique ou logicielle</t>
  </si>
  <si>
    <t>A faire:</t>
  </si>
  <si>
    <t>Problème Ecran fourni par le client si PC fourni par le client: Faire apparaitre le "Oui" dans la colonne "fournit par le client" pour l'écran si le PC est fournit par le client.</t>
  </si>
  <si>
    <t>Ajouter l'information du nb maximum de 100 symboles par plan</t>
  </si>
  <si>
    <t>Licence OPTIMA poste Client 1x</t>
  </si>
  <si>
    <t>Licence OPTIMA poste Client 5x</t>
  </si>
  <si>
    <t>Correction du calcul des quantités à prévoir des licences Viewer x5</t>
  </si>
  <si>
    <t>Option ESPA 4.4.4.</t>
  </si>
  <si>
    <t>Ajout du code article ESPA444</t>
  </si>
  <si>
    <t>Dévérouillage de la partie COMMENTAIRES</t>
  </si>
  <si>
    <t>Ajout de l'interface Easylon</t>
  </si>
  <si>
    <t>Apparition des quantités à prévoir même si fourni par le client</t>
  </si>
  <si>
    <t>Ajout du nombre de symboles par plans</t>
  </si>
  <si>
    <t>Synoptiques (import/navigation)</t>
  </si>
  <si>
    <t>Synoptiques suplémentaires MES</t>
  </si>
  <si>
    <t>Ajouter le choix du type de licence: physique ou logicielle</t>
  </si>
  <si>
    <t>Calcul du nb de variables DA/DM x 3 pour ACTIVA1000</t>
  </si>
  <si>
    <t>Calcul du nb de variables ZD x 1 pour ACTIVA1000</t>
  </si>
  <si>
    <t>Calcul du nb de variables DCT x 3 pour ACTIVCOM</t>
  </si>
  <si>
    <t>Calcul du nb de variables Fonction x 9 pour ACTIVCOM</t>
  </si>
  <si>
    <t>IMPR-3314 - 5</t>
  </si>
  <si>
    <t>Calcul du nombre de "Pages supervision (import/navigation)" pour diviser par 2 le temps BE des plans de MES par rapport aux plans DI
Suppresion des 10% si licence virtuelle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</si>
</sst>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&quot;heures&quot;"/>
    <numFmt numFmtId="165" formatCode="0.0"/>
  </numFmts>
  <fonts count="58" x14ac:knownFonts="1">
    <font>
      <sz val="10"/>
      <name val="Arial"/>
    </font>
    <font>
      <b/>
      <sz val="16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8"/>
      <color indexed="12"/>
      <name val="Arial"/>
      <family val="2"/>
    </font>
    <font>
      <b/>
      <sz val="8"/>
      <color indexed="12"/>
      <name val="Arial"/>
      <family val="2"/>
    </font>
    <font>
      <b/>
      <sz val="10"/>
      <color indexed="12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12"/>
      <name val="Arial"/>
      <family val="2"/>
    </font>
    <font>
      <sz val="9"/>
      <name val="Wingdings"/>
      <charset val="2"/>
    </font>
    <font>
      <i/>
      <sz val="8"/>
      <name val="Arial"/>
      <family val="2"/>
    </font>
    <font>
      <b/>
      <sz val="9"/>
      <color indexed="12"/>
      <name val="Arial"/>
      <family val="2"/>
    </font>
    <font>
      <b/>
      <sz val="8"/>
      <color indexed="10"/>
      <name val="Arial"/>
      <family val="2"/>
    </font>
    <font>
      <i/>
      <sz val="10"/>
      <color indexed="8"/>
      <name val="Arial"/>
      <family val="2"/>
    </font>
    <font>
      <sz val="9"/>
      <color indexed="12"/>
      <name val="Arial"/>
      <family val="2"/>
    </font>
    <font>
      <sz val="9"/>
      <color indexed="8"/>
      <name val="Arial"/>
      <family val="2"/>
    </font>
    <font>
      <sz val="10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9"/>
      <color indexed="16"/>
      <name val="Arial"/>
      <family val="2"/>
    </font>
    <font>
      <sz val="8"/>
      <color indexed="8"/>
      <name val="Arial"/>
      <family val="2"/>
    </font>
    <font>
      <b/>
      <sz val="9"/>
      <color indexed="10"/>
      <name val="Arial"/>
      <family val="2"/>
    </font>
    <font>
      <b/>
      <sz val="9"/>
      <color indexed="9"/>
      <name val="Tahoma"/>
      <family val="2"/>
    </font>
    <font>
      <b/>
      <sz val="8"/>
      <color indexed="8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  <font>
      <sz val="9"/>
      <color indexed="10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  <font>
      <sz val="9"/>
      <color indexed="10"/>
      <name val="Arial"/>
      <family val="2"/>
    </font>
    <font>
      <sz val="6"/>
      <color indexed="9"/>
      <name val="Arial"/>
      <family val="2"/>
    </font>
    <font>
      <b/>
      <u/>
      <sz val="9"/>
      <name val="Arial"/>
      <family val="2"/>
    </font>
    <font>
      <sz val="10"/>
      <color indexed="18"/>
      <name val="Arial"/>
      <family val="2"/>
    </font>
    <font>
      <b/>
      <u/>
      <sz val="10"/>
      <color indexed="18"/>
      <name val="Arial"/>
      <family val="2"/>
    </font>
    <font>
      <b/>
      <u/>
      <sz val="14"/>
      <color indexed="18"/>
      <name val="Arial"/>
      <family val="2"/>
    </font>
    <font>
      <b/>
      <sz val="10"/>
      <color indexed="18"/>
      <name val="Arial"/>
      <family val="2"/>
    </font>
    <font>
      <b/>
      <sz val="9"/>
      <color indexed="10"/>
      <name val="Arial"/>
      <family val="2"/>
    </font>
    <font>
      <b/>
      <sz val="10"/>
      <color indexed="1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9"/>
      <color rgb="FF0000CC"/>
      <name val="Arial"/>
      <family val="2"/>
    </font>
    <font>
      <b/>
      <sz val="8"/>
      <color theme="0"/>
      <name val="Arial"/>
      <family val="2"/>
    </font>
    <font>
      <i/>
      <sz val="9"/>
      <color theme="0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3" fillId="0" borderId="0" applyNumberFormat="0" applyFill="0" applyBorder="0" applyAlignment="0" applyProtection="0"/>
  </cellStyleXfs>
  <cellXfs count="29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7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8" fillId="0" borderId="9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21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23" fillId="0" borderId="0" xfId="0" applyFont="1" applyBorder="1" applyAlignment="1" applyProtection="1">
      <alignment horizontal="center" vertical="center"/>
      <protection locked="0"/>
    </xf>
    <xf numFmtId="0" fontId="24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165" fontId="17" fillId="0" borderId="10" xfId="0" applyNumberFormat="1" applyFont="1" applyBorder="1" applyAlignment="1">
      <alignment horizontal="right" vertical="center"/>
    </xf>
    <xf numFmtId="0" fontId="19" fillId="3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32" fillId="0" borderId="6" xfId="0" applyFont="1" applyBorder="1" applyAlignment="1">
      <alignment vertical="center"/>
    </xf>
    <xf numFmtId="0" fontId="27" fillId="3" borderId="0" xfId="0" applyFont="1" applyFill="1" applyBorder="1" applyAlignment="1">
      <alignment vertical="center"/>
    </xf>
    <xf numFmtId="0" fontId="4" fillId="0" borderId="0" xfId="0" applyFont="1" applyBorder="1" applyAlignment="1" applyProtection="1">
      <alignment horizontal="center" vertical="center"/>
      <protection locked="0"/>
    </xf>
    <xf numFmtId="0" fontId="0" fillId="0" borderId="13" xfId="0" applyBorder="1" applyAlignment="1">
      <alignment vertical="center"/>
    </xf>
    <xf numFmtId="1" fontId="28" fillId="0" borderId="10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left" vertical="center"/>
    </xf>
    <xf numFmtId="0" fontId="30" fillId="3" borderId="10" xfId="0" applyFont="1" applyFill="1" applyBorder="1" applyAlignment="1">
      <alignment vertical="center"/>
    </xf>
    <xf numFmtId="0" fontId="30" fillId="3" borderId="11" xfId="0" applyFont="1" applyFill="1" applyBorder="1" applyAlignment="1">
      <alignment vertical="center"/>
    </xf>
    <xf numFmtId="0" fontId="30" fillId="3" borderId="12" xfId="0" applyFont="1" applyFill="1" applyBorder="1" applyAlignment="1">
      <alignment vertical="center"/>
    </xf>
    <xf numFmtId="0" fontId="27" fillId="3" borderId="16" xfId="0" applyFont="1" applyFill="1" applyBorder="1" applyAlignment="1">
      <alignment vertical="center"/>
    </xf>
    <xf numFmtId="0" fontId="36" fillId="0" borderId="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37" fillId="0" borderId="0" xfId="0" applyFont="1" applyBorder="1" applyAlignment="1">
      <alignment horizontal="right" vertical="center"/>
    </xf>
    <xf numFmtId="1" fontId="7" fillId="0" borderId="0" xfId="0" applyNumberFormat="1" applyFont="1" applyBorder="1" applyAlignment="1">
      <alignment vertical="center"/>
    </xf>
    <xf numFmtId="0" fontId="39" fillId="0" borderId="0" xfId="0" applyFont="1"/>
    <xf numFmtId="0" fontId="40" fillId="0" borderId="0" xfId="0" applyFont="1"/>
    <xf numFmtId="0" fontId="41" fillId="0" borderId="0" xfId="0" applyFont="1"/>
    <xf numFmtId="0" fontId="39" fillId="0" borderId="0" xfId="0" applyFont="1" applyAlignment="1">
      <alignment horizontal="left" indent="7"/>
    </xf>
    <xf numFmtId="0" fontId="42" fillId="0" borderId="0" xfId="0" applyFont="1"/>
    <xf numFmtId="0" fontId="24" fillId="0" borderId="0" xfId="0" applyFont="1" applyBorder="1" applyAlignment="1">
      <alignment horizontal="center" vertical="top"/>
    </xf>
    <xf numFmtId="0" fontId="17" fillId="0" borderId="0" xfId="0" applyFont="1" applyBorder="1" applyAlignment="1">
      <alignment horizontal="center" vertical="center"/>
    </xf>
    <xf numFmtId="0" fontId="43" fillId="0" borderId="0" xfId="0" applyFont="1" applyBorder="1" applyAlignment="1">
      <alignment vertical="center"/>
    </xf>
    <xf numFmtId="0" fontId="44" fillId="0" borderId="0" xfId="0" applyFont="1" applyBorder="1" applyAlignment="1">
      <alignment horizontal="center" vertical="center"/>
    </xf>
    <xf numFmtId="0" fontId="8" fillId="0" borderId="8" xfId="0" applyFont="1" applyBorder="1" applyAlignment="1">
      <alignment horizontal="right" vertical="center"/>
    </xf>
    <xf numFmtId="0" fontId="45" fillId="0" borderId="0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0" xfId="0" applyFont="1" applyBorder="1" applyAlignment="1">
      <alignment horizontal="right" vertical="center"/>
    </xf>
    <xf numFmtId="0" fontId="45" fillId="0" borderId="0" xfId="0" applyFont="1" applyAlignment="1">
      <alignment vertical="center"/>
    </xf>
    <xf numFmtId="0" fontId="46" fillId="0" borderId="0" xfId="0" applyFont="1" applyBorder="1" applyAlignment="1">
      <alignment vertical="center"/>
    </xf>
    <xf numFmtId="0" fontId="47" fillId="0" borderId="0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right" vertical="center"/>
    </xf>
    <xf numFmtId="0" fontId="29" fillId="3" borderId="0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8" fillId="0" borderId="0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>
      <alignment horizontal="left" vertical="center"/>
    </xf>
    <xf numFmtId="0" fontId="54" fillId="0" borderId="0" xfId="0" applyFont="1"/>
    <xf numFmtId="0" fontId="55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7" fillId="0" borderId="7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53" fillId="0" borderId="0" xfId="1" applyAlignment="1">
      <alignment horizontal="left"/>
    </xf>
    <xf numFmtId="0" fontId="8" fillId="0" borderId="0" xfId="0" applyFont="1" applyBorder="1" applyAlignment="1">
      <alignment vertical="center"/>
    </xf>
    <xf numFmtId="0" fontId="57" fillId="0" borderId="0" xfId="0" applyFont="1" applyFill="1" applyBorder="1" applyAlignment="1">
      <alignment horizontal="right" vertical="top"/>
    </xf>
    <xf numFmtId="0" fontId="35" fillId="0" borderId="0" xfId="0" applyFont="1" applyFill="1" applyBorder="1" applyAlignment="1">
      <alignment horizontal="right" vertical="top"/>
    </xf>
    <xf numFmtId="0" fontId="35" fillId="0" borderId="6" xfId="0" applyFont="1" applyFill="1" applyBorder="1" applyAlignment="1">
      <alignment horizontal="right" vertical="top"/>
    </xf>
    <xf numFmtId="0" fontId="32" fillId="0" borderId="1" xfId="0" applyFont="1" applyBorder="1" applyAlignment="1">
      <alignment horizontal="left" vertical="center" wrapText="1"/>
    </xf>
    <xf numFmtId="0" fontId="32" fillId="0" borderId="8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21" xfId="0" applyFont="1" applyBorder="1" applyAlignment="1">
      <alignment vertical="top"/>
    </xf>
    <xf numFmtId="0" fontId="8" fillId="0" borderId="15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24" fillId="0" borderId="37" xfId="0" applyFont="1" applyBorder="1" applyAlignment="1">
      <alignment horizontal="center" vertical="top"/>
    </xf>
    <xf numFmtId="0" fontId="24" fillId="0" borderId="14" xfId="0" applyFont="1" applyBorder="1" applyAlignment="1">
      <alignment horizontal="center" vertical="top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8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8" fillId="0" borderId="6" xfId="0" applyFont="1" applyFill="1" applyBorder="1" applyAlignment="1">
      <alignment horizontal="right" vertical="top"/>
    </xf>
    <xf numFmtId="0" fontId="32" fillId="0" borderId="5" xfId="0" applyFont="1" applyBorder="1" applyAlignment="1">
      <alignment horizontal="left" vertical="center" wrapText="1"/>
    </xf>
    <xf numFmtId="0" fontId="32" fillId="0" borderId="2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4" xfId="0" applyFont="1" applyBorder="1" applyAlignment="1">
      <alignment horizontal="left" vertical="center" wrapText="1"/>
    </xf>
    <xf numFmtId="0" fontId="0" fillId="0" borderId="8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32" fillId="0" borderId="8" xfId="0" applyFont="1" applyBorder="1" applyAlignment="1" applyProtection="1">
      <alignment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26" fillId="2" borderId="25" xfId="0" applyFont="1" applyFill="1" applyBorder="1" applyAlignment="1">
      <alignment horizontal="center" vertical="center"/>
    </xf>
    <xf numFmtId="0" fontId="26" fillId="2" borderId="26" xfId="0" applyFont="1" applyFill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46" fillId="0" borderId="0" xfId="0" applyFont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9" fillId="0" borderId="19" xfId="0" applyFont="1" applyFill="1" applyBorder="1" applyAlignment="1" applyProtection="1">
      <alignment vertical="center"/>
      <protection locked="0"/>
    </xf>
    <xf numFmtId="0" fontId="9" fillId="0" borderId="20" xfId="0" applyFont="1" applyFill="1" applyBorder="1" applyAlignment="1" applyProtection="1">
      <alignment vertical="center"/>
      <protection locked="0"/>
    </xf>
    <xf numFmtId="0" fontId="8" fillId="0" borderId="8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5" fillId="0" borderId="20" xfId="0" applyFont="1" applyFill="1" applyBorder="1" applyAlignment="1" applyProtection="1">
      <alignment vertical="center" wrapText="1"/>
      <protection locked="0"/>
    </xf>
    <xf numFmtId="0" fontId="9" fillId="0" borderId="24" xfId="0" applyFont="1" applyFill="1" applyBorder="1" applyAlignment="1" applyProtection="1">
      <alignment vertical="center"/>
      <protection locked="0"/>
    </xf>
    <xf numFmtId="0" fontId="47" fillId="0" borderId="0" xfId="0" applyFont="1" applyBorder="1" applyAlignment="1" applyProtection="1">
      <alignment vertical="center"/>
      <protection locked="0"/>
    </xf>
    <xf numFmtId="0" fontId="8" fillId="0" borderId="0" xfId="0" applyFont="1" applyBorder="1" applyAlignment="1">
      <alignment vertical="center"/>
    </xf>
    <xf numFmtId="0" fontId="9" fillId="0" borderId="20" xfId="0" applyFont="1" applyFill="1" applyBorder="1" applyAlignment="1" applyProtection="1">
      <alignment horizontal="left" vertical="center"/>
      <protection locked="0"/>
    </xf>
    <xf numFmtId="0" fontId="46" fillId="0" borderId="0" xfId="0" applyFont="1" applyBorder="1" applyAlignment="1">
      <alignment horizontal="left" vertical="center"/>
    </xf>
    <xf numFmtId="0" fontId="9" fillId="0" borderId="0" xfId="0" applyFont="1" applyBorder="1" applyAlignment="1" applyProtection="1">
      <alignment vertical="center"/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7" fillId="0" borderId="3" xfId="0" applyNumberFormat="1" applyFont="1" applyFill="1" applyBorder="1" applyAlignment="1" applyProtection="1">
      <alignment horizontal="center" vertical="center"/>
      <protection locked="0"/>
    </xf>
    <xf numFmtId="14" fontId="7" fillId="0" borderId="6" xfId="0" applyNumberFormat="1" applyFont="1" applyFill="1" applyBorder="1" applyAlignment="1" applyProtection="1">
      <alignment horizontal="center" vertical="center"/>
      <protection locked="0"/>
    </xf>
    <xf numFmtId="14" fontId="7" fillId="0" borderId="4" xfId="0" applyNumberFormat="1" applyFont="1" applyFill="1" applyBorder="1" applyAlignment="1" applyProtection="1">
      <alignment horizontal="center" vertical="center"/>
      <protection locked="0"/>
    </xf>
    <xf numFmtId="0" fontId="24" fillId="0" borderId="3" xfId="0" applyFont="1" applyBorder="1" applyAlignment="1">
      <alignment horizontal="center" wrapText="1"/>
    </xf>
    <xf numFmtId="0" fontId="24" fillId="0" borderId="6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24" xfId="0" applyFont="1" applyBorder="1" applyAlignment="1" applyProtection="1">
      <alignment horizontal="center" vertical="center"/>
      <protection locked="0"/>
    </xf>
    <xf numFmtId="0" fontId="0" fillId="0" borderId="0" xfId="0" applyBorder="1" applyAlignment="1">
      <alignment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0" fontId="48" fillId="0" borderId="0" xfId="0" applyFont="1" applyBorder="1" applyAlignment="1" applyProtection="1">
      <alignment horizontal="center" vertical="center"/>
      <protection locked="0"/>
    </xf>
    <xf numFmtId="0" fontId="48" fillId="0" borderId="0" xfId="0" applyFont="1" applyBorder="1" applyAlignment="1">
      <alignment horizontal="center" vertical="center"/>
    </xf>
    <xf numFmtId="0" fontId="51" fillId="0" borderId="0" xfId="0" applyFont="1" applyBorder="1" applyAlignment="1">
      <alignment horizontal="right" vertical="center"/>
    </xf>
    <xf numFmtId="0" fontId="48" fillId="0" borderId="0" xfId="0" applyFont="1" applyAlignment="1">
      <alignment horizontal="center" vertical="center" wrapText="1"/>
    </xf>
    <xf numFmtId="0" fontId="9" fillId="0" borderId="0" xfId="0" applyFont="1" applyBorder="1" applyAlignment="1" applyProtection="1">
      <alignment horizontal="center" vertical="center"/>
      <protection locked="0"/>
    </xf>
    <xf numFmtId="14" fontId="7" fillId="0" borderId="20" xfId="0" applyNumberFormat="1" applyFont="1" applyFill="1" applyBorder="1" applyAlignment="1" applyProtection="1">
      <alignment horizontal="center" vertical="center"/>
      <protection locked="0"/>
    </xf>
    <xf numFmtId="3" fontId="34" fillId="2" borderId="25" xfId="0" applyNumberFormat="1" applyFont="1" applyFill="1" applyBorder="1" applyAlignment="1">
      <alignment horizontal="center" vertical="center"/>
    </xf>
    <xf numFmtId="3" fontId="34" fillId="2" borderId="27" xfId="0" applyNumberFormat="1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49" fillId="0" borderId="0" xfId="0" applyFont="1" applyFill="1" applyBorder="1" applyAlignment="1">
      <alignment horizontal="center" vertical="center" wrapText="1"/>
    </xf>
    <xf numFmtId="0" fontId="52" fillId="2" borderId="10" xfId="0" applyFont="1" applyFill="1" applyBorder="1" applyAlignment="1" applyProtection="1">
      <alignment horizontal="center" vertical="center"/>
    </xf>
    <xf numFmtId="0" fontId="52" fillId="2" borderId="12" xfId="0" applyFont="1" applyFill="1" applyBorder="1" applyAlignment="1" applyProtection="1">
      <alignment horizontal="center" vertical="center"/>
    </xf>
    <xf numFmtId="0" fontId="50" fillId="0" borderId="0" xfId="0" applyFont="1" applyFill="1" applyBorder="1" applyAlignment="1" applyProtection="1">
      <alignment horizontal="center" vertical="center"/>
    </xf>
    <xf numFmtId="0" fontId="21" fillId="2" borderId="7" xfId="0" applyFont="1" applyFill="1" applyBorder="1" applyAlignment="1" applyProtection="1">
      <alignment horizontal="center" vertical="center"/>
    </xf>
    <xf numFmtId="0" fontId="46" fillId="0" borderId="0" xfId="0" applyFont="1" applyFill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horizontal="center" vertical="center"/>
      <protection locked="0"/>
    </xf>
    <xf numFmtId="0" fontId="30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right" vertical="top"/>
    </xf>
    <xf numFmtId="0" fontId="8" fillId="0" borderId="0" xfId="0" applyFont="1" applyBorder="1" applyAlignment="1">
      <alignment horizontal="right" vertical="top"/>
    </xf>
    <xf numFmtId="0" fontId="9" fillId="0" borderId="20" xfId="0" applyFont="1" applyBorder="1" applyAlignment="1" applyProtection="1">
      <alignment horizontal="center" vertical="center"/>
      <protection locked="0"/>
    </xf>
    <xf numFmtId="0" fontId="48" fillId="0" borderId="7" xfId="0" applyFont="1" applyFill="1" applyBorder="1" applyAlignment="1" applyProtection="1">
      <alignment horizontal="center" vertical="center"/>
      <protection locked="0"/>
    </xf>
    <xf numFmtId="0" fontId="48" fillId="0" borderId="10" xfId="0" applyFont="1" applyFill="1" applyBorder="1" applyAlignment="1" applyProtection="1">
      <alignment horizontal="center" vertical="center"/>
      <protection locked="0"/>
    </xf>
    <xf numFmtId="0" fontId="48" fillId="0" borderId="12" xfId="0" applyFont="1" applyFill="1" applyBorder="1" applyAlignment="1" applyProtection="1">
      <alignment horizontal="center" vertical="center"/>
      <protection locked="0"/>
    </xf>
    <xf numFmtId="0" fontId="38" fillId="0" borderId="8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5" fillId="0" borderId="31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32" xfId="0" applyFont="1" applyBorder="1" applyAlignment="1" applyProtection="1">
      <alignment horizontal="left" vertical="center"/>
      <protection locked="0"/>
    </xf>
    <xf numFmtId="0" fontId="17" fillId="0" borderId="31" xfId="0" applyFont="1" applyBorder="1" applyAlignment="1" applyProtection="1">
      <alignment horizontal="center" vertical="center"/>
      <protection locked="0"/>
    </xf>
    <xf numFmtId="0" fontId="17" fillId="0" borderId="32" xfId="0" applyFont="1" applyBorder="1" applyAlignment="1" applyProtection="1">
      <alignment horizontal="center" vertical="center"/>
      <protection locked="0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5" fillId="0" borderId="34" xfId="0" applyFont="1" applyBorder="1" applyAlignment="1" applyProtection="1">
      <alignment horizontal="left" vertical="center"/>
      <protection locked="0"/>
    </xf>
    <xf numFmtId="0" fontId="5" fillId="0" borderId="35" xfId="0" applyFont="1" applyBorder="1" applyAlignment="1" applyProtection="1">
      <alignment horizontal="left" vertical="center"/>
      <protection locked="0"/>
    </xf>
    <xf numFmtId="0" fontId="5" fillId="0" borderId="36" xfId="0" applyFont="1" applyBorder="1" applyAlignment="1" applyProtection="1">
      <alignment horizontal="left" vertical="center"/>
      <protection locked="0"/>
    </xf>
    <xf numFmtId="0" fontId="17" fillId="0" borderId="34" xfId="0" applyFont="1" applyBorder="1" applyAlignment="1" applyProtection="1">
      <alignment horizontal="center" vertical="center"/>
      <protection locked="0"/>
    </xf>
    <xf numFmtId="0" fontId="17" fillId="0" borderId="36" xfId="0" applyFont="1" applyBorder="1" applyAlignment="1" applyProtection="1">
      <alignment horizontal="center" vertical="center"/>
      <protection locked="0"/>
    </xf>
    <xf numFmtId="0" fontId="17" fillId="0" borderId="34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5" fillId="0" borderId="28" xfId="0" applyFont="1" applyBorder="1" applyAlignment="1" applyProtection="1">
      <alignment horizontal="left" vertical="center"/>
      <protection locked="0"/>
    </xf>
    <xf numFmtId="0" fontId="5" fillId="0" borderId="29" xfId="0" applyFont="1" applyBorder="1" applyAlignment="1" applyProtection="1">
      <alignment horizontal="left" vertical="center"/>
      <protection locked="0"/>
    </xf>
    <xf numFmtId="0" fontId="5" fillId="0" borderId="30" xfId="0" applyFont="1" applyBorder="1" applyAlignment="1" applyProtection="1">
      <alignment horizontal="left" vertical="center"/>
      <protection locked="0"/>
    </xf>
    <xf numFmtId="0" fontId="17" fillId="0" borderId="28" xfId="0" applyFont="1" applyBorder="1" applyAlignment="1" applyProtection="1">
      <alignment horizontal="center" vertical="center"/>
      <protection locked="0"/>
    </xf>
    <xf numFmtId="0" fontId="17" fillId="0" borderId="30" xfId="0" applyFon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24" fillId="0" borderId="37" xfId="0" applyFont="1" applyBorder="1" applyAlignment="1">
      <alignment horizontal="center" vertical="top"/>
    </xf>
    <xf numFmtId="0" fontId="24" fillId="0" borderId="14" xfId="0" applyFont="1" applyBorder="1" applyAlignment="1">
      <alignment horizontal="center" vertical="top"/>
    </xf>
    <xf numFmtId="0" fontId="24" fillId="0" borderId="38" xfId="0" applyFont="1" applyBorder="1" applyAlignment="1">
      <alignment horizontal="center" vertical="top"/>
    </xf>
    <xf numFmtId="0" fontId="8" fillId="0" borderId="17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21" xfId="0" applyFont="1" applyBorder="1" applyAlignment="1">
      <alignment vertical="top"/>
    </xf>
    <xf numFmtId="0" fontId="8" fillId="0" borderId="15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7" fillId="0" borderId="28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9" fillId="0" borderId="10" xfId="0" applyFont="1" applyBorder="1" applyAlignment="1" applyProtection="1">
      <alignment horizontal="center" vertical="center"/>
    </xf>
    <xf numFmtId="0" fontId="9" fillId="0" borderId="12" xfId="0" applyFont="1" applyBorder="1" applyAlignment="1" applyProtection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65" fontId="7" fillId="0" borderId="25" xfId="0" applyNumberFormat="1" applyFont="1" applyBorder="1" applyAlignment="1">
      <alignment vertical="center"/>
    </xf>
    <xf numFmtId="165" fontId="7" fillId="0" borderId="26" xfId="0" applyNumberFormat="1" applyFont="1" applyBorder="1" applyAlignment="1">
      <alignment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33" fillId="0" borderId="10" xfId="0" applyFont="1" applyBorder="1" applyAlignment="1">
      <alignment horizontal="left" vertical="center"/>
    </xf>
    <xf numFmtId="0" fontId="33" fillId="0" borderId="11" xfId="0" applyFont="1" applyBorder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164" fontId="20" fillId="0" borderId="11" xfId="0" applyNumberFormat="1" applyFont="1" applyBorder="1" applyAlignment="1">
      <alignment horizontal="left" vertical="center"/>
    </xf>
    <xf numFmtId="164" fontId="20" fillId="0" borderId="12" xfId="0" applyNumberFormat="1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77">
    <dxf>
      <font>
        <b val="0"/>
        <i val="0"/>
        <condense val="0"/>
        <extend val="0"/>
        <color indexed="12"/>
      </font>
      <fill>
        <patternFill>
          <bgColor indexed="9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ill>
        <patternFill>
          <bgColor indexed="43"/>
        </patternFill>
      </fill>
    </dxf>
    <dxf>
      <font>
        <b val="0"/>
        <i val="0"/>
        <condense val="0"/>
        <extend val="0"/>
        <color indexed="12"/>
      </font>
      <fill>
        <patternFill>
          <bgColor indexed="9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 val="0"/>
        <i val="0"/>
        <condense val="0"/>
        <extend val="0"/>
        <color indexed="12"/>
      </font>
      <fill>
        <patternFill>
          <bgColor indexed="9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2"/>
      </font>
      <fill>
        <patternFill>
          <bgColor indexed="9"/>
        </patternFill>
      </fill>
    </dxf>
    <dxf>
      <fill>
        <patternFill>
          <bgColor indexed="43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b/>
        <i/>
        <condense val="0"/>
        <extend val="0"/>
        <color indexed="8"/>
      </font>
    </dxf>
    <dxf>
      <font>
        <b/>
        <i val="0"/>
        <condense val="0"/>
        <extend val="0"/>
        <color indexed="12"/>
      </font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</border>
    </dxf>
    <dxf>
      <border>
        <left/>
        <right/>
        <top/>
        <bottom style="hair">
          <color auto="1"/>
        </bottom>
        <vertical/>
        <horizontal/>
      </border>
    </dxf>
    <dxf>
      <border>
        <left/>
        <right/>
        <top/>
        <bottom style="hair">
          <color auto="1"/>
        </bottom>
        <vertical/>
        <horizontal/>
      </border>
    </dxf>
    <dxf>
      <font>
        <b/>
        <i val="0"/>
        <color rgb="FF0000CC"/>
      </font>
      <border>
        <left/>
        <right/>
        <top/>
        <bottom style="hair">
          <color indexed="64"/>
        </bottom>
      </border>
    </dxf>
    <dxf>
      <font>
        <b/>
        <i val="0"/>
        <color rgb="FF0000CC"/>
      </font>
      <border>
        <left/>
        <right/>
        <top/>
        <bottom style="hair">
          <color indexed="64"/>
        </bottom>
      </border>
    </dxf>
    <dxf>
      <font>
        <b/>
        <i val="0"/>
        <color rgb="FF0000CC"/>
      </font>
      <border>
        <left/>
        <right/>
        <top/>
        <bottom style="hair">
          <color indexed="64"/>
        </bottom>
      </border>
    </dxf>
    <dxf>
      <border>
        <left/>
        <right/>
        <top/>
        <bottom style="hair">
          <color indexed="64"/>
        </bottom>
      </border>
    </dxf>
    <dxf>
      <font>
        <b/>
        <i val="0"/>
        <condense val="0"/>
        <extend val="0"/>
        <color indexed="1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lor rgb="FF0000CC"/>
      </font>
      <border>
        <left/>
        <right/>
        <top/>
        <bottom style="hair">
          <color indexed="64"/>
        </bottom>
      </border>
    </dxf>
    <dxf>
      <font>
        <b/>
        <i val="0"/>
        <color rgb="FF0000CC"/>
      </font>
      <border>
        <left/>
        <right/>
        <top/>
        <bottom style="hair">
          <color indexed="64"/>
        </bottom>
      </border>
    </dxf>
    <dxf>
      <font>
        <b/>
        <i val="0"/>
        <color rgb="FF0000CC"/>
      </font>
      <border>
        <left/>
        <right/>
        <top/>
        <bottom style="hair">
          <color indexed="64"/>
        </bottom>
      </border>
    </dxf>
    <dxf>
      <font>
        <b/>
        <i val="0"/>
        <color rgb="FF0000CC"/>
      </font>
      <border>
        <left/>
        <right/>
        <top/>
        <bottom style="hair">
          <color indexed="64"/>
        </bottom>
      </border>
    </dxf>
    <dxf>
      <font>
        <b/>
        <i val="0"/>
        <color rgb="FF0000CC"/>
      </font>
      <border>
        <left/>
        <right/>
        <top/>
        <bottom style="hair">
          <color indexed="64"/>
        </bottom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border>
        <left/>
        <right/>
        <top/>
        <bottom/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border>
        <left/>
        <right/>
        <top/>
        <bottom/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font>
        <b/>
        <i/>
        <condense val="0"/>
        <extend val="0"/>
        <color indexed="8"/>
      </font>
    </dxf>
    <dxf>
      <font>
        <b val="0"/>
        <i val="0"/>
      </font>
    </dxf>
    <dxf>
      <font>
        <b/>
        <i val="0"/>
        <condense val="0"/>
        <extend val="0"/>
        <color indexed="10"/>
      </font>
      <fill>
        <patternFill>
          <bgColor indexed="43"/>
        </patternFill>
      </fill>
    </dxf>
    <dxf>
      <font>
        <b/>
        <i val="0"/>
        <condense val="0"/>
        <extend val="0"/>
        <color indexed="1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border>
        <left/>
        <right/>
        <top/>
        <bottom/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condense val="0"/>
        <extend val="0"/>
        <color indexed="9"/>
      </font>
      <border>
        <left/>
        <right/>
        <top/>
        <bottom/>
      </border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2"/>
      </font>
      <border>
        <left/>
        <right/>
        <top/>
        <bottom style="hair">
          <color indexed="64"/>
        </bottom>
      </border>
    </dxf>
    <dxf>
      <font>
        <b/>
        <i val="0"/>
        <condense val="0"/>
        <extend val="0"/>
        <color indexed="12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FFFF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66675</xdr:rowOff>
    </xdr:from>
    <xdr:to>
      <xdr:col>2</xdr:col>
      <xdr:colOff>314325</xdr:colOff>
      <xdr:row>1</xdr:row>
      <xdr:rowOff>7489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26FDD39-3A13-40C8-A767-A5B7DD295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1028700" cy="255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3</xdr:col>
      <xdr:colOff>342900</xdr:colOff>
      <xdr:row>1</xdr:row>
      <xdr:rowOff>142875</xdr:rowOff>
    </xdr:to>
    <xdr:pic>
      <xdr:nvPicPr>
        <xdr:cNvPr id="2229" name="Picture 1" descr="Logo tres petit Chubb" hidden="1">
          <a:extLst>
            <a:ext uri="{FF2B5EF4-FFF2-40B4-BE49-F238E27FC236}">
              <a16:creationId xmlns:a16="http://schemas.microsoft.com/office/drawing/2014/main" id="{00000000-0008-0000-0200-0000B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10572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371475</xdr:colOff>
      <xdr:row>57</xdr:row>
      <xdr:rowOff>0</xdr:rowOff>
    </xdr:from>
    <xdr:to>
      <xdr:col>14</xdr:col>
      <xdr:colOff>76200</xdr:colOff>
      <xdr:row>59</xdr:row>
      <xdr:rowOff>161925</xdr:rowOff>
    </xdr:to>
    <xdr:pic>
      <xdr:nvPicPr>
        <xdr:cNvPr id="2230" name="Objet 21" hidden="1">
          <a:extLst>
            <a:ext uri="{FF2B5EF4-FFF2-40B4-BE49-F238E27FC236}">
              <a16:creationId xmlns:a16="http://schemas.microsoft.com/office/drawing/2014/main" id="{00000000-0008-0000-02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7734300"/>
          <a:ext cx="4057650" cy="218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104775</xdr:rowOff>
    </xdr:from>
    <xdr:to>
      <xdr:col>3</xdr:col>
      <xdr:colOff>295275</xdr:colOff>
      <xdr:row>1</xdr:row>
      <xdr:rowOff>133350</xdr:rowOff>
    </xdr:to>
    <xdr:pic>
      <xdr:nvPicPr>
        <xdr:cNvPr id="2231" name="Image 4">
          <a:extLst>
            <a:ext uri="{FF2B5EF4-FFF2-40B4-BE49-F238E27FC236}">
              <a16:creationId xmlns:a16="http://schemas.microsoft.com/office/drawing/2014/main" id="{00000000-0008-0000-0200-0000B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4775"/>
          <a:ext cx="9810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frrya21/intranews/?p=3858" TargetMode="External"/><Relationship Id="rId2" Type="http://schemas.openxmlformats.org/officeDocument/2006/relationships/hyperlink" Target="http://cfrrya21/intranews/?p=2763" TargetMode="External"/><Relationship Id="rId1" Type="http://schemas.openxmlformats.org/officeDocument/2006/relationships/hyperlink" Target="http://cfrrya21/sitech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tabColor indexed="43"/>
    <pageSetUpPr fitToPage="1"/>
  </sheetPr>
  <dimension ref="A1:C26"/>
  <sheetViews>
    <sheetView showGridLines="0" zoomScaleNormal="100" zoomScaleSheetLayoutView="95" workbookViewId="0">
      <selection activeCell="C21" sqref="C21"/>
    </sheetView>
  </sheetViews>
  <sheetFormatPr baseColWidth="10" defaultColWidth="0" defaultRowHeight="12.75" zeroHeight="1" x14ac:dyDescent="0.2"/>
  <cols>
    <col min="1" max="1" width="4.140625" customWidth="1"/>
    <col min="2" max="2" width="117.140625" customWidth="1"/>
    <col min="3" max="3" width="22.140625" style="99" customWidth="1"/>
    <col min="4" max="16384" width="11.42578125" hidden="1"/>
  </cols>
  <sheetData>
    <row r="1" spans="1:3" ht="18" x14ac:dyDescent="0.25">
      <c r="A1" s="73" t="s">
        <v>100</v>
      </c>
    </row>
    <row r="2" spans="1:3" x14ac:dyDescent="0.2"/>
    <row r="3" spans="1:3" x14ac:dyDescent="0.2">
      <c r="A3" s="71" t="s">
        <v>116</v>
      </c>
      <c r="B3" s="71"/>
    </row>
    <row r="4" spans="1:3" x14ac:dyDescent="0.2">
      <c r="A4" s="71"/>
      <c r="B4" s="71"/>
    </row>
    <row r="5" spans="1:3" x14ac:dyDescent="0.2">
      <c r="A5" s="75" t="s">
        <v>123</v>
      </c>
      <c r="B5" s="71"/>
    </row>
    <row r="6" spans="1:3" x14ac:dyDescent="0.2">
      <c r="A6" s="71"/>
      <c r="B6" s="75" t="s">
        <v>101</v>
      </c>
    </row>
    <row r="7" spans="1:3" x14ac:dyDescent="0.2">
      <c r="A7" s="71"/>
      <c r="B7" s="75" t="s">
        <v>134</v>
      </c>
      <c r="C7" s="100" t="s">
        <v>133</v>
      </c>
    </row>
    <row r="8" spans="1:3" x14ac:dyDescent="0.2">
      <c r="A8" s="71"/>
    </row>
    <row r="9" spans="1:3" x14ac:dyDescent="0.2">
      <c r="A9" s="71"/>
      <c r="B9" s="71" t="s">
        <v>122</v>
      </c>
    </row>
    <row r="10" spans="1:3" x14ac:dyDescent="0.2">
      <c r="A10" s="71"/>
      <c r="B10" s="75" t="s">
        <v>98</v>
      </c>
    </row>
    <row r="11" spans="1:3" x14ac:dyDescent="0.2">
      <c r="A11" s="71"/>
      <c r="B11" s="75" t="s">
        <v>121</v>
      </c>
      <c r="C11" s="100" t="s">
        <v>142</v>
      </c>
    </row>
    <row r="12" spans="1:3" x14ac:dyDescent="0.2">
      <c r="A12" s="71"/>
    </row>
    <row r="13" spans="1:3" x14ac:dyDescent="0.2">
      <c r="A13" s="71"/>
      <c r="B13" s="71" t="s">
        <v>97</v>
      </c>
    </row>
    <row r="14" spans="1:3" x14ac:dyDescent="0.2">
      <c r="A14" s="71"/>
      <c r="B14" s="75" t="s">
        <v>117</v>
      </c>
    </row>
    <row r="15" spans="1:3" x14ac:dyDescent="0.2">
      <c r="A15" s="71"/>
      <c r="B15" s="95"/>
    </row>
    <row r="16" spans="1:3" x14ac:dyDescent="0.2">
      <c r="A16" s="75" t="s">
        <v>124</v>
      </c>
      <c r="B16" s="71"/>
    </row>
    <row r="17" spans="1:3" x14ac:dyDescent="0.2">
      <c r="A17" s="71"/>
      <c r="B17" s="75" t="s">
        <v>125</v>
      </c>
    </row>
    <row r="18" spans="1:3" x14ac:dyDescent="0.2">
      <c r="A18" s="71"/>
      <c r="B18" s="75" t="s">
        <v>135</v>
      </c>
    </row>
    <row r="19" spans="1:3" x14ac:dyDescent="0.2">
      <c r="A19" s="74"/>
      <c r="B19" s="71"/>
    </row>
    <row r="20" spans="1:3" x14ac:dyDescent="0.2">
      <c r="A20" s="72" t="s">
        <v>92</v>
      </c>
      <c r="B20" s="71"/>
    </row>
    <row r="21" spans="1:3" x14ac:dyDescent="0.2">
      <c r="A21" s="71"/>
      <c r="B21" s="75" t="s">
        <v>137</v>
      </c>
      <c r="C21" s="100" t="s">
        <v>136</v>
      </c>
    </row>
    <row r="22" spans="1:3" x14ac:dyDescent="0.2">
      <c r="A22" s="71"/>
    </row>
    <row r="23" spans="1:3" x14ac:dyDescent="0.2">
      <c r="A23" s="72" t="s">
        <v>96</v>
      </c>
      <c r="B23" s="71"/>
    </row>
    <row r="24" spans="1:3" x14ac:dyDescent="0.2">
      <c r="A24" s="71"/>
      <c r="B24" s="75" t="s">
        <v>138</v>
      </c>
    </row>
    <row r="25" spans="1:3" x14ac:dyDescent="0.2">
      <c r="A25" s="71"/>
      <c r="B25" s="75" t="s">
        <v>132</v>
      </c>
    </row>
    <row r="26" spans="1:3" x14ac:dyDescent="0.2">
      <c r="B26" s="71"/>
    </row>
  </sheetData>
  <sheetProtection password="CC98" sheet="1" objects="1" scenarios="1"/>
  <phoneticPr fontId="3" type="noConversion"/>
  <hyperlinks>
    <hyperlink ref="C11" r:id="rId1" xr:uid="{00000000-0004-0000-0000-000000000000}"/>
    <hyperlink ref="C21" r:id="rId2" xr:uid="{00000000-0004-0000-0000-000001000000}"/>
    <hyperlink ref="C7" r:id="rId3" xr:uid="{00000000-0004-0000-0000-000002000000}"/>
  </hyperlinks>
  <pageMargins left="0.39370078740157483" right="0.39370078740157483" top="0.39370078740157483" bottom="0.39370078740157483" header="0.51181102362204722" footer="0.51181102362204722"/>
  <pageSetup paperSize="9" orientation="landscape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tabColor indexed="48"/>
  </sheetPr>
  <dimension ref="A1:AB139"/>
  <sheetViews>
    <sheetView showGridLines="0" tabSelected="1" zoomScaleNormal="100" zoomScaleSheetLayoutView="100" workbookViewId="0">
      <pane ySplit="3" topLeftCell="A4" activePane="bottomLeft" state="frozenSplit"/>
      <selection pane="bottomLeft" activeCell="N21" sqref="N21:P21"/>
    </sheetView>
  </sheetViews>
  <sheetFormatPr baseColWidth="10" defaultColWidth="0" defaultRowHeight="12.75" zeroHeight="1" x14ac:dyDescent="0.2"/>
  <cols>
    <col min="1" max="16" width="5.7109375" style="3" customWidth="1"/>
    <col min="17" max="17" width="4.85546875" style="3" customWidth="1"/>
    <col min="18" max="18" width="1" style="3" customWidth="1"/>
    <col min="19" max="19" width="2" style="3" customWidth="1"/>
    <col min="20" max="20" width="3.7109375" style="8" hidden="1" customWidth="1"/>
    <col min="21" max="21" width="13.5703125" style="9" hidden="1" customWidth="1"/>
    <col min="22" max="22" width="3.7109375" style="8" hidden="1" customWidth="1"/>
    <col min="23" max="23" width="14" style="9" hidden="1" customWidth="1"/>
    <col min="24" max="24" width="7.140625" style="8" hidden="1" customWidth="1"/>
    <col min="25" max="25" width="14.42578125" style="9" hidden="1" customWidth="1"/>
    <col min="26" max="256" width="11.42578125" style="3" hidden="1" customWidth="1"/>
    <col min="257" max="16384" width="11.42578125" style="3" hidden="1"/>
  </cols>
  <sheetData>
    <row r="1" spans="1:27" ht="24.95" customHeight="1" x14ac:dyDescent="0.2">
      <c r="A1" s="1"/>
      <c r="B1" s="6"/>
      <c r="C1" s="2"/>
      <c r="D1" s="176" t="s">
        <v>102</v>
      </c>
      <c r="E1" s="177"/>
      <c r="F1" s="177"/>
      <c r="G1" s="177"/>
      <c r="H1" s="177"/>
      <c r="I1" s="177"/>
      <c r="J1" s="177"/>
      <c r="K1" s="177"/>
      <c r="L1" s="177"/>
      <c r="M1" s="177"/>
      <c r="N1" s="178"/>
      <c r="O1" s="167" t="s">
        <v>0</v>
      </c>
      <c r="P1" s="168"/>
      <c r="Q1" s="168"/>
      <c r="R1" s="169"/>
    </row>
    <row r="2" spans="1:27" ht="24.95" customHeight="1" thickBot="1" x14ac:dyDescent="0.25">
      <c r="A2" s="292" t="s">
        <v>177</v>
      </c>
      <c r="B2" s="293"/>
      <c r="C2" s="294"/>
      <c r="D2" s="179"/>
      <c r="E2" s="180"/>
      <c r="F2" s="180"/>
      <c r="G2" s="180"/>
      <c r="H2" s="180"/>
      <c r="I2" s="180"/>
      <c r="J2" s="180"/>
      <c r="K2" s="180"/>
      <c r="L2" s="180"/>
      <c r="M2" s="180"/>
      <c r="N2" s="181"/>
      <c r="O2" s="170"/>
      <c r="P2" s="171"/>
      <c r="Q2" s="171"/>
      <c r="R2" s="172"/>
    </row>
    <row r="3" spans="1:27" ht="9" customHeight="1" thickBot="1" x14ac:dyDescent="0.25"/>
    <row r="4" spans="1:27" s="25" customFormat="1" ht="15.75" thickBot="1" x14ac:dyDescent="0.25">
      <c r="A4" s="143" t="s">
        <v>34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5"/>
      <c r="T4" s="26"/>
      <c r="U4" s="26"/>
      <c r="V4" s="26"/>
      <c r="W4" s="26"/>
      <c r="X4" s="26"/>
      <c r="Y4" s="26"/>
    </row>
    <row r="5" spans="1:27" ht="9.9499999999999993" customHeight="1" x14ac:dyDescent="0.2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2"/>
    </row>
    <row r="6" spans="1:27" s="20" customFormat="1" ht="15" customHeight="1" x14ac:dyDescent="0.2">
      <c r="A6" s="157" t="s">
        <v>1</v>
      </c>
      <c r="B6" s="158"/>
      <c r="C6" s="163"/>
      <c r="D6" s="163"/>
      <c r="E6" s="163"/>
      <c r="F6" s="163"/>
      <c r="G6" s="156" t="s">
        <v>50</v>
      </c>
      <c r="H6" s="156"/>
      <c r="I6" s="163"/>
      <c r="J6" s="163"/>
      <c r="K6" s="163"/>
      <c r="L6" s="163"/>
      <c r="M6" s="43" t="s">
        <v>2</v>
      </c>
      <c r="N6" s="163"/>
      <c r="O6" s="163"/>
      <c r="P6" s="163"/>
      <c r="Q6" s="163"/>
      <c r="R6" s="30"/>
      <c r="T6" s="21"/>
      <c r="U6" s="21"/>
      <c r="V6" s="21"/>
      <c r="W6" s="21"/>
      <c r="X6" s="21"/>
      <c r="Y6" s="21"/>
    </row>
    <row r="7" spans="1:27" ht="5.0999999999999996" customHeight="1" x14ac:dyDescent="0.2">
      <c r="A7" s="14"/>
      <c r="B7" s="12"/>
      <c r="C7" s="60"/>
      <c r="D7" s="60"/>
      <c r="E7" s="60"/>
      <c r="F7" s="60"/>
      <c r="G7" s="12"/>
      <c r="H7" s="19"/>
      <c r="I7" s="12"/>
      <c r="J7" s="12"/>
      <c r="K7" s="12"/>
      <c r="L7" s="12"/>
      <c r="M7" s="12"/>
      <c r="R7" s="15"/>
    </row>
    <row r="8" spans="1:27" s="20" customFormat="1" ht="15" customHeight="1" x14ac:dyDescent="0.2">
      <c r="A8" s="155" t="s">
        <v>28</v>
      </c>
      <c r="B8" s="156"/>
      <c r="C8" s="163"/>
      <c r="D8" s="163"/>
      <c r="E8" s="163"/>
      <c r="F8" s="163"/>
      <c r="G8" s="156" t="s">
        <v>29</v>
      </c>
      <c r="H8" s="156"/>
      <c r="I8" s="163"/>
      <c r="J8" s="163"/>
      <c r="K8" s="163"/>
      <c r="L8" s="163"/>
      <c r="M8" s="163"/>
      <c r="N8" s="163"/>
      <c r="O8" s="163"/>
      <c r="P8" s="163"/>
      <c r="Q8" s="163"/>
      <c r="R8" s="31"/>
      <c r="T8" s="21"/>
      <c r="U8" s="21"/>
      <c r="V8" s="21"/>
      <c r="W8" s="21"/>
      <c r="X8" s="21"/>
      <c r="Y8" s="21"/>
    </row>
    <row r="9" spans="1:27" ht="9.9499999999999993" customHeight="1" thickBot="1" x14ac:dyDescent="0.25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5"/>
    </row>
    <row r="10" spans="1:27" ht="9" customHeight="1" thickBot="1" x14ac:dyDescent="0.25"/>
    <row r="11" spans="1:27" s="25" customFormat="1" ht="27.75" customHeight="1" thickBot="1" x14ac:dyDescent="0.25">
      <c r="A11" s="146" t="s">
        <v>139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8"/>
      <c r="T11" s="26"/>
      <c r="U11" s="26"/>
      <c r="V11" s="26"/>
      <c r="W11" s="26"/>
      <c r="X11" s="26"/>
      <c r="Y11" s="26"/>
    </row>
    <row r="12" spans="1:27" ht="9.9499999999999993" customHeight="1" x14ac:dyDescent="0.2">
      <c r="A12" s="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2"/>
    </row>
    <row r="13" spans="1:27" s="20" customFormat="1" ht="15" customHeight="1" x14ac:dyDescent="0.2">
      <c r="A13" s="157" t="s">
        <v>30</v>
      </c>
      <c r="B13" s="158"/>
      <c r="C13" s="158"/>
      <c r="D13" s="158"/>
      <c r="E13" s="158"/>
      <c r="F13" s="158"/>
      <c r="G13" s="158"/>
      <c r="H13" s="138"/>
      <c r="I13" s="138"/>
      <c r="J13" s="162" t="str">
        <f>IF(H13="OUI","   -----&gt; Avec quel logiciel :","")</f>
        <v/>
      </c>
      <c r="K13" s="162"/>
      <c r="L13" s="162"/>
      <c r="M13" s="162"/>
      <c r="N13" s="165"/>
      <c r="O13" s="165"/>
      <c r="P13" s="165"/>
      <c r="Q13" s="19"/>
      <c r="R13" s="23"/>
      <c r="V13" s="21"/>
      <c r="W13" s="21"/>
      <c r="X13" s="21"/>
      <c r="Y13" s="21"/>
      <c r="Z13" s="21"/>
      <c r="AA13" s="21"/>
    </row>
    <row r="14" spans="1:27" ht="5.0999999999999996" customHeight="1" x14ac:dyDescent="0.2">
      <c r="A14" s="14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5"/>
    </row>
    <row r="15" spans="1:27" s="20" customFormat="1" ht="15" customHeight="1" x14ac:dyDescent="0.2">
      <c r="A15" s="157" t="s">
        <v>103</v>
      </c>
      <c r="B15" s="158"/>
      <c r="C15" s="158"/>
      <c r="D15" s="158"/>
      <c r="E15" s="158"/>
      <c r="F15" s="158"/>
      <c r="G15" s="158"/>
      <c r="H15" s="18"/>
      <c r="I15" s="164"/>
      <c r="J15" s="164"/>
      <c r="K15" s="164"/>
      <c r="L15" s="164"/>
      <c r="M15" s="164"/>
      <c r="N15" s="164"/>
      <c r="O15" s="164"/>
      <c r="P15" s="164"/>
      <c r="Q15" s="164"/>
      <c r="R15" s="29"/>
      <c r="U15" s="21"/>
      <c r="V15" s="21"/>
      <c r="W15" s="21"/>
      <c r="X15" s="21"/>
      <c r="Y15" s="21"/>
      <c r="Z15" s="21"/>
    </row>
    <row r="16" spans="1:27" ht="5.0999999999999996" customHeight="1" x14ac:dyDescent="0.2">
      <c r="A16" s="14"/>
      <c r="B16" s="12"/>
      <c r="C16" s="12"/>
      <c r="D16" s="12"/>
      <c r="E16" s="12"/>
      <c r="F16" s="12"/>
      <c r="G16" s="12"/>
      <c r="H16" s="22"/>
      <c r="I16" s="81"/>
      <c r="J16" s="81"/>
      <c r="K16" s="81"/>
      <c r="L16" s="81"/>
      <c r="M16" s="81"/>
      <c r="N16" s="82"/>
      <c r="O16" s="82"/>
      <c r="P16" s="82"/>
      <c r="Q16" s="82"/>
      <c r="R16" s="15"/>
    </row>
    <row r="17" spans="1:27" s="20" customFormat="1" ht="15" customHeight="1" x14ac:dyDescent="0.2">
      <c r="A17" s="17"/>
      <c r="B17" s="35"/>
      <c r="C17" s="153"/>
      <c r="D17" s="154"/>
      <c r="E17" s="154"/>
      <c r="F17" s="166"/>
      <c r="G17" s="166"/>
      <c r="H17" s="166"/>
      <c r="I17" s="82"/>
      <c r="J17" s="86"/>
      <c r="K17" s="161"/>
      <c r="L17" s="161"/>
      <c r="M17" s="161"/>
      <c r="N17" s="142"/>
      <c r="O17" s="142"/>
      <c r="P17" s="142"/>
      <c r="Q17" s="82"/>
      <c r="R17" s="29"/>
      <c r="U17" s="21"/>
      <c r="V17" s="21"/>
      <c r="W17" s="21"/>
      <c r="X17" s="21"/>
      <c r="Y17" s="21"/>
      <c r="Z17" s="21"/>
    </row>
    <row r="18" spans="1:27" ht="5.0999999999999996" customHeight="1" x14ac:dyDescent="0.2">
      <c r="A18" s="14"/>
      <c r="B18" s="12"/>
      <c r="C18" s="12"/>
      <c r="D18" s="12"/>
      <c r="E18" s="12"/>
      <c r="F18" s="12"/>
      <c r="G18" s="12"/>
      <c r="H18" s="22"/>
      <c r="I18" s="81"/>
      <c r="J18" s="81"/>
      <c r="K18" s="81"/>
      <c r="L18" s="81"/>
      <c r="M18" s="81"/>
      <c r="N18" s="81"/>
      <c r="O18" s="81"/>
      <c r="P18" s="83"/>
      <c r="Q18" s="84"/>
      <c r="R18" s="15"/>
    </row>
    <row r="19" spans="1:27" s="20" customFormat="1" ht="15" customHeight="1" x14ac:dyDescent="0.2">
      <c r="A19" s="24"/>
      <c r="B19" s="35"/>
      <c r="C19" s="153"/>
      <c r="D19" s="154"/>
      <c r="E19" s="154"/>
      <c r="F19" s="184"/>
      <c r="G19" s="184"/>
      <c r="H19" s="184"/>
      <c r="I19" s="82"/>
      <c r="J19" s="86"/>
      <c r="K19" s="161"/>
      <c r="L19" s="161"/>
      <c r="M19" s="161"/>
      <c r="N19" s="142"/>
      <c r="O19" s="142"/>
      <c r="P19" s="142"/>
      <c r="Q19" s="82"/>
      <c r="R19" s="29"/>
      <c r="U19" s="21"/>
      <c r="V19" s="21"/>
      <c r="W19" s="21"/>
      <c r="X19" s="21"/>
      <c r="Y19" s="21"/>
      <c r="Z19" s="21"/>
    </row>
    <row r="20" spans="1:27" ht="5.0999999999999996" customHeight="1" x14ac:dyDescent="0.2">
      <c r="A20" s="14"/>
      <c r="B20" s="12"/>
      <c r="C20" s="12"/>
      <c r="D20" s="12"/>
      <c r="E20" s="12"/>
      <c r="F20" s="12"/>
      <c r="G20" s="12"/>
      <c r="H20" s="19"/>
      <c r="I20" s="81"/>
      <c r="J20" s="81"/>
      <c r="K20" s="81"/>
      <c r="L20" s="81"/>
      <c r="M20" s="81"/>
      <c r="N20" s="81"/>
      <c r="O20" s="81"/>
      <c r="P20" s="85"/>
      <c r="Q20" s="84"/>
      <c r="R20" s="15"/>
    </row>
    <row r="21" spans="1:27" s="20" customFormat="1" ht="15" customHeight="1" x14ac:dyDescent="0.2">
      <c r="A21" s="24"/>
      <c r="B21" s="35"/>
      <c r="C21" s="153"/>
      <c r="D21" s="154"/>
      <c r="E21" s="154"/>
      <c r="F21" s="166"/>
      <c r="G21" s="166"/>
      <c r="H21" s="166"/>
      <c r="I21" s="82"/>
      <c r="J21" s="86"/>
      <c r="K21" s="161"/>
      <c r="L21" s="161"/>
      <c r="M21" s="161"/>
      <c r="N21" s="142"/>
      <c r="O21" s="142"/>
      <c r="P21" s="142"/>
      <c r="Q21" s="82"/>
      <c r="R21" s="29"/>
      <c r="U21" s="21"/>
      <c r="V21" s="21"/>
      <c r="W21" s="21"/>
      <c r="X21" s="21"/>
      <c r="Y21" s="21"/>
      <c r="Z21" s="21"/>
    </row>
    <row r="22" spans="1:27" ht="5.0999999999999996" customHeight="1" x14ac:dyDescent="0.2">
      <c r="A22" s="14"/>
      <c r="B22" s="12"/>
      <c r="C22" s="12"/>
      <c r="D22" s="12"/>
      <c r="E22" s="12"/>
      <c r="F22" s="12"/>
      <c r="G22" s="12"/>
      <c r="H22" s="19"/>
      <c r="I22" s="81"/>
      <c r="J22" s="81"/>
      <c r="K22" s="81"/>
      <c r="L22" s="81"/>
      <c r="M22" s="81"/>
      <c r="N22" s="81"/>
      <c r="O22" s="81"/>
      <c r="P22" s="85"/>
      <c r="Q22" s="81"/>
      <c r="R22" s="15"/>
    </row>
    <row r="23" spans="1:27" s="20" customFormat="1" ht="15" customHeight="1" x14ac:dyDescent="0.2">
      <c r="A23" s="24"/>
      <c r="B23" s="35"/>
      <c r="C23" s="153"/>
      <c r="D23" s="154"/>
      <c r="E23" s="154"/>
      <c r="F23" s="166"/>
      <c r="G23" s="166"/>
      <c r="H23" s="166"/>
      <c r="I23" s="82"/>
      <c r="J23" s="86"/>
      <c r="K23" s="161"/>
      <c r="L23" s="161"/>
      <c r="M23" s="161"/>
      <c r="N23" s="142"/>
      <c r="O23" s="142"/>
      <c r="P23" s="142"/>
      <c r="Q23" s="82"/>
      <c r="R23" s="29"/>
      <c r="U23" s="21"/>
      <c r="V23" s="21"/>
      <c r="W23" s="21"/>
      <c r="X23" s="21"/>
      <c r="Y23" s="21"/>
      <c r="Z23" s="21"/>
    </row>
    <row r="24" spans="1:27" ht="5.0999999999999996" customHeight="1" x14ac:dyDescent="0.2">
      <c r="A24" s="14"/>
      <c r="B24" s="12"/>
      <c r="C24" s="12"/>
      <c r="D24" s="12"/>
      <c r="E24" s="12"/>
      <c r="F24" s="12"/>
      <c r="G24" s="12"/>
      <c r="H24" s="19"/>
      <c r="I24" s="81"/>
      <c r="J24" s="81"/>
      <c r="K24" s="81"/>
      <c r="L24" s="81"/>
      <c r="M24" s="81"/>
      <c r="N24" s="81"/>
      <c r="O24" s="81"/>
      <c r="P24" s="85"/>
      <c r="Q24" s="81"/>
      <c r="R24" s="15"/>
    </row>
    <row r="25" spans="1:27" s="20" customFormat="1" ht="15" customHeight="1" x14ac:dyDescent="0.2">
      <c r="A25" s="24"/>
      <c r="B25" s="35"/>
      <c r="C25" s="153"/>
      <c r="D25" s="154"/>
      <c r="E25" s="154"/>
      <c r="F25" s="166"/>
      <c r="G25" s="166"/>
      <c r="H25" s="166"/>
      <c r="I25" s="82"/>
      <c r="J25" s="86"/>
      <c r="K25" s="161"/>
      <c r="L25" s="161"/>
      <c r="M25" s="161"/>
      <c r="N25" s="142"/>
      <c r="O25" s="142"/>
      <c r="P25" s="142"/>
      <c r="Q25" s="82"/>
      <c r="R25" s="29"/>
      <c r="U25" s="21"/>
      <c r="V25" s="21"/>
      <c r="W25" s="21"/>
      <c r="X25" s="21"/>
      <c r="Y25" s="21"/>
      <c r="Z25" s="21"/>
    </row>
    <row r="26" spans="1:27" ht="5.0999999999999996" customHeight="1" x14ac:dyDescent="0.2">
      <c r="A26" s="14"/>
      <c r="B26" s="12"/>
      <c r="C26" s="12"/>
      <c r="D26" s="12"/>
      <c r="E26" s="12"/>
      <c r="F26" s="12"/>
      <c r="G26" s="12"/>
      <c r="H26" s="19"/>
      <c r="I26" s="12"/>
      <c r="J26" s="12"/>
      <c r="K26" s="12"/>
      <c r="L26" s="12"/>
      <c r="M26" s="12"/>
      <c r="N26" s="12"/>
      <c r="O26" s="12"/>
      <c r="P26" s="12"/>
      <c r="Q26" s="12"/>
      <c r="R26" s="15"/>
    </row>
    <row r="27" spans="1:27" s="20" customFormat="1" ht="15" customHeight="1" x14ac:dyDescent="0.2">
      <c r="A27" s="155" t="s">
        <v>31</v>
      </c>
      <c r="B27" s="156"/>
      <c r="C27" s="156"/>
      <c r="D27" s="156"/>
      <c r="E27" s="156"/>
      <c r="F27" s="156"/>
      <c r="G27" s="156"/>
      <c r="H27" s="138"/>
      <c r="I27" s="138"/>
      <c r="J27" s="162" t="str">
        <f>IF(H27="OUI","   ---&gt; Combien de sites :","")</f>
        <v/>
      </c>
      <c r="K27" s="162"/>
      <c r="L27" s="162"/>
      <c r="M27" s="162"/>
      <c r="N27" s="35"/>
      <c r="O27" s="19"/>
      <c r="P27" s="19"/>
      <c r="Q27" s="19"/>
      <c r="R27" s="23"/>
      <c r="V27" s="21"/>
      <c r="W27" s="21"/>
      <c r="X27" s="21"/>
      <c r="Y27" s="21"/>
      <c r="Z27" s="21"/>
      <c r="AA27" s="21"/>
    </row>
    <row r="28" spans="1:27" s="20" customFormat="1" ht="15" customHeight="1" x14ac:dyDescent="0.2">
      <c r="A28" s="155" t="s">
        <v>32</v>
      </c>
      <c r="B28" s="156"/>
      <c r="C28" s="156"/>
      <c r="D28" s="156"/>
      <c r="E28" s="156"/>
      <c r="F28" s="156"/>
      <c r="G28" s="156"/>
      <c r="H28" s="138"/>
      <c r="I28" s="138"/>
      <c r="J28" s="138"/>
      <c r="K28" s="19"/>
      <c r="L28" s="19"/>
      <c r="M28" s="19"/>
      <c r="N28" s="19"/>
      <c r="O28" s="19"/>
      <c r="P28" s="19"/>
      <c r="Q28" s="19"/>
      <c r="R28" s="23"/>
      <c r="U28" s="21"/>
      <c r="V28" s="21"/>
      <c r="W28" s="21"/>
      <c r="X28" s="21"/>
      <c r="Y28" s="21"/>
      <c r="Z28" s="21"/>
    </row>
    <row r="29" spans="1:27" s="20" customFormat="1" ht="30" customHeight="1" x14ac:dyDescent="0.2">
      <c r="A29" s="203" t="s">
        <v>33</v>
      </c>
      <c r="B29" s="204"/>
      <c r="C29" s="204"/>
      <c r="D29" s="204"/>
      <c r="E29" s="204"/>
      <c r="F29" s="204"/>
      <c r="G29" s="204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23"/>
      <c r="U29" s="21"/>
      <c r="V29" s="21"/>
      <c r="W29" s="21"/>
      <c r="X29" s="21"/>
      <c r="Y29" s="21"/>
      <c r="Z29" s="21"/>
    </row>
    <row r="30" spans="1:27" s="20" customFormat="1" ht="15" customHeight="1" x14ac:dyDescent="0.2">
      <c r="A30" s="24"/>
      <c r="B30" s="19"/>
      <c r="C30" s="19"/>
      <c r="D30" s="19"/>
      <c r="E30" s="19"/>
      <c r="F30" s="19"/>
      <c r="G30" s="22" t="s">
        <v>37</v>
      </c>
      <c r="H30" s="160"/>
      <c r="I30" s="160"/>
      <c r="J30" s="160"/>
      <c r="K30" s="19"/>
      <c r="L30" s="19"/>
      <c r="M30" s="19"/>
      <c r="N30" s="19"/>
      <c r="O30" s="19"/>
      <c r="P30" s="19"/>
      <c r="Q30" s="19"/>
      <c r="R30" s="23"/>
      <c r="T30" s="21"/>
      <c r="U30" s="21"/>
      <c r="V30" s="21"/>
      <c r="W30" s="21"/>
      <c r="X30" s="21"/>
      <c r="Y30" s="21"/>
    </row>
    <row r="31" spans="1:27" ht="5.0999999999999996" customHeight="1" x14ac:dyDescent="0.2">
      <c r="A31" s="14"/>
      <c r="B31" s="12"/>
      <c r="C31" s="12"/>
      <c r="D31" s="12"/>
      <c r="E31" s="12"/>
      <c r="F31" s="12"/>
      <c r="G31" s="13"/>
      <c r="H31" s="16"/>
      <c r="I31" s="97"/>
      <c r="J31" s="16"/>
      <c r="K31" s="12"/>
      <c r="L31" s="12"/>
      <c r="M31" s="12"/>
      <c r="N31" s="12"/>
      <c r="O31" s="12"/>
      <c r="P31" s="12"/>
      <c r="Q31" s="12"/>
      <c r="R31" s="15"/>
    </row>
    <row r="32" spans="1:27" s="20" customFormat="1" ht="15" customHeight="1" thickBot="1" x14ac:dyDescent="0.25">
      <c r="A32" s="149" t="s">
        <v>38</v>
      </c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1"/>
      <c r="T32" s="21"/>
      <c r="U32" s="21"/>
      <c r="V32" s="21"/>
      <c r="W32" s="21"/>
      <c r="X32" s="21"/>
      <c r="Y32" s="21"/>
    </row>
    <row r="33" spans="1:25" ht="9" customHeight="1" thickBot="1" x14ac:dyDescent="0.25"/>
    <row r="34" spans="1:25" s="25" customFormat="1" ht="15.75" thickBot="1" x14ac:dyDescent="0.25">
      <c r="A34" s="143" t="s">
        <v>35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5"/>
      <c r="T34" s="26"/>
      <c r="U34" s="26"/>
      <c r="V34" s="26"/>
      <c r="W34" s="26"/>
      <c r="X34" s="26"/>
      <c r="Y34" s="26"/>
    </row>
    <row r="35" spans="1:25" ht="9.9499999999999993" customHeight="1" x14ac:dyDescent="0.2">
      <c r="A35" s="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2"/>
    </row>
    <row r="36" spans="1:25" s="20" customFormat="1" ht="15" customHeight="1" x14ac:dyDescent="0.2">
      <c r="A36" s="157" t="s">
        <v>36</v>
      </c>
      <c r="B36" s="158"/>
      <c r="C36" s="158"/>
      <c r="D36" s="158"/>
      <c r="E36" s="138"/>
      <c r="F36" s="138"/>
      <c r="P36" s="19"/>
      <c r="Q36" s="41"/>
      <c r="R36" s="39"/>
      <c r="S36" s="21"/>
      <c r="T36" s="21"/>
      <c r="U36" s="21"/>
      <c r="V36" s="21"/>
    </row>
    <row r="37" spans="1:25" s="20" customFormat="1" ht="5.0999999999999996" customHeight="1" x14ac:dyDescent="0.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38"/>
      <c r="N37" s="38"/>
      <c r="O37" s="38"/>
      <c r="P37" s="38"/>
      <c r="Q37" s="38"/>
      <c r="R37" s="39"/>
      <c r="S37" s="21"/>
      <c r="T37" s="21"/>
      <c r="U37" s="21"/>
      <c r="V37" s="21"/>
      <c r="W37" s="21"/>
    </row>
    <row r="38" spans="1:25" s="20" customFormat="1" ht="15" customHeight="1" x14ac:dyDescent="0.2">
      <c r="A38" s="17"/>
      <c r="B38" s="56" t="str">
        <f>IF(E36="OUI","   ---&gt; Combien de plans Autocad Clients à récupérer:","")</f>
        <v/>
      </c>
      <c r="C38" s="56"/>
      <c r="D38" s="56"/>
      <c r="E38" s="56"/>
      <c r="F38" s="56"/>
      <c r="G38" s="56"/>
      <c r="H38" s="56"/>
      <c r="I38" s="56"/>
      <c r="J38" s="36"/>
      <c r="R38" s="39"/>
      <c r="S38" s="21"/>
      <c r="T38" s="21"/>
      <c r="U38" s="21"/>
      <c r="V38" s="21"/>
      <c r="W38" s="21"/>
    </row>
    <row r="39" spans="1:25" s="20" customFormat="1" ht="15" customHeight="1" x14ac:dyDescent="0.2">
      <c r="A39" s="17"/>
      <c r="B39" s="56" t="str">
        <f>IF(E36="OUI","   ---&gt; Combien de plans à afficher :","")</f>
        <v/>
      </c>
      <c r="C39" s="18"/>
      <c r="D39" s="18"/>
      <c r="E39" s="18"/>
      <c r="F39" s="18"/>
      <c r="G39" s="36"/>
      <c r="H39" s="42" t="str">
        <f>IF(E36="OUI","Limite à 100 symboles par synoptique","")</f>
        <v/>
      </c>
      <c r="I39" s="38"/>
      <c r="J39" s="38"/>
      <c r="K39" s="38"/>
      <c r="L39" s="38"/>
      <c r="R39" s="62"/>
      <c r="S39" s="21"/>
      <c r="T39" s="21"/>
      <c r="U39" s="21"/>
      <c r="V39" s="21"/>
      <c r="W39" s="21"/>
    </row>
    <row r="40" spans="1:25" s="20" customFormat="1" ht="15" customHeight="1" x14ac:dyDescent="0.2">
      <c r="A40" s="17"/>
      <c r="B40" s="56" t="str">
        <f>IF(E36="OUI","   ---&gt; Des photos du site devront-elles apparaitre dans le projet :","")</f>
        <v/>
      </c>
      <c r="C40" s="56"/>
      <c r="D40" s="56"/>
      <c r="E40" s="56"/>
      <c r="F40" s="56"/>
      <c r="G40" s="56"/>
      <c r="H40" s="56"/>
      <c r="I40" s="56"/>
      <c r="J40" s="56"/>
      <c r="K40" s="185"/>
      <c r="L40" s="185"/>
      <c r="M40" s="186" t="str">
        <f>IF(K40="Oui","--&gt; Les récupérer chez le Client","")</f>
        <v/>
      </c>
      <c r="N40" s="186"/>
      <c r="O40" s="186"/>
      <c r="P40" s="186"/>
      <c r="Q40" s="186"/>
      <c r="R40" s="62"/>
      <c r="S40" s="21"/>
      <c r="T40" s="21"/>
      <c r="U40" s="21"/>
      <c r="V40" s="21"/>
      <c r="W40" s="21"/>
    </row>
    <row r="41" spans="1:25" ht="9.9499999999999993" customHeight="1" thickBot="1" x14ac:dyDescent="0.25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5"/>
    </row>
    <row r="42" spans="1:25" ht="9" customHeight="1" thickBot="1" x14ac:dyDescent="0.25"/>
    <row r="43" spans="1:25" s="25" customFormat="1" ht="42" customHeight="1" thickBot="1" x14ac:dyDescent="0.25">
      <c r="A43" s="146" t="s">
        <v>140</v>
      </c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8"/>
      <c r="T43" s="26"/>
      <c r="U43" s="26"/>
      <c r="V43" s="26"/>
      <c r="W43" s="26"/>
      <c r="X43" s="26"/>
      <c r="Y43" s="26"/>
    </row>
    <row r="44" spans="1:25" ht="9.9499999999999993" customHeight="1" x14ac:dyDescent="0.2">
      <c r="A44" s="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2"/>
    </row>
    <row r="45" spans="1:25" s="20" customFormat="1" ht="15" customHeight="1" x14ac:dyDescent="0.2">
      <c r="A45" s="24" t="s">
        <v>39</v>
      </c>
      <c r="B45" s="19"/>
      <c r="C45" s="19"/>
      <c r="D45" s="19"/>
      <c r="E45" s="19"/>
      <c r="F45" s="19"/>
      <c r="G45" s="19"/>
      <c r="H45" s="138"/>
      <c r="I45" s="138"/>
      <c r="J45" s="162"/>
      <c r="K45" s="162"/>
      <c r="L45" s="162"/>
      <c r="M45" s="19"/>
      <c r="N45" s="152"/>
      <c r="O45" s="152"/>
      <c r="P45" s="152"/>
      <c r="Q45" s="152"/>
      <c r="R45" s="23"/>
      <c r="T45" s="21"/>
      <c r="U45" s="21"/>
      <c r="V45" s="21"/>
      <c r="W45" s="21"/>
      <c r="X45" s="21"/>
      <c r="Y45" s="21"/>
    </row>
    <row r="46" spans="1:25" ht="5.0999999999999996" customHeight="1" x14ac:dyDescent="0.2">
      <c r="A46" s="1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52"/>
      <c r="O46" s="152"/>
      <c r="P46" s="152"/>
      <c r="Q46" s="152"/>
      <c r="R46" s="15"/>
      <c r="S46" s="8"/>
      <c r="T46" s="9"/>
      <c r="U46" s="8"/>
      <c r="V46" s="9"/>
      <c r="W46" s="8"/>
      <c r="X46" s="9"/>
      <c r="Y46" s="3"/>
    </row>
    <row r="47" spans="1:25" s="20" customFormat="1" ht="15" customHeight="1" x14ac:dyDescent="0.2">
      <c r="A47" s="24" t="str">
        <f>IF(H45="Oui","Doit-on matérialiser les pts de détection DA/DM :","")</f>
        <v/>
      </c>
      <c r="B47" s="19"/>
      <c r="C47" s="19"/>
      <c r="D47" s="19"/>
      <c r="E47" s="19"/>
      <c r="F47" s="19"/>
      <c r="G47" s="19"/>
      <c r="H47" s="205"/>
      <c r="I47" s="205"/>
      <c r="J47" s="162"/>
      <c r="K47" s="162"/>
      <c r="L47" s="162"/>
      <c r="M47" s="19"/>
      <c r="N47" s="152"/>
      <c r="O47" s="152"/>
      <c r="P47" s="152"/>
      <c r="Q47" s="152"/>
      <c r="R47" s="23"/>
      <c r="S47" s="21"/>
      <c r="T47" s="21"/>
      <c r="U47" s="21"/>
      <c r="V47" s="21"/>
      <c r="W47" s="21"/>
      <c r="X47" s="21"/>
    </row>
    <row r="48" spans="1:25" ht="5.0999999999999996" customHeight="1" x14ac:dyDescent="0.2">
      <c r="A48" s="1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27"/>
      <c r="O48" s="27"/>
      <c r="P48" s="27"/>
      <c r="Q48" s="27"/>
      <c r="R48" s="15"/>
      <c r="S48" s="8"/>
      <c r="T48" s="9"/>
      <c r="U48" s="8"/>
      <c r="V48" s="9"/>
      <c r="W48" s="8"/>
      <c r="X48" s="9"/>
      <c r="Y48" s="3"/>
    </row>
    <row r="49" spans="1:25" s="20" customFormat="1" ht="15" customHeight="1" x14ac:dyDescent="0.2">
      <c r="A49" s="24" t="s">
        <v>126</v>
      </c>
      <c r="B49" s="19"/>
      <c r="C49" s="19"/>
      <c r="D49" s="19"/>
      <c r="E49" s="19"/>
      <c r="F49" s="19"/>
      <c r="G49" s="19"/>
      <c r="H49" s="138"/>
      <c r="I49" s="138"/>
      <c r="J49" s="162"/>
      <c r="K49" s="162"/>
      <c r="L49" s="162"/>
      <c r="M49" s="19"/>
      <c r="N49" s="19"/>
      <c r="O49" s="19"/>
      <c r="P49" s="19"/>
      <c r="Q49" s="19"/>
      <c r="R49" s="23"/>
      <c r="S49" s="21"/>
      <c r="T49" s="21"/>
      <c r="U49" s="21"/>
      <c r="V49" s="21"/>
      <c r="W49" s="21"/>
      <c r="X49" s="21"/>
    </row>
    <row r="50" spans="1:25" ht="5.0999999999999996" customHeight="1" x14ac:dyDescent="0.2">
      <c r="A50" s="1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5"/>
    </row>
    <row r="51" spans="1:25" s="20" customFormat="1" ht="15" customHeight="1" x14ac:dyDescent="0.2">
      <c r="A51" s="24" t="str">
        <f>IF(H49="OUI","Graphique: un même plan doit-il contenir la DI et la Mise en sécurité ?","")</f>
        <v/>
      </c>
      <c r="B51" s="19"/>
      <c r="C51" s="19"/>
      <c r="D51" s="19"/>
      <c r="E51" s="19"/>
      <c r="F51" s="19"/>
      <c r="G51" s="19"/>
      <c r="H51" s="19"/>
      <c r="I51" s="19"/>
      <c r="J51" s="19"/>
      <c r="K51" s="189"/>
      <c r="L51" s="189"/>
      <c r="M51" s="187" t="str">
        <f>IF(K51="Non","Nb plans de Mise en Sec :","")</f>
        <v/>
      </c>
      <c r="N51" s="187"/>
      <c r="O51" s="187"/>
      <c r="P51" s="187"/>
      <c r="Q51" s="93"/>
      <c r="R51" s="32"/>
      <c r="S51" s="21"/>
      <c r="T51" s="21"/>
      <c r="U51" s="21"/>
      <c r="V51" s="21"/>
      <c r="W51" s="21"/>
    </row>
    <row r="52" spans="1:25" ht="5.0999999999999996" customHeight="1" x14ac:dyDescent="0.2">
      <c r="A52" s="1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27"/>
      <c r="O52" s="27"/>
      <c r="P52" s="27"/>
      <c r="Q52" s="27"/>
      <c r="R52" s="15"/>
      <c r="S52" s="8"/>
      <c r="T52" s="9"/>
      <c r="U52" s="8"/>
      <c r="V52" s="9"/>
      <c r="W52" s="8"/>
      <c r="X52" s="9"/>
      <c r="Y52" s="3"/>
    </row>
    <row r="53" spans="1:25" s="20" customFormat="1" ht="15" customHeight="1" x14ac:dyDescent="0.2">
      <c r="A53" s="24" t="s">
        <v>149</v>
      </c>
      <c r="B53" s="19"/>
      <c r="C53" s="19"/>
      <c r="D53" s="19"/>
      <c r="E53" s="19"/>
      <c r="F53" s="138"/>
      <c r="G53" s="138"/>
      <c r="K53" s="40"/>
      <c r="L53" s="40" t="s">
        <v>151</v>
      </c>
      <c r="M53" s="138"/>
      <c r="N53" s="138"/>
      <c r="O53" s="40"/>
      <c r="Q53" s="19"/>
      <c r="R53" s="23"/>
      <c r="S53" s="21"/>
      <c r="T53" s="21"/>
      <c r="U53" s="21"/>
      <c r="V53" s="21"/>
      <c r="W53" s="21"/>
      <c r="X53" s="21"/>
    </row>
    <row r="54" spans="1:25" ht="5.0999999999999996" customHeight="1" x14ac:dyDescent="0.2">
      <c r="A54" s="1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27"/>
      <c r="P54" s="27"/>
      <c r="Q54" s="27"/>
      <c r="R54" s="28"/>
    </row>
    <row r="55" spans="1:25" s="20" customFormat="1" ht="15" customHeight="1" x14ac:dyDescent="0.2">
      <c r="A55" s="24" t="s">
        <v>47</v>
      </c>
      <c r="B55" s="19"/>
      <c r="C55" s="19"/>
      <c r="D55" s="19"/>
      <c r="E55" s="19"/>
      <c r="F55" s="19"/>
      <c r="G55" s="19"/>
      <c r="H55" s="98"/>
      <c r="K55" s="40"/>
      <c r="L55" s="40" t="str">
        <f>IF(H55&gt;1,"Serveur redondant ? :   ","")</f>
        <v/>
      </c>
      <c r="M55" s="189"/>
      <c r="N55" s="189"/>
      <c r="R55" s="23"/>
      <c r="S55" s="21"/>
      <c r="T55" s="21"/>
      <c r="U55" s="21"/>
      <c r="V55" s="21"/>
      <c r="W55" s="21"/>
      <c r="X55" s="21"/>
    </row>
    <row r="56" spans="1:25" ht="5.0999999999999996" customHeight="1" x14ac:dyDescent="0.2">
      <c r="A56" s="1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27"/>
      <c r="P56" s="27"/>
      <c r="Q56" s="27"/>
      <c r="R56" s="28"/>
    </row>
    <row r="57" spans="1:25" s="20" customFormat="1" ht="15" customHeight="1" x14ac:dyDescent="0.2">
      <c r="A57" s="87" t="s">
        <v>143</v>
      </c>
      <c r="B57" s="19"/>
      <c r="C57" s="19"/>
      <c r="D57" s="19"/>
      <c r="E57" s="19"/>
      <c r="F57" s="19"/>
      <c r="G57" s="19"/>
      <c r="H57" s="98"/>
      <c r="K57" s="40"/>
      <c r="L57" s="40"/>
      <c r="M57" s="40"/>
      <c r="N57" s="40"/>
      <c r="O57" s="80" t="s">
        <v>144</v>
      </c>
      <c r="P57" s="98"/>
      <c r="Q57" s="19"/>
      <c r="R57" s="23"/>
      <c r="S57" s="21"/>
      <c r="T57" s="21"/>
      <c r="U57" s="21"/>
      <c r="V57" s="21"/>
      <c r="W57" s="21"/>
      <c r="X57" s="21"/>
    </row>
    <row r="58" spans="1:25" ht="5.0999999999999996" customHeight="1" x14ac:dyDescent="0.2">
      <c r="A58" s="1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27"/>
      <c r="P58" s="27"/>
      <c r="Q58" s="27"/>
      <c r="R58" s="28"/>
    </row>
    <row r="59" spans="1:25" s="20" customFormat="1" ht="15" customHeight="1" x14ac:dyDescent="0.2">
      <c r="A59" s="24" t="s">
        <v>88</v>
      </c>
      <c r="B59" s="19"/>
      <c r="C59" s="19"/>
      <c r="D59" s="19"/>
      <c r="E59" s="138"/>
      <c r="F59" s="138"/>
      <c r="G59" s="36"/>
      <c r="I59" s="88"/>
      <c r="J59" s="19"/>
      <c r="K59" s="89" t="str">
        <f>IF(E59="OUI"," 680000080 - PC standard W7 64B ?","")</f>
        <v/>
      </c>
      <c r="L59" s="189"/>
      <c r="M59" s="189"/>
      <c r="N59" s="188" t="str">
        <f>IF(AND(L59="NON",L61="NON"),"Veuillez commander PC et Ecran chez Arrow (138127)",IF(L59="NON","Veuillez commander le PC chez ARROW (138127)",IF(L61="NON","Veuillez commander l'Ecran chez ARROW (138127)","")))</f>
        <v/>
      </c>
      <c r="O59" s="188"/>
      <c r="P59" s="188"/>
      <c r="Q59" s="188"/>
      <c r="R59" s="23"/>
      <c r="S59" s="21"/>
      <c r="T59" s="21"/>
      <c r="U59" s="21"/>
      <c r="V59" s="21"/>
      <c r="W59" s="21"/>
      <c r="X59" s="21"/>
    </row>
    <row r="60" spans="1:25" ht="5.0999999999999996" customHeight="1" x14ac:dyDescent="0.2">
      <c r="A60" s="14"/>
      <c r="B60" s="12"/>
      <c r="C60" s="12"/>
      <c r="D60" s="12"/>
      <c r="E60" s="12"/>
      <c r="F60" s="12"/>
      <c r="G60" s="36"/>
      <c r="H60" s="12"/>
      <c r="I60" s="12"/>
      <c r="J60" s="12"/>
      <c r="K60" s="12"/>
      <c r="L60" s="12"/>
      <c r="M60" s="12"/>
      <c r="N60" s="188"/>
      <c r="O60" s="188"/>
      <c r="P60" s="188"/>
      <c r="Q60" s="188"/>
      <c r="R60" s="23"/>
    </row>
    <row r="61" spans="1:25" s="20" customFormat="1" ht="15" customHeight="1" x14ac:dyDescent="0.2">
      <c r="A61" s="24" t="str">
        <f>IF(E59="OUI","Besoin d'écran :","")</f>
        <v/>
      </c>
      <c r="B61" s="19"/>
      <c r="C61" s="19"/>
      <c r="D61" s="19"/>
      <c r="E61" s="189"/>
      <c r="F61" s="189"/>
      <c r="G61" s="36"/>
      <c r="I61" s="88"/>
      <c r="J61" s="19"/>
      <c r="K61" s="89" t="str">
        <f>IF(E61="OUI","680000081 - Ecran standard 24P ?","")</f>
        <v/>
      </c>
      <c r="L61" s="189"/>
      <c r="M61" s="189"/>
      <c r="N61" s="188"/>
      <c r="O61" s="188"/>
      <c r="P61" s="188"/>
      <c r="Q61" s="188"/>
      <c r="R61" s="23"/>
      <c r="S61" s="21"/>
      <c r="T61" s="21"/>
      <c r="U61" s="21"/>
      <c r="V61" s="21"/>
      <c r="W61" s="21"/>
      <c r="X61" s="21"/>
    </row>
    <row r="62" spans="1:25" ht="5.0999999999999996" customHeight="1" x14ac:dyDescent="0.2">
      <c r="A62" s="1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88"/>
      <c r="O62" s="188"/>
      <c r="P62" s="188"/>
      <c r="Q62" s="188"/>
      <c r="R62" s="15"/>
      <c r="S62" s="8"/>
      <c r="T62" s="9"/>
      <c r="U62" s="8"/>
      <c r="V62" s="9"/>
      <c r="W62" s="8"/>
      <c r="X62" s="9"/>
      <c r="Y62" s="3"/>
    </row>
    <row r="63" spans="1:25" ht="17.100000000000001" customHeight="1" thickBot="1" x14ac:dyDescent="0.25">
      <c r="A63" s="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5"/>
    </row>
    <row r="64" spans="1:25" s="25" customFormat="1" ht="15.75" thickBot="1" x14ac:dyDescent="0.25">
      <c r="A64" s="143" t="s">
        <v>115</v>
      </c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5"/>
      <c r="T64" s="26"/>
      <c r="U64" s="26"/>
      <c r="V64" s="26"/>
      <c r="W64" s="26"/>
      <c r="X64" s="26"/>
      <c r="Y64" s="26"/>
    </row>
    <row r="65" spans="1:25" ht="9.9499999999999993" customHeight="1" x14ac:dyDescent="0.2">
      <c r="A65" s="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2"/>
    </row>
    <row r="66" spans="1:25" s="20" customFormat="1" ht="15" customHeight="1" x14ac:dyDescent="0.2">
      <c r="A66" s="24" t="s">
        <v>89</v>
      </c>
      <c r="B66" s="19"/>
      <c r="C66" s="19"/>
      <c r="D66" s="19"/>
      <c r="E66" s="19"/>
      <c r="F66" s="19"/>
      <c r="G66" s="19"/>
      <c r="H66" s="138"/>
      <c r="I66" s="138"/>
      <c r="J66" s="138"/>
      <c r="K66" s="138"/>
      <c r="L66" s="19" t="str">
        <f>IF(H66="RESEAU ETHERNET CLIENT"," --&gt; Comment est-il adressé :","")</f>
        <v/>
      </c>
      <c r="M66" s="19"/>
      <c r="N66" s="19"/>
      <c r="O66" s="19"/>
      <c r="P66" s="182"/>
      <c r="Q66" s="182"/>
      <c r="R66" s="23"/>
      <c r="S66" s="21"/>
      <c r="T66" s="21"/>
      <c r="U66" s="21"/>
      <c r="V66" s="21"/>
      <c r="W66" s="21"/>
    </row>
    <row r="67" spans="1:25" ht="5.0999999999999996" customHeight="1" x14ac:dyDescent="0.2">
      <c r="A67" s="1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27"/>
      <c r="O67" s="27"/>
      <c r="P67" s="27"/>
      <c r="Q67" s="19"/>
      <c r="R67" s="15"/>
      <c r="S67" s="8"/>
      <c r="T67" s="9"/>
      <c r="U67" s="8"/>
      <c r="V67" s="9"/>
      <c r="W67" s="8"/>
      <c r="X67" s="9"/>
      <c r="Y67" s="3"/>
    </row>
    <row r="68" spans="1:25" s="20" customFormat="1" ht="15" customHeight="1" x14ac:dyDescent="0.2">
      <c r="A68" s="24" t="s">
        <v>48</v>
      </c>
      <c r="B68" s="19"/>
      <c r="C68" s="19"/>
      <c r="D68" s="19"/>
      <c r="E68" s="19"/>
      <c r="F68" s="19"/>
      <c r="G68" s="19"/>
      <c r="H68" s="138"/>
      <c r="I68" s="138"/>
      <c r="J68" s="19" t="str">
        <f>IF(H68="OUI"," --&gt; Qui doit la fournir :","")</f>
        <v/>
      </c>
      <c r="K68" s="19"/>
      <c r="L68" s="19"/>
      <c r="M68" s="189"/>
      <c r="N68" s="189"/>
      <c r="O68" s="189"/>
      <c r="P68" s="189"/>
      <c r="Q68" s="19"/>
      <c r="R68" s="23"/>
      <c r="S68" s="21"/>
      <c r="T68" s="21"/>
      <c r="U68" s="21"/>
      <c r="V68" s="21"/>
      <c r="W68" s="21"/>
      <c r="X68" s="21"/>
    </row>
    <row r="69" spans="1:25" ht="5.0999999999999996" customHeight="1" x14ac:dyDescent="0.2">
      <c r="A69" s="1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27"/>
      <c r="O69" s="27"/>
      <c r="P69" s="27"/>
      <c r="Q69" s="19"/>
      <c r="R69" s="15"/>
      <c r="S69" s="8"/>
      <c r="T69" s="9"/>
      <c r="U69" s="8"/>
      <c r="V69" s="9"/>
      <c r="W69" s="8"/>
      <c r="X69" s="9"/>
      <c r="Y69" s="3"/>
    </row>
    <row r="70" spans="1:25" s="20" customFormat="1" ht="15" customHeight="1" x14ac:dyDescent="0.2">
      <c r="A70" s="24" t="s">
        <v>49</v>
      </c>
      <c r="B70" s="19"/>
      <c r="C70" s="19"/>
      <c r="D70" s="19"/>
      <c r="E70" s="19"/>
      <c r="F70" s="19"/>
      <c r="G70" s="19"/>
      <c r="H70" s="138"/>
      <c r="I70" s="138"/>
      <c r="J70" s="19" t="str">
        <f>IF(H70="OUI"," --&gt; Qui doit la fournir :","")</f>
        <v/>
      </c>
      <c r="K70" s="19"/>
      <c r="L70" s="19"/>
      <c r="M70" s="189"/>
      <c r="N70" s="189"/>
      <c r="O70" s="189"/>
      <c r="P70" s="189"/>
      <c r="Q70" s="19"/>
      <c r="R70" s="23"/>
      <c r="S70" s="21"/>
      <c r="T70" s="21"/>
      <c r="U70" s="21"/>
      <c r="V70" s="21"/>
      <c r="W70" s="21"/>
      <c r="X70" s="21"/>
    </row>
    <row r="71" spans="1:25" ht="5.0999999999999996" customHeight="1" x14ac:dyDescent="0.2">
      <c r="A71" s="1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27"/>
      <c r="P71" s="27"/>
      <c r="Q71" s="27"/>
      <c r="R71" s="23"/>
    </row>
    <row r="72" spans="1:25" ht="15" customHeight="1" x14ac:dyDescent="0.2">
      <c r="A72" s="24"/>
      <c r="B72" s="19"/>
      <c r="C72" s="19"/>
      <c r="D72" s="19"/>
      <c r="E72" s="19"/>
      <c r="F72" s="19"/>
      <c r="G72" s="19"/>
      <c r="H72" s="19"/>
      <c r="I72" s="19"/>
      <c r="J72" s="19" t="str">
        <f>IF(AND(H70="Oui",M70="Chubb (Agence)")," --&gt; Type","")</f>
        <v/>
      </c>
      <c r="K72" s="19"/>
      <c r="L72" s="201"/>
      <c r="M72" s="201"/>
      <c r="N72" s="201"/>
      <c r="O72" s="183" t="str">
        <f>IF(L72="JET D'ENCRE", " --&gt; Format :","")</f>
        <v/>
      </c>
      <c r="P72" s="183"/>
      <c r="Q72" s="59"/>
      <c r="R72" s="15"/>
    </row>
    <row r="73" spans="1:25" ht="9.9499999999999993" customHeight="1" thickBot="1" x14ac:dyDescent="0.25">
      <c r="A73" s="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33"/>
    </row>
    <row r="74" spans="1:25" ht="17.100000000000001" customHeight="1" thickBot="1" x14ac:dyDescent="0.25">
      <c r="R74" s="19"/>
    </row>
    <row r="75" spans="1:25" s="25" customFormat="1" ht="15.75" thickBot="1" x14ac:dyDescent="0.25">
      <c r="A75" s="143" t="s">
        <v>127</v>
      </c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5"/>
      <c r="T75" s="26"/>
      <c r="U75" s="26"/>
      <c r="V75" s="26"/>
      <c r="W75" s="26"/>
      <c r="X75" s="26"/>
      <c r="Y75" s="26"/>
    </row>
    <row r="76" spans="1:25" ht="9.9499999999999993" customHeight="1" x14ac:dyDescent="0.2">
      <c r="A76" s="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2"/>
    </row>
    <row r="77" spans="1:25" ht="21.75" customHeight="1" x14ac:dyDescent="0.2">
      <c r="A77" s="14"/>
      <c r="B77" s="58"/>
      <c r="C77" s="58"/>
      <c r="D77" s="58"/>
      <c r="E77" s="66"/>
      <c r="F77" s="202" t="s">
        <v>77</v>
      </c>
      <c r="G77" s="202"/>
      <c r="H77" s="193" t="s">
        <v>82</v>
      </c>
      <c r="I77" s="194"/>
      <c r="J77" s="193" t="s">
        <v>78</v>
      </c>
      <c r="K77" s="194"/>
      <c r="L77" s="195"/>
      <c r="M77" s="195"/>
      <c r="N77" s="195"/>
      <c r="O77" s="195"/>
      <c r="P77" s="90"/>
      <c r="Q77" s="69"/>
      <c r="R77" s="15"/>
      <c r="S77" s="8"/>
      <c r="T77" s="9"/>
      <c r="U77" s="8"/>
      <c r="V77" s="9"/>
      <c r="W77" s="8"/>
      <c r="X77" s="9"/>
      <c r="Y77" s="3"/>
    </row>
    <row r="78" spans="1:25" ht="15" customHeight="1" x14ac:dyDescent="0.2">
      <c r="A78" s="14"/>
      <c r="B78" s="63" t="s">
        <v>79</v>
      </c>
      <c r="C78" s="64"/>
      <c r="D78" s="64"/>
      <c r="E78" s="65"/>
      <c r="F78" s="199">
        <f>IF(C17="UTI.COM",B17) + IF(C19="UTI.COM",B19) + IF(C21="UTI.COM",B21) + IF(C23="UTI.COM",B23) + IF(C25="UTI.COM",B25)+IF(C17="UTC.COM",B17) + IF(C19="UTC.COM",B19) + IF(C21="UTC.COM",B21) + IF(C23="UTC.COM",B23) + IF(C25="UTC.COM",B25)</f>
        <v>0</v>
      </c>
      <c r="G78" s="199"/>
      <c r="H78" s="199">
        <f>IF(C17="ACTIVA 1000 LON",B17*22) + IF(C19="ACTIVA 1000 LON",B19*22) + IF(C21="ACTIVA 1000 LON",B21*22) + IF(C23="ACTIVA 1000 LON",B23*22) + IF(C25="ACTIVA 1000 LON",B25*22)</f>
        <v>0</v>
      </c>
      <c r="I78" s="199"/>
      <c r="J78" s="196">
        <f>SUM(F78:I78)</f>
        <v>0</v>
      </c>
      <c r="K78" s="197"/>
      <c r="L78" s="198"/>
      <c r="M78" s="198"/>
      <c r="N78" s="198"/>
      <c r="O78" s="198"/>
      <c r="P78" s="91">
        <f t="shared" ref="P78:P83" si="0">J78+L78+N78+H78+F78</f>
        <v>0</v>
      </c>
      <c r="Q78" s="69"/>
      <c r="R78" s="15"/>
      <c r="S78" s="8"/>
      <c r="T78" s="9"/>
      <c r="U78" s="8"/>
      <c r="V78" s="9"/>
      <c r="W78" s="8"/>
      <c r="X78" s="9"/>
      <c r="Y78" s="3"/>
    </row>
    <row r="79" spans="1:25" ht="15" customHeight="1" x14ac:dyDescent="0.2">
      <c r="A79" s="14"/>
      <c r="B79" s="63" t="s">
        <v>80</v>
      </c>
      <c r="C79" s="64"/>
      <c r="D79" s="64"/>
      <c r="E79" s="65"/>
      <c r="F79" s="199">
        <f>IF(C17="CMSI.COM",B17) + IF(C19="CMSI.COM",B19) + IF(C21="CMSI.COM",B21) + IF(C23="CMSI.COM",B23) + IF(C25="CMSI.COM",B25)</f>
        <v>0</v>
      </c>
      <c r="G79" s="199"/>
      <c r="H79" s="199">
        <f>IF(C17="ACTIVACOM LON",B17*15) + IF(C19="ACTIVACOM LON",B19*15) + IF(C21="ACTIVACOM LON",B21*15) + IF(C23="ACTIVACOM LON",B23*15) + IF(C25="ACTIVACOM LON",B25*15)</f>
        <v>0</v>
      </c>
      <c r="I79" s="199"/>
      <c r="J79" s="196">
        <f>SUM(F79:I79)</f>
        <v>0</v>
      </c>
      <c r="K79" s="197"/>
      <c r="L79" s="198"/>
      <c r="M79" s="198"/>
      <c r="N79" s="198"/>
      <c r="O79" s="198"/>
      <c r="P79" s="91">
        <f t="shared" si="0"/>
        <v>0</v>
      </c>
      <c r="Q79" s="68"/>
      <c r="R79" s="15"/>
      <c r="S79" s="8"/>
      <c r="T79" s="9"/>
      <c r="U79" s="8"/>
      <c r="V79" s="9"/>
      <c r="W79" s="8"/>
      <c r="X79" s="9"/>
      <c r="Y79" s="3"/>
    </row>
    <row r="80" spans="1:25" ht="15" customHeight="1" x14ac:dyDescent="0.2">
      <c r="A80" s="14"/>
      <c r="B80" s="63" t="s">
        <v>128</v>
      </c>
      <c r="C80" s="64"/>
      <c r="D80" s="64"/>
      <c r="E80" s="65"/>
      <c r="F80" s="206"/>
      <c r="G80" s="206"/>
      <c r="H80" s="207"/>
      <c r="I80" s="208"/>
      <c r="J80" s="196">
        <f>F80+(H80*2)</f>
        <v>0</v>
      </c>
      <c r="K80" s="197"/>
      <c r="L80" s="200"/>
      <c r="M80" s="200"/>
      <c r="N80" s="200"/>
      <c r="O80" s="200"/>
      <c r="P80" s="91"/>
      <c r="Q80" s="67"/>
      <c r="R80" s="15"/>
      <c r="S80" s="8"/>
      <c r="T80" s="9"/>
      <c r="U80" s="8"/>
      <c r="V80" s="9"/>
      <c r="W80" s="8"/>
      <c r="X80" s="9"/>
      <c r="Y80" s="3"/>
    </row>
    <row r="81" spans="1:28" ht="15" customHeight="1" x14ac:dyDescent="0.2">
      <c r="A81" s="14"/>
      <c r="B81" s="63" t="s">
        <v>76</v>
      </c>
      <c r="C81" s="64"/>
      <c r="D81" s="64"/>
      <c r="E81" s="65"/>
      <c r="F81" s="206"/>
      <c r="G81" s="206"/>
      <c r="H81" s="207"/>
      <c r="I81" s="208"/>
      <c r="J81" s="196">
        <f>F81+(H81*3)</f>
        <v>0</v>
      </c>
      <c r="K81" s="197"/>
      <c r="L81" s="200"/>
      <c r="M81" s="200"/>
      <c r="N81" s="200"/>
      <c r="O81" s="200"/>
      <c r="P81" s="91">
        <f t="shared" si="0"/>
        <v>0</v>
      </c>
      <c r="Q81" s="67"/>
      <c r="R81" s="15"/>
      <c r="S81" s="8"/>
      <c r="T81" s="9"/>
      <c r="U81" s="8"/>
      <c r="V81" s="9"/>
      <c r="W81" s="8"/>
      <c r="X81" s="9"/>
      <c r="Y81" s="3"/>
    </row>
    <row r="82" spans="1:28" ht="15" customHeight="1" x14ac:dyDescent="0.2">
      <c r="A82" s="14"/>
      <c r="B82" s="63" t="s">
        <v>129</v>
      </c>
      <c r="C82" s="64"/>
      <c r="D82" s="64"/>
      <c r="E82" s="65"/>
      <c r="F82" s="206"/>
      <c r="G82" s="206"/>
      <c r="H82" s="207"/>
      <c r="I82" s="208"/>
      <c r="J82" s="196">
        <f>F82+(H82*9)</f>
        <v>0</v>
      </c>
      <c r="K82" s="197"/>
      <c r="L82" s="200"/>
      <c r="M82" s="200"/>
      <c r="N82" s="200"/>
      <c r="O82" s="200"/>
      <c r="P82" s="91">
        <f t="shared" si="0"/>
        <v>0</v>
      </c>
      <c r="Q82" s="19"/>
      <c r="R82" s="15"/>
      <c r="S82" s="8"/>
      <c r="T82" s="9"/>
      <c r="U82" s="8"/>
      <c r="V82" s="9"/>
      <c r="W82" s="8"/>
      <c r="X82" s="9"/>
      <c r="Y82" s="3"/>
    </row>
    <row r="83" spans="1:28" ht="15" customHeight="1" thickBot="1" x14ac:dyDescent="0.25">
      <c r="A83" s="14"/>
      <c r="B83" s="63" t="s">
        <v>130</v>
      </c>
      <c r="C83" s="64"/>
      <c r="D83" s="64"/>
      <c r="E83" s="65"/>
      <c r="F83" s="206"/>
      <c r="G83" s="206"/>
      <c r="H83" s="207"/>
      <c r="I83" s="208"/>
      <c r="J83" s="196">
        <f>F83+(H83*3)</f>
        <v>0</v>
      </c>
      <c r="K83" s="197"/>
      <c r="L83" s="200"/>
      <c r="M83" s="200"/>
      <c r="N83" s="200"/>
      <c r="O83" s="200"/>
      <c r="P83" s="91">
        <f t="shared" si="0"/>
        <v>0</v>
      </c>
      <c r="Q83" s="67"/>
      <c r="R83" s="15"/>
      <c r="S83" s="8"/>
      <c r="T83" s="9"/>
      <c r="U83" s="8"/>
      <c r="V83" s="9"/>
      <c r="W83" s="8"/>
      <c r="X83" s="9"/>
      <c r="Y83" s="3"/>
    </row>
    <row r="84" spans="1:28" ht="15" customHeight="1" thickBot="1" x14ac:dyDescent="0.25">
      <c r="A84" s="14"/>
      <c r="C84" s="103"/>
      <c r="D84" s="103"/>
      <c r="E84" s="103"/>
      <c r="F84" s="103"/>
      <c r="G84" s="103"/>
      <c r="H84" s="103"/>
      <c r="I84" s="103"/>
      <c r="K84" s="103"/>
      <c r="L84" s="103"/>
      <c r="M84" s="102" t="s">
        <v>141</v>
      </c>
      <c r="N84" s="103"/>
      <c r="O84" s="191">
        <f>SUM(J78:K83)</f>
        <v>0</v>
      </c>
      <c r="P84" s="192"/>
      <c r="Q84" s="19"/>
      <c r="R84" s="15"/>
      <c r="S84" s="8"/>
      <c r="T84" s="9"/>
      <c r="U84" s="8"/>
      <c r="V84" s="9"/>
      <c r="W84" s="8"/>
      <c r="X84" s="9"/>
      <c r="Y84" s="3"/>
    </row>
    <row r="85" spans="1:28" ht="12.95" customHeight="1" x14ac:dyDescent="0.2">
      <c r="A85" s="124" t="s">
        <v>156</v>
      </c>
      <c r="B85" s="103"/>
      <c r="C85" s="103"/>
      <c r="D85" s="138"/>
      <c r="E85" s="138"/>
      <c r="F85" s="103"/>
      <c r="G85" s="103"/>
      <c r="H85" s="103"/>
      <c r="I85" s="103"/>
      <c r="J85" s="103"/>
      <c r="K85" s="103"/>
      <c r="L85" s="103"/>
      <c r="M85" s="103"/>
      <c r="N85" s="103"/>
      <c r="O85" s="123"/>
      <c r="P85" s="123"/>
      <c r="Q85" s="123"/>
      <c r="R85" s="23"/>
    </row>
    <row r="86" spans="1:28" ht="12.95" customHeight="1" thickBot="1" x14ac:dyDescent="0.25">
      <c r="A86" s="125"/>
      <c r="B86" s="126"/>
      <c r="C86" s="126"/>
      <c r="D86" s="126"/>
      <c r="E86" s="126"/>
      <c r="F86" s="126"/>
      <c r="G86" s="126"/>
      <c r="H86" s="104"/>
      <c r="I86" s="104"/>
      <c r="J86" s="104"/>
      <c r="K86" s="104"/>
      <c r="L86" s="104"/>
      <c r="M86" s="104"/>
      <c r="N86" s="104"/>
      <c r="O86" s="57"/>
      <c r="P86" s="57"/>
      <c r="Q86" s="57"/>
      <c r="R86" s="33"/>
    </row>
    <row r="87" spans="1:28" ht="15" customHeight="1" thickBo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9"/>
    </row>
    <row r="88" spans="1:28" s="25" customFormat="1" ht="15.75" thickBot="1" x14ac:dyDescent="0.25">
      <c r="A88" s="143" t="s">
        <v>81</v>
      </c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5"/>
      <c r="T88" s="26"/>
      <c r="U88" s="26"/>
      <c r="V88" s="26"/>
      <c r="W88" s="26"/>
      <c r="X88" s="26"/>
      <c r="Y88" s="26"/>
    </row>
    <row r="89" spans="1:28" ht="9.9499999999999993" customHeight="1" x14ac:dyDescent="0.2">
      <c r="A89" s="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2"/>
    </row>
    <row r="90" spans="1:28" s="20" customFormat="1" ht="15" customHeight="1" x14ac:dyDescent="0.2">
      <c r="A90" s="24" t="s">
        <v>40</v>
      </c>
      <c r="B90" s="19"/>
      <c r="C90" s="19"/>
      <c r="D90" s="19"/>
      <c r="E90" s="19"/>
      <c r="F90" s="138"/>
      <c r="G90" s="138"/>
      <c r="H90" s="138"/>
      <c r="I90" s="19"/>
      <c r="J90" s="96"/>
      <c r="K90" s="19"/>
      <c r="L90" s="19"/>
      <c r="M90" s="19"/>
      <c r="N90" s="19"/>
      <c r="O90" s="19"/>
      <c r="P90" s="19"/>
      <c r="Q90" s="19"/>
      <c r="R90" s="23"/>
      <c r="S90" s="21"/>
      <c r="T90" s="21"/>
      <c r="U90" s="21"/>
      <c r="V90" s="21"/>
      <c r="W90" s="21"/>
      <c r="X90" s="21"/>
    </row>
    <row r="91" spans="1:28" ht="5.0999999999999996" customHeight="1" x14ac:dyDescent="0.2">
      <c r="A91" s="14"/>
      <c r="B91" s="12"/>
      <c r="C91" s="12"/>
      <c r="D91" s="12"/>
      <c r="E91" s="12"/>
      <c r="F91" s="12"/>
      <c r="G91" s="12"/>
      <c r="H91" s="12"/>
      <c r="I91" s="12"/>
      <c r="J91" s="19"/>
      <c r="K91" s="19"/>
      <c r="L91" s="19"/>
      <c r="M91" s="19"/>
      <c r="N91" s="19"/>
      <c r="O91" s="19"/>
      <c r="P91" s="19"/>
      <c r="Q91" s="19"/>
      <c r="R91" s="23"/>
      <c r="S91" s="19"/>
      <c r="T91" s="19"/>
      <c r="U91" s="34"/>
    </row>
    <row r="92" spans="1:28" ht="15" customHeight="1" x14ac:dyDescent="0.2">
      <c r="A92" s="14" t="s">
        <v>41</v>
      </c>
      <c r="B92" s="12"/>
      <c r="C92" s="12"/>
      <c r="D92" s="12"/>
      <c r="E92" s="12"/>
      <c r="F92" s="190"/>
      <c r="G92" s="190"/>
      <c r="H92" s="190"/>
      <c r="I92" s="12"/>
      <c r="J92" s="19"/>
      <c r="K92" s="19"/>
      <c r="L92" s="19"/>
      <c r="M92" s="19"/>
      <c r="N92" s="19"/>
      <c r="O92" s="19"/>
      <c r="P92" s="19"/>
      <c r="Q92" s="19"/>
      <c r="R92" s="23"/>
    </row>
    <row r="93" spans="1:28" ht="5.0999999999999996" customHeight="1" x14ac:dyDescent="0.2">
      <c r="A93" s="14"/>
      <c r="B93" s="12"/>
      <c r="C93" s="12"/>
      <c r="D93" s="12"/>
      <c r="E93" s="12"/>
      <c r="F93" s="12"/>
      <c r="G93" s="12"/>
      <c r="H93" s="12"/>
      <c r="I93" s="12"/>
      <c r="J93" s="19"/>
      <c r="K93" s="19"/>
      <c r="L93" s="19"/>
      <c r="M93" s="19"/>
      <c r="N93" s="19"/>
      <c r="O93" s="19"/>
      <c r="P93" s="19"/>
      <c r="Q93" s="19"/>
      <c r="R93" s="23"/>
      <c r="S93" s="19"/>
      <c r="T93" s="19"/>
      <c r="U93" s="34"/>
    </row>
    <row r="94" spans="1:28" ht="15" customHeight="1" x14ac:dyDescent="0.2">
      <c r="A94" s="14" t="s">
        <v>42</v>
      </c>
      <c r="B94" s="12"/>
      <c r="C94" s="12"/>
      <c r="D94" s="12"/>
      <c r="E94" s="12"/>
      <c r="F94" s="12"/>
      <c r="G94" s="12"/>
      <c r="H94" s="12"/>
      <c r="I94" s="12"/>
      <c r="J94" s="12"/>
      <c r="K94" s="138"/>
      <c r="L94" s="138"/>
      <c r="M94" s="12" t="str">
        <f>IF(K94="Oui"," --&gt; Combien personnes :","")</f>
        <v/>
      </c>
      <c r="N94" s="12"/>
      <c r="O94" s="12"/>
      <c r="P94" s="12"/>
      <c r="Q94" s="37"/>
      <c r="R94" s="15"/>
      <c r="T94" s="3"/>
      <c r="U94" s="3"/>
      <c r="V94" s="3"/>
      <c r="W94" s="8"/>
      <c r="X94" s="9"/>
      <c r="Y94" s="8"/>
      <c r="Z94" s="9"/>
      <c r="AA94" s="8"/>
      <c r="AB94" s="9"/>
    </row>
    <row r="95" spans="1:28" ht="9.9499999999999993" customHeight="1" thickBot="1" x14ac:dyDescent="0.25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33"/>
    </row>
    <row r="96" spans="1:28" ht="17.100000000000001" customHeight="1" thickBot="1" x14ac:dyDescent="0.25">
      <c r="R96" s="19"/>
    </row>
    <row r="97" spans="1:25" s="25" customFormat="1" ht="15.75" thickBot="1" x14ac:dyDescent="0.25">
      <c r="A97" s="143" t="s">
        <v>43</v>
      </c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5"/>
      <c r="T97" s="26"/>
      <c r="U97" s="26"/>
      <c r="V97" s="26"/>
      <c r="W97" s="26"/>
      <c r="X97" s="26"/>
      <c r="Y97" s="26"/>
    </row>
    <row r="98" spans="1:25" ht="5.0999999999999996" customHeight="1" x14ac:dyDescent="0.2">
      <c r="A98" s="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2"/>
    </row>
    <row r="99" spans="1:25" ht="39.950000000000003" customHeight="1" x14ac:dyDescent="0.2">
      <c r="A99" s="137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5"/>
    </row>
    <row r="100" spans="1:25" ht="39.950000000000003" customHeight="1" x14ac:dyDescent="0.2">
      <c r="A100" s="133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5"/>
    </row>
    <row r="101" spans="1:25" ht="39.950000000000003" customHeight="1" x14ac:dyDescent="0.2">
      <c r="A101" s="133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5"/>
    </row>
    <row r="102" spans="1:25" ht="39.950000000000003" customHeight="1" x14ac:dyDescent="0.2">
      <c r="A102" s="133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5"/>
    </row>
    <row r="103" spans="1:25" ht="39.950000000000003" customHeight="1" x14ac:dyDescent="0.2">
      <c r="A103" s="133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5"/>
    </row>
    <row r="104" spans="1:25" ht="39.950000000000003" customHeight="1" x14ac:dyDescent="0.2">
      <c r="A104" s="133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5"/>
    </row>
    <row r="105" spans="1:25" ht="39.75" customHeight="1" thickBot="1" x14ac:dyDescent="0.25">
      <c r="A105" s="135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33"/>
      <c r="S105" s="19"/>
      <c r="T105" s="19"/>
      <c r="U105" s="34"/>
    </row>
    <row r="106" spans="1:25" ht="17.100000000000001" customHeight="1" thickBot="1" x14ac:dyDescent="0.25">
      <c r="R106" s="19"/>
    </row>
    <row r="107" spans="1:25" ht="15" customHeight="1" thickBot="1" x14ac:dyDescent="0.25">
      <c r="A107" s="139" t="s">
        <v>131</v>
      </c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1"/>
    </row>
    <row r="108" spans="1:25" ht="12.95" hidden="1" customHeight="1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4"/>
      <c r="O108" s="54"/>
      <c r="P108" s="54"/>
      <c r="Q108" s="54"/>
      <c r="R108" s="54"/>
    </row>
    <row r="109" spans="1:25" ht="12.95" hidden="1" customHeight="1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4"/>
      <c r="O109" s="54"/>
      <c r="P109" s="54"/>
      <c r="Q109" s="54"/>
      <c r="R109" s="54"/>
    </row>
    <row r="110" spans="1:25" ht="12.95" hidden="1" customHeight="1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4"/>
      <c r="O110" s="54"/>
      <c r="P110" s="54"/>
      <c r="Q110" s="54"/>
      <c r="R110" s="54"/>
    </row>
    <row r="111" spans="1:25" ht="12.95" hidden="1" customHeight="1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4"/>
      <c r="O111" s="54"/>
      <c r="P111" s="54"/>
      <c r="Q111" s="54"/>
      <c r="R111" s="54"/>
    </row>
    <row r="112" spans="1:25" ht="12.95" hidden="1" customHeight="1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4"/>
      <c r="O112" s="54"/>
      <c r="P112" s="54"/>
      <c r="Q112" s="54"/>
      <c r="R112" s="54"/>
    </row>
    <row r="113" spans="1:23" ht="12.95" hidden="1" customHeight="1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4"/>
      <c r="O113" s="54"/>
      <c r="P113" s="54"/>
      <c r="Q113" s="54"/>
      <c r="R113" s="54"/>
    </row>
    <row r="114" spans="1:23" ht="15" hidden="1" customHeight="1" x14ac:dyDescent="0.2">
      <c r="U114" s="10" t="s">
        <v>19</v>
      </c>
      <c r="W114" s="10" t="s">
        <v>22</v>
      </c>
    </row>
    <row r="115" spans="1:23" ht="15" hidden="1" customHeight="1" x14ac:dyDescent="0.2">
      <c r="U115" s="11" t="s">
        <v>10</v>
      </c>
      <c r="W115" s="11" t="s">
        <v>20</v>
      </c>
    </row>
    <row r="116" spans="1:23" ht="15" hidden="1" customHeight="1" x14ac:dyDescent="0.2">
      <c r="U116" s="11" t="s">
        <v>11</v>
      </c>
      <c r="W116" s="11" t="s">
        <v>21</v>
      </c>
    </row>
    <row r="117" spans="1:23" ht="15" hidden="1" customHeight="1" x14ac:dyDescent="0.2">
      <c r="U117" s="11" t="s">
        <v>13</v>
      </c>
    </row>
    <row r="118" spans="1:23" ht="15" hidden="1" customHeight="1" x14ac:dyDescent="0.2">
      <c r="U118" s="11" t="s">
        <v>83</v>
      </c>
      <c r="W118" s="10" t="s">
        <v>23</v>
      </c>
    </row>
    <row r="119" spans="1:23" ht="15" hidden="1" customHeight="1" x14ac:dyDescent="0.2">
      <c r="U119" s="11" t="s">
        <v>86</v>
      </c>
      <c r="W119" s="11" t="s">
        <v>25</v>
      </c>
    </row>
    <row r="120" spans="1:23" ht="15" hidden="1" customHeight="1" x14ac:dyDescent="0.2">
      <c r="U120" s="11" t="s">
        <v>85</v>
      </c>
      <c r="W120" s="11" t="s">
        <v>26</v>
      </c>
    </row>
    <row r="121" spans="1:23" ht="15" hidden="1" customHeight="1" x14ac:dyDescent="0.2">
      <c r="U121" s="11" t="s">
        <v>7</v>
      </c>
      <c r="W121" s="11" t="s">
        <v>27</v>
      </c>
    </row>
    <row r="122" spans="1:23" ht="15" hidden="1" customHeight="1" x14ac:dyDescent="0.2">
      <c r="U122" s="11" t="s">
        <v>9</v>
      </c>
      <c r="W122" s="11" t="s">
        <v>24</v>
      </c>
    </row>
    <row r="123" spans="1:23" ht="15" hidden="1" customHeight="1" x14ac:dyDescent="0.2">
      <c r="U123" s="11" t="s">
        <v>95</v>
      </c>
      <c r="W123" s="11" t="s">
        <v>99</v>
      </c>
    </row>
    <row r="124" spans="1:23" ht="15" hidden="1" customHeight="1" x14ac:dyDescent="0.2">
      <c r="U124" s="11" t="s">
        <v>3</v>
      </c>
      <c r="W124" s="8"/>
    </row>
    <row r="125" spans="1:23" ht="15" hidden="1" customHeight="1" x14ac:dyDescent="0.2">
      <c r="U125" s="11" t="s">
        <v>14</v>
      </c>
      <c r="W125" s="10" t="s">
        <v>23</v>
      </c>
    </row>
    <row r="126" spans="1:23" ht="15" hidden="1" customHeight="1" x14ac:dyDescent="0.2">
      <c r="U126" s="11" t="s">
        <v>8</v>
      </c>
      <c r="W126" s="11" t="s">
        <v>104</v>
      </c>
    </row>
    <row r="127" spans="1:23" ht="15" hidden="1" customHeight="1" x14ac:dyDescent="0.2">
      <c r="U127" s="11" t="s">
        <v>87</v>
      </c>
      <c r="W127" s="11" t="s">
        <v>105</v>
      </c>
    </row>
    <row r="128" spans="1:23" ht="15" hidden="1" customHeight="1" x14ac:dyDescent="0.2">
      <c r="U128" s="11" t="s">
        <v>5</v>
      </c>
      <c r="W128" s="11" t="s">
        <v>106</v>
      </c>
    </row>
    <row r="129" spans="21:23" ht="15" hidden="1" customHeight="1" x14ac:dyDescent="0.2">
      <c r="U129" s="11" t="s">
        <v>15</v>
      </c>
      <c r="W129" s="11" t="s">
        <v>107</v>
      </c>
    </row>
    <row r="130" spans="21:23" ht="15" hidden="1" customHeight="1" x14ac:dyDescent="0.2">
      <c r="U130" s="11" t="s">
        <v>84</v>
      </c>
      <c r="W130" s="11" t="s">
        <v>108</v>
      </c>
    </row>
    <row r="131" spans="21:23" ht="15" hidden="1" customHeight="1" x14ac:dyDescent="0.2">
      <c r="U131" s="11" t="s">
        <v>4</v>
      </c>
      <c r="W131" s="11" t="s">
        <v>109</v>
      </c>
    </row>
    <row r="132" spans="21:23" ht="15" hidden="1" customHeight="1" x14ac:dyDescent="0.2">
      <c r="U132" s="11" t="s">
        <v>18</v>
      </c>
      <c r="W132" s="11" t="s">
        <v>110</v>
      </c>
    </row>
    <row r="133" spans="21:23" ht="15" hidden="1" customHeight="1" x14ac:dyDescent="0.2">
      <c r="U133" s="11" t="s">
        <v>16</v>
      </c>
      <c r="W133" s="11" t="s">
        <v>111</v>
      </c>
    </row>
    <row r="134" spans="21:23" ht="15" hidden="1" customHeight="1" x14ac:dyDescent="0.2">
      <c r="U134" s="11" t="s">
        <v>6</v>
      </c>
      <c r="W134" s="11" t="s">
        <v>112</v>
      </c>
    </row>
    <row r="135" spans="21:23" ht="15" hidden="1" customHeight="1" x14ac:dyDescent="0.2">
      <c r="U135" s="11" t="s">
        <v>12</v>
      </c>
      <c r="W135" s="11" t="s">
        <v>113</v>
      </c>
    </row>
    <row r="136" spans="21:23" ht="15" hidden="1" customHeight="1" x14ac:dyDescent="0.2">
      <c r="U136" s="11" t="s">
        <v>17</v>
      </c>
      <c r="W136" s="11" t="s">
        <v>44</v>
      </c>
    </row>
    <row r="137" spans="21:23" ht="15" hidden="1" customHeight="1" x14ac:dyDescent="0.2">
      <c r="U137" s="11" t="s">
        <v>93</v>
      </c>
    </row>
    <row r="138" spans="21:23" ht="15" hidden="1" customHeight="1" x14ac:dyDescent="0.2">
      <c r="U138" s="11" t="s">
        <v>94</v>
      </c>
    </row>
    <row r="139" spans="21:23" ht="15" hidden="1" customHeight="1" x14ac:dyDescent="0.2"/>
  </sheetData>
  <sheetProtection algorithmName="SHA-512" hashValue="CJy7ipqjVE5NOo15J2gGbInCNIDzBI3nPpF2VlRIW3IHCUMe787Iqvl7DgFDZsF8mIr/7t/RhjjjiNYbNRA3MQ==" saltValue="PfooHCVSKtPKwrY10iwAjg==" spinCount="100000" sheet="1" objects="1" scenarios="1"/>
  <dataConsolidate/>
  <mergeCells count="126">
    <mergeCell ref="F82:G82"/>
    <mergeCell ref="F83:G83"/>
    <mergeCell ref="N82:O82"/>
    <mergeCell ref="N79:O79"/>
    <mergeCell ref="F81:G81"/>
    <mergeCell ref="J80:K80"/>
    <mergeCell ref="H80:I80"/>
    <mergeCell ref="L80:M80"/>
    <mergeCell ref="H81:I81"/>
    <mergeCell ref="N80:O80"/>
    <mergeCell ref="F80:G80"/>
    <mergeCell ref="H82:I82"/>
    <mergeCell ref="J83:K83"/>
    <mergeCell ref="H83:I83"/>
    <mergeCell ref="L83:M83"/>
    <mergeCell ref="N83:O83"/>
    <mergeCell ref="J81:K81"/>
    <mergeCell ref="F79:G79"/>
    <mergeCell ref="H28:J28"/>
    <mergeCell ref="A29:G29"/>
    <mergeCell ref="J79:K79"/>
    <mergeCell ref="L79:M79"/>
    <mergeCell ref="H47:I47"/>
    <mergeCell ref="K51:L51"/>
    <mergeCell ref="J45:L45"/>
    <mergeCell ref="F53:G53"/>
    <mergeCell ref="H49:I49"/>
    <mergeCell ref="M53:N53"/>
    <mergeCell ref="F92:H92"/>
    <mergeCell ref="A88:R88"/>
    <mergeCell ref="O84:P84"/>
    <mergeCell ref="M70:P70"/>
    <mergeCell ref="M68:P68"/>
    <mergeCell ref="A75:R75"/>
    <mergeCell ref="H70:I70"/>
    <mergeCell ref="A64:R64"/>
    <mergeCell ref="J77:K77"/>
    <mergeCell ref="L77:M77"/>
    <mergeCell ref="N77:O77"/>
    <mergeCell ref="J78:K78"/>
    <mergeCell ref="L78:M78"/>
    <mergeCell ref="N78:O78"/>
    <mergeCell ref="H78:I78"/>
    <mergeCell ref="L81:M81"/>
    <mergeCell ref="N81:O81"/>
    <mergeCell ref="J82:K82"/>
    <mergeCell ref="L82:M82"/>
    <mergeCell ref="F78:G78"/>
    <mergeCell ref="H79:I79"/>
    <mergeCell ref="L72:N72"/>
    <mergeCell ref="H77:I77"/>
    <mergeCell ref="F77:G77"/>
    <mergeCell ref="K21:M21"/>
    <mergeCell ref="P66:Q66"/>
    <mergeCell ref="O72:P72"/>
    <mergeCell ref="F19:H19"/>
    <mergeCell ref="F21:H21"/>
    <mergeCell ref="H27:I27"/>
    <mergeCell ref="A27:G27"/>
    <mergeCell ref="C23:E23"/>
    <mergeCell ref="K40:L40"/>
    <mergeCell ref="M40:Q40"/>
    <mergeCell ref="M51:P51"/>
    <mergeCell ref="N59:Q62"/>
    <mergeCell ref="E61:F61"/>
    <mergeCell ref="L61:M61"/>
    <mergeCell ref="L59:M59"/>
    <mergeCell ref="N23:P23"/>
    <mergeCell ref="C25:E25"/>
    <mergeCell ref="F25:H25"/>
    <mergeCell ref="K25:M25"/>
    <mergeCell ref="N25:P25"/>
    <mergeCell ref="H45:I45"/>
    <mergeCell ref="M55:N55"/>
    <mergeCell ref="F23:H23"/>
    <mergeCell ref="E36:F36"/>
    <mergeCell ref="O1:R1"/>
    <mergeCell ref="O2:R2"/>
    <mergeCell ref="A4:R4"/>
    <mergeCell ref="A11:R11"/>
    <mergeCell ref="I6:L6"/>
    <mergeCell ref="G8:H8"/>
    <mergeCell ref="A8:B8"/>
    <mergeCell ref="N6:Q6"/>
    <mergeCell ref="A2:C2"/>
    <mergeCell ref="D1:N2"/>
    <mergeCell ref="G6:H6"/>
    <mergeCell ref="K19:M19"/>
    <mergeCell ref="H13:I13"/>
    <mergeCell ref="J13:M13"/>
    <mergeCell ref="C6:F6"/>
    <mergeCell ref="C8:F8"/>
    <mergeCell ref="I8:Q8"/>
    <mergeCell ref="A6:B6"/>
    <mergeCell ref="C17:E17"/>
    <mergeCell ref="A13:G13"/>
    <mergeCell ref="I15:Q15"/>
    <mergeCell ref="N13:P13"/>
    <mergeCell ref="F17:H17"/>
    <mergeCell ref="N17:P17"/>
    <mergeCell ref="A15:G15"/>
    <mergeCell ref="K17:M17"/>
    <mergeCell ref="D85:E85"/>
    <mergeCell ref="A107:R107"/>
    <mergeCell ref="N19:P19"/>
    <mergeCell ref="N21:P21"/>
    <mergeCell ref="H66:K66"/>
    <mergeCell ref="A34:R34"/>
    <mergeCell ref="A43:R43"/>
    <mergeCell ref="A32:R32"/>
    <mergeCell ref="N45:Q47"/>
    <mergeCell ref="F90:H90"/>
    <mergeCell ref="C19:E19"/>
    <mergeCell ref="C21:E21"/>
    <mergeCell ref="A28:G28"/>
    <mergeCell ref="A36:D36"/>
    <mergeCell ref="H29:Q29"/>
    <mergeCell ref="H30:J30"/>
    <mergeCell ref="K23:M23"/>
    <mergeCell ref="A97:R97"/>
    <mergeCell ref="J27:M27"/>
    <mergeCell ref="H68:I68"/>
    <mergeCell ref="E59:F59"/>
    <mergeCell ref="K94:L94"/>
    <mergeCell ref="J49:L49"/>
    <mergeCell ref="J47:L47"/>
  </mergeCells>
  <phoneticPr fontId="3" type="noConversion"/>
  <conditionalFormatting sqref="Q94">
    <cfRule type="expression" dxfId="76" priority="61" stopIfTrue="1">
      <formula>$K$94="Oui"</formula>
    </cfRule>
  </conditionalFormatting>
  <conditionalFormatting sqref="M68:P68">
    <cfRule type="expression" dxfId="75" priority="62" stopIfTrue="1">
      <formula>$H$68="Oui"</formula>
    </cfRule>
    <cfRule type="expression" dxfId="74" priority="63" stopIfTrue="1">
      <formula>$H$68&lt;&gt;"Oui"</formula>
    </cfRule>
  </conditionalFormatting>
  <conditionalFormatting sqref="M70:P70">
    <cfRule type="expression" dxfId="73" priority="64" stopIfTrue="1">
      <formula>$H$70="Oui"</formula>
    </cfRule>
    <cfRule type="expression" dxfId="72" priority="65" stopIfTrue="1">
      <formula>$H$70&lt;&gt;"Oui"</formula>
    </cfRule>
  </conditionalFormatting>
  <conditionalFormatting sqref="Q72">
    <cfRule type="expression" dxfId="71" priority="66" stopIfTrue="1">
      <formula>$L$72="JET D'ENCRE"</formula>
    </cfRule>
    <cfRule type="expression" dxfId="70" priority="67" stopIfTrue="1">
      <formula>$L$72&lt;&gt;"JET D'ENCRE"</formula>
    </cfRule>
  </conditionalFormatting>
  <conditionalFormatting sqref="L72:N72">
    <cfRule type="expression" dxfId="69" priority="68" stopIfTrue="1">
      <formula>AND($H$70="oui",$M$70="Chubb (agence)")</formula>
    </cfRule>
  </conditionalFormatting>
  <conditionalFormatting sqref="P66:Q66">
    <cfRule type="expression" dxfId="68" priority="69" stopIfTrue="1">
      <formula>$H$66="RESEAU ETHERNET CLIENT"</formula>
    </cfRule>
    <cfRule type="expression" dxfId="67" priority="70" stopIfTrue="1">
      <formula>$H$66&lt;&gt;"RESEAU ETHERNET CLIENT"</formula>
    </cfRule>
  </conditionalFormatting>
  <conditionalFormatting sqref="H55 P57">
    <cfRule type="expression" dxfId="66" priority="71" stopIfTrue="1">
      <formula>$H$49="Oui"</formula>
    </cfRule>
  </conditionalFormatting>
  <conditionalFormatting sqref="N45:Q47">
    <cfRule type="cellIs" dxfId="65" priority="74" stopIfTrue="1" operator="equal">
      <formula>"Si les points doivent être matérialisés alors les ZD aussi…"</formula>
    </cfRule>
  </conditionalFormatting>
  <conditionalFormatting sqref="L78:O79 F78:I79">
    <cfRule type="cellIs" dxfId="64" priority="79" stopIfTrue="1" operator="equal">
      <formula>0</formula>
    </cfRule>
    <cfRule type="cellIs" dxfId="63" priority="80" stopIfTrue="1" operator="greaterThan">
      <formula>0</formula>
    </cfRule>
  </conditionalFormatting>
  <conditionalFormatting sqref="J38 G39">
    <cfRule type="expression" dxfId="62" priority="81" stopIfTrue="1">
      <formula>$B$38=""</formula>
    </cfRule>
    <cfRule type="expression" dxfId="61" priority="82" stopIfTrue="1">
      <formula>$B$38&lt;&gt;""</formula>
    </cfRule>
  </conditionalFormatting>
  <conditionalFormatting sqref="N27">
    <cfRule type="expression" dxfId="60" priority="85" stopIfTrue="1">
      <formula>$J$27=""</formula>
    </cfRule>
    <cfRule type="expression" dxfId="59" priority="86" stopIfTrue="1">
      <formula>$J$27&lt;&gt;""</formula>
    </cfRule>
  </conditionalFormatting>
  <conditionalFormatting sqref="F17:H17">
    <cfRule type="expression" dxfId="58" priority="87" stopIfTrue="1">
      <formula>$C$17="AUTRE : Préciser :"</formula>
    </cfRule>
  </conditionalFormatting>
  <conditionalFormatting sqref="F19:H19">
    <cfRule type="expression" dxfId="57" priority="88" stopIfTrue="1">
      <formula>$C$19="AUTRE : Préciser :"</formula>
    </cfRule>
  </conditionalFormatting>
  <conditionalFormatting sqref="F21:H21">
    <cfRule type="expression" dxfId="56" priority="89" stopIfTrue="1">
      <formula>$C$21="AUTRE : Préciser :"</formula>
    </cfRule>
  </conditionalFormatting>
  <conditionalFormatting sqref="N13:P13">
    <cfRule type="expression" dxfId="55" priority="94" stopIfTrue="1">
      <formula>$J$13&lt;&gt;""</formula>
    </cfRule>
    <cfRule type="expression" dxfId="54" priority="95" stopIfTrue="1">
      <formula>$J$13=""</formula>
    </cfRule>
  </conditionalFormatting>
  <conditionalFormatting sqref="K51:L51">
    <cfRule type="expression" dxfId="53" priority="96" stopIfTrue="1">
      <formula>$H$49&lt;&gt;""</formula>
    </cfRule>
    <cfRule type="expression" dxfId="52" priority="97" stopIfTrue="1">
      <formula>$H$49=""</formula>
    </cfRule>
  </conditionalFormatting>
  <conditionalFormatting sqref="L80:M81">
    <cfRule type="expression" dxfId="51" priority="101" stopIfTrue="1">
      <formula>$Q$77="ENERGIE DI"</formula>
    </cfRule>
    <cfRule type="cellIs" dxfId="50" priority="102" stopIfTrue="1" operator="notEqual">
      <formula>0</formula>
    </cfRule>
    <cfRule type="cellIs" priority="103" stopIfTrue="1" operator="equal">
      <formula>0</formula>
    </cfRule>
  </conditionalFormatting>
  <conditionalFormatting sqref="L82:M83">
    <cfRule type="expression" dxfId="49" priority="104" stopIfTrue="1">
      <formula>$Q$78="ENERGIE CMSI"</formula>
    </cfRule>
    <cfRule type="cellIs" dxfId="48" priority="105" stopIfTrue="1" operator="notEqual">
      <formula>0</formula>
    </cfRule>
    <cfRule type="cellIs" priority="106" stopIfTrue="1" operator="equal">
      <formula>0</formula>
    </cfRule>
  </conditionalFormatting>
  <conditionalFormatting sqref="N80:O81">
    <cfRule type="expression" dxfId="47" priority="107" stopIfTrue="1">
      <formula>$Q$77="CONCENTRATEUR DI"</formula>
    </cfRule>
    <cfRule type="cellIs" dxfId="46" priority="108" stopIfTrue="1" operator="notEqual">
      <formula>0</formula>
    </cfRule>
    <cfRule type="cellIs" priority="109" stopIfTrue="1" operator="equal">
      <formula>0</formula>
    </cfRule>
  </conditionalFormatting>
  <conditionalFormatting sqref="N82:O83">
    <cfRule type="expression" dxfId="45" priority="110" stopIfTrue="1">
      <formula>$Q$78="CONCENTRATEUR CMSI"</formula>
    </cfRule>
    <cfRule type="cellIs" dxfId="44" priority="111" stopIfTrue="1" operator="notEqual">
      <formula>0</formula>
    </cfRule>
    <cfRule type="cellIs" priority="112" stopIfTrue="1" operator="equal">
      <formula>0</formula>
    </cfRule>
  </conditionalFormatting>
  <conditionalFormatting sqref="H80:I81">
    <cfRule type="expression" dxfId="43" priority="113" stopIfTrue="1">
      <formula>$Q$77="ACTIVA DI"</formula>
    </cfRule>
    <cfRule type="cellIs" dxfId="42" priority="114" stopIfTrue="1" operator="notEqual">
      <formula>0</formula>
    </cfRule>
    <cfRule type="cellIs" priority="115" stopIfTrue="1" operator="equal">
      <formula>0</formula>
    </cfRule>
  </conditionalFormatting>
  <conditionalFormatting sqref="H82:I83">
    <cfRule type="expression" dxfId="41" priority="116" stopIfTrue="1">
      <formula>$Q$78="ACTIVA CMSI"</formula>
    </cfRule>
    <cfRule type="cellIs" dxfId="40" priority="117" stopIfTrue="1" operator="notEqual">
      <formula>0</formula>
    </cfRule>
    <cfRule type="cellIs" priority="118" stopIfTrue="1" operator="equal">
      <formula>0</formula>
    </cfRule>
  </conditionalFormatting>
  <conditionalFormatting sqref="F82:G83">
    <cfRule type="expression" dxfId="39" priority="119" stopIfTrue="1">
      <formula>$Q$78="RESONANCE CMSI"</formula>
    </cfRule>
    <cfRule type="cellIs" dxfId="38" priority="120" stopIfTrue="1" operator="notEqual">
      <formula>0</formula>
    </cfRule>
    <cfRule type="cellIs" priority="121" stopIfTrue="1" operator="equal">
      <formula>0</formula>
    </cfRule>
  </conditionalFormatting>
  <conditionalFormatting sqref="F80:G81">
    <cfRule type="expression" dxfId="37" priority="122" stopIfTrue="1">
      <formula>$Q$77="RESONANCE DI"</formula>
    </cfRule>
    <cfRule type="cellIs" dxfId="36" priority="123" stopIfTrue="1" operator="notEqual">
      <formula>0</formula>
    </cfRule>
    <cfRule type="cellIs" priority="124" stopIfTrue="1" operator="equal">
      <formula>0</formula>
    </cfRule>
  </conditionalFormatting>
  <conditionalFormatting sqref="F23:H23">
    <cfRule type="expression" dxfId="35" priority="59" stopIfTrue="1">
      <formula>$C$21="AUTRE : Préciser :"</formula>
    </cfRule>
  </conditionalFormatting>
  <conditionalFormatting sqref="F25:H25">
    <cfRule type="expression" dxfId="34" priority="57" stopIfTrue="1">
      <formula>$C$21="AUTRE : Préciser :"</formula>
    </cfRule>
  </conditionalFormatting>
  <conditionalFormatting sqref="N17:P17">
    <cfRule type="expression" dxfId="33" priority="51" stopIfTrue="1">
      <formula>$K17="AUTRE : Préciser :"</formula>
    </cfRule>
  </conditionalFormatting>
  <conditionalFormatting sqref="N19:P19">
    <cfRule type="expression" dxfId="32" priority="50" stopIfTrue="1">
      <formula>$K19="AUTRE : Préciser :"</formula>
    </cfRule>
  </conditionalFormatting>
  <conditionalFormatting sqref="N21:P21">
    <cfRule type="expression" dxfId="31" priority="49" stopIfTrue="1">
      <formula>$K21="AUTRE : Préciser :"</formula>
    </cfRule>
  </conditionalFormatting>
  <conditionalFormatting sqref="N23:P23">
    <cfRule type="expression" dxfId="30" priority="48" stopIfTrue="1">
      <formula>$K23="AUTRE : Préciser :"</formula>
    </cfRule>
  </conditionalFormatting>
  <conditionalFormatting sqref="N25:P25">
    <cfRule type="expression" dxfId="29" priority="47" stopIfTrue="1">
      <formula>$K25="AUTRE : Préciser :"</formula>
    </cfRule>
  </conditionalFormatting>
  <conditionalFormatting sqref="H57">
    <cfRule type="expression" dxfId="28" priority="45" stopIfTrue="1">
      <formula>$H$49="Oui"</formula>
    </cfRule>
  </conditionalFormatting>
  <conditionalFormatting sqref="M55:N55">
    <cfRule type="expression" dxfId="27" priority="44" stopIfTrue="1">
      <formula>$H$55&gt;1</formula>
    </cfRule>
  </conditionalFormatting>
  <conditionalFormatting sqref="E61:F61">
    <cfRule type="expression" dxfId="26" priority="37" stopIfTrue="1">
      <formula>$E$59="OUI"</formula>
    </cfRule>
  </conditionalFormatting>
  <conditionalFormatting sqref="L59:M59">
    <cfRule type="expression" dxfId="25" priority="36" stopIfTrue="1">
      <formula>$E$59="OUI"</formula>
    </cfRule>
  </conditionalFormatting>
  <conditionalFormatting sqref="L61:M61">
    <cfRule type="expression" dxfId="24" priority="35" stopIfTrue="1">
      <formula>$E$61="OUI"</formula>
    </cfRule>
  </conditionalFormatting>
  <conditionalFormatting sqref="K40:L40">
    <cfRule type="expression" dxfId="23" priority="29" stopIfTrue="1">
      <formula>$B$40&lt;&gt;""</formula>
    </cfRule>
    <cfRule type="expression" priority="30" stopIfTrue="1">
      <formula>$B$40=""</formula>
    </cfRule>
  </conditionalFormatting>
  <conditionalFormatting sqref="H47:I47">
    <cfRule type="expression" dxfId="22" priority="27" stopIfTrue="1">
      <formula>$A$47&lt;&gt;""</formula>
    </cfRule>
    <cfRule type="expression" dxfId="21" priority="28" stopIfTrue="1">
      <formula>$A$47=""</formula>
    </cfRule>
  </conditionalFormatting>
  <conditionalFormatting sqref="Q51">
    <cfRule type="expression" dxfId="20" priority="25" stopIfTrue="1">
      <formula>M51&lt;&gt;""</formula>
    </cfRule>
    <cfRule type="expression" dxfId="19" priority="26" stopIfTrue="1">
      <formula>$M51=""</formula>
    </cfRule>
  </conditionalFormatting>
  <conditionalFormatting sqref="J80:K83">
    <cfRule type="cellIs" priority="13" stopIfTrue="1" operator="equal">
      <formula>0</formula>
    </cfRule>
    <cfRule type="cellIs" dxfId="18" priority="14" stopIfTrue="1" operator="greaterThan">
      <formula>0</formula>
    </cfRule>
  </conditionalFormatting>
  <conditionalFormatting sqref="C6:F6 C8:F8 I6:L6 I8:Q8 N6:Q6 O2:R2 C17:E17 C19:E19 C21:E21 C23:E23 C25:E25 H13:I13 H27:I27 H28:J28 H29:Q29 H30:J30 E36:F36 H45:I45 H49:I49 P57 H55 H57 E59:F59 H66:K66 H68:I68 H70:I70 F80:I83 F90:H90 F92:H92 K94:L94">
    <cfRule type="cellIs" dxfId="17" priority="6" operator="equal">
      <formula>""</formula>
    </cfRule>
  </conditionalFormatting>
  <conditionalFormatting sqref="F53:G53">
    <cfRule type="cellIs" dxfId="16" priority="5" operator="equal">
      <formula>""</formula>
    </cfRule>
  </conditionalFormatting>
  <conditionalFormatting sqref="M53:N53">
    <cfRule type="cellIs" dxfId="15" priority="3" operator="equal">
      <formula>""</formula>
    </cfRule>
  </conditionalFormatting>
  <conditionalFormatting sqref="D85:E85">
    <cfRule type="cellIs" dxfId="14" priority="2" operator="equal">
      <formula>""</formula>
    </cfRule>
  </conditionalFormatting>
  <dataValidations count="16">
    <dataValidation type="list" allowBlank="1" showInputMessage="1" showErrorMessage="1" sqref="H68:I68 K40:L40 K51:L51 M53:N53 F53:G53 E61:G61 E59:G59 M55:N55 L61:M61 L59:M59 H45:I45 H47:I47 H70:I70 H27:I27 H13:I13 E36:F36 K94:L94 G60 H49:I49 D85:E85" xr:uid="{00000000-0002-0000-0100-000000000000}">
      <formula1>$W$115:$W$116</formula1>
    </dataValidation>
    <dataValidation type="list" allowBlank="1" showInputMessage="1" showErrorMessage="1" sqref="F90:H90" xr:uid="{00000000-0002-0000-0100-000001000000}">
      <formula1>"BE Chubb,BE Externe"</formula1>
    </dataValidation>
    <dataValidation type="list" allowBlank="1" showInputMessage="1" showErrorMessage="1" sqref="L72:M72" xr:uid="{00000000-0002-0000-0100-000002000000}">
      <formula1>"JET D'ENCRE,LASER A4 N&amp;B,LASER A4 COUL."</formula1>
    </dataValidation>
    <dataValidation type="list" allowBlank="1" showInputMessage="1" showErrorMessage="1" sqref="M68" xr:uid="{00000000-0002-0000-0100-000003000000}">
      <formula1>"CLIENT,CHUBB (Epson LX300)"</formula1>
    </dataValidation>
    <dataValidation type="list" allowBlank="1" showInputMessage="1" showErrorMessage="1" sqref="M70:P70" xr:uid="{00000000-0002-0000-0100-000004000000}">
      <formula1>"CLIENT,CHUBB (Agence)"</formula1>
    </dataValidation>
    <dataValidation type="list" allowBlank="1" showInputMessage="1" showErrorMessage="1" sqref="Q72" xr:uid="{00000000-0002-0000-0100-000005000000}">
      <formula1>"A2,A3,A4"</formula1>
    </dataValidation>
    <dataValidation type="list" allowBlank="1" showInputMessage="1" showErrorMessage="1" sqref="P66:Q66" xr:uid="{00000000-0002-0000-0100-000006000000}">
      <formula1>"FIXE,DHCP"</formula1>
    </dataValidation>
    <dataValidation type="list" allowBlank="1" showInputMessage="1" showErrorMessage="1" sqref="H66:K66" xr:uid="{00000000-0002-0000-0100-000007000000}">
      <formula1>"RESEAU ETHERNET CLIENT,RESEAU ETHERNET DEDIE"</formula1>
    </dataValidation>
    <dataValidation allowBlank="1" showInputMessage="1" showErrorMessage="1" prompt="Cellule calculée en automatique" sqref="F78:O79 J80:K83" xr:uid="{00000000-0002-0000-0100-000008000000}"/>
    <dataValidation allowBlank="1" showInputMessage="1" showErrorMessage="1" prompt="Saisir la quantité de centrales" sqref="B19 N27 J17 B21 B17 J21 J19 B23 J23 B25 J25" xr:uid="{00000000-0002-0000-0100-000009000000}"/>
    <dataValidation type="list" allowBlank="1" showInputMessage="1" showErrorMessage="1" sqref="H28:J28" xr:uid="{00000000-0002-0000-0100-00000A000000}">
      <formula1>"CABLE,FIBRE OPTIQUE,TELEPHONIQUE,ETHERNET"</formula1>
    </dataValidation>
    <dataValidation type="list" allowBlank="1" showInputMessage="1" showErrorMessage="1" sqref="N13:P13" xr:uid="{00000000-0002-0000-0100-00000B000000}">
      <formula1>"DIALOG NT,FCMS,VISION COM,VISION +,AUTRE GTC..."</formula1>
    </dataValidation>
    <dataValidation type="list" allowBlank="1" showInputMessage="1" showErrorMessage="1" sqref="C6:F6" xr:uid="{00000000-0002-0000-0100-00000C000000}">
      <formula1>$U$115:$U$138</formula1>
    </dataValidation>
    <dataValidation type="list" allowBlank="1" showInputMessage="1" showErrorMessage="1" sqref="R15 R17 R23 R25 R19 R21" xr:uid="{00000000-0002-0000-0100-00000D000000}">
      <formula1>$W$119:$W$124</formula1>
    </dataValidation>
    <dataValidation type="list" allowBlank="1" showInputMessage="1" showErrorMessage="1" sqref="C17:E17 C19:E19 C21:E21 C23:E23 C25:E25" xr:uid="{00000000-0002-0000-0100-00000E000000}">
      <formula1>$W$119:$W$123</formula1>
    </dataValidation>
    <dataValidation type="list" allowBlank="1" showInputMessage="1" showErrorMessage="1" sqref="K17:M17 K19:M19 K21:M21 K23:M23 K25:M25" xr:uid="{00000000-0002-0000-0100-00000F000000}">
      <formula1>$W$126:$W$136</formula1>
    </dataValidation>
  </dataValidations>
  <pageMargins left="0.39370078740157483" right="0.39370078740157483" top="0.39370078740157483" bottom="0.78740157480314965" header="0.51181102362204722" footer="0.51181102362204722"/>
  <pageSetup paperSize="9" orientation="portrait" r:id="rId1"/>
  <headerFooter alignWithMargins="0">
    <oddFooter>&amp;C&amp;"Arial,Gras"&amp;9Page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tabColor indexed="10"/>
  </sheetPr>
  <dimension ref="A1:Z64"/>
  <sheetViews>
    <sheetView showGridLines="0" zoomScaleNormal="100" zoomScaleSheetLayoutView="100" workbookViewId="0">
      <pane ySplit="2" topLeftCell="A3" activePane="bottomLeft" state="frozenSplit"/>
      <selection pane="bottomLeft" activeCell="A2" sqref="A2:D2"/>
    </sheetView>
  </sheetViews>
  <sheetFormatPr baseColWidth="10" defaultColWidth="0" defaultRowHeight="12.75" zeroHeight="1" x14ac:dyDescent="0.2"/>
  <cols>
    <col min="1" max="1" width="2.42578125" style="3" customWidth="1"/>
    <col min="2" max="2" width="3.28515625" style="3" customWidth="1"/>
    <col min="3" max="13" width="5.7109375" style="3" customWidth="1"/>
    <col min="14" max="14" width="8.140625" style="3" customWidth="1"/>
    <col min="15" max="17" width="5.7109375" style="3" customWidth="1"/>
    <col min="18" max="18" width="3.85546875" style="3" customWidth="1"/>
    <col min="19" max="20" width="1.42578125" style="3" customWidth="1"/>
    <col min="21" max="16384" width="5.7109375" style="3" hidden="1"/>
  </cols>
  <sheetData>
    <row r="1" spans="1:26" ht="24.95" customHeight="1" x14ac:dyDescent="0.2">
      <c r="A1" s="1"/>
      <c r="B1" s="6"/>
      <c r="C1" s="6"/>
      <c r="D1" s="2"/>
      <c r="E1" s="176" t="s">
        <v>114</v>
      </c>
      <c r="F1" s="177"/>
      <c r="G1" s="177"/>
      <c r="H1" s="177"/>
      <c r="I1" s="177"/>
      <c r="J1" s="177"/>
      <c r="K1" s="177"/>
      <c r="L1" s="167" t="s">
        <v>45</v>
      </c>
      <c r="M1" s="168"/>
      <c r="N1" s="168"/>
      <c r="O1" s="169"/>
      <c r="P1" s="167" t="s">
        <v>0</v>
      </c>
      <c r="Q1" s="168"/>
      <c r="R1" s="168"/>
      <c r="S1" s="169"/>
    </row>
    <row r="2" spans="1:26" ht="24.95" customHeight="1" thickBot="1" x14ac:dyDescent="0.25">
      <c r="A2" s="173" t="str">
        <f>Besoin!A2</f>
        <v>IMPR-3314 - 5</v>
      </c>
      <c r="B2" s="174"/>
      <c r="C2" s="174"/>
      <c r="D2" s="175"/>
      <c r="E2" s="179"/>
      <c r="F2" s="180"/>
      <c r="G2" s="180"/>
      <c r="H2" s="180"/>
      <c r="I2" s="180"/>
      <c r="J2" s="180"/>
      <c r="K2" s="180"/>
      <c r="L2" s="170"/>
      <c r="M2" s="171"/>
      <c r="N2" s="171"/>
      <c r="O2" s="172"/>
      <c r="P2" s="170"/>
      <c r="Q2" s="171"/>
      <c r="R2" s="171"/>
      <c r="S2" s="172"/>
    </row>
    <row r="3" spans="1:26" ht="8.1" customHeight="1" thickBot="1" x14ac:dyDescent="0.25"/>
    <row r="4" spans="1:26" s="25" customFormat="1" ht="15.75" thickBot="1" x14ac:dyDescent="0.25">
      <c r="A4" s="143" t="s">
        <v>34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5"/>
      <c r="U4" s="26"/>
      <c r="V4" s="26"/>
      <c r="W4" s="26"/>
      <c r="X4" s="26"/>
      <c r="Y4" s="26"/>
      <c r="Z4" s="26"/>
    </row>
    <row r="5" spans="1:26" ht="5.0999999999999996" customHeight="1" x14ac:dyDescent="0.2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2"/>
      <c r="U5" s="8"/>
      <c r="V5" s="9"/>
      <c r="W5" s="8"/>
      <c r="X5" s="9"/>
      <c r="Y5" s="8"/>
      <c r="Z5" s="9"/>
    </row>
    <row r="6" spans="1:26" s="20" customFormat="1" ht="12.95" customHeight="1" x14ac:dyDescent="0.2">
      <c r="A6" s="157" t="s">
        <v>1</v>
      </c>
      <c r="B6" s="158"/>
      <c r="C6" s="158"/>
      <c r="D6" s="205">
        <f>Besoin!C6</f>
        <v>0</v>
      </c>
      <c r="E6" s="205"/>
      <c r="F6" s="205"/>
      <c r="G6" s="205"/>
      <c r="H6" s="156" t="s">
        <v>50</v>
      </c>
      <c r="I6" s="156"/>
      <c r="J6" s="205">
        <f>Besoin!I6</f>
        <v>0</v>
      </c>
      <c r="K6" s="205"/>
      <c r="L6" s="205"/>
      <c r="M6" s="205"/>
      <c r="N6" s="43" t="s">
        <v>2</v>
      </c>
      <c r="O6" s="205">
        <f>Besoin!N6</f>
        <v>0</v>
      </c>
      <c r="P6" s="205"/>
      <c r="Q6" s="205"/>
      <c r="R6" s="205"/>
      <c r="S6" s="30"/>
      <c r="U6" s="21"/>
      <c r="V6" s="21"/>
      <c r="W6" s="21"/>
      <c r="X6" s="21"/>
      <c r="Y6" s="21"/>
      <c r="Z6" s="21"/>
    </row>
    <row r="7" spans="1:26" s="20" customFormat="1" ht="12.95" customHeight="1" x14ac:dyDescent="0.2">
      <c r="A7" s="155" t="s">
        <v>28</v>
      </c>
      <c r="B7" s="156"/>
      <c r="C7" s="156"/>
      <c r="D7" s="182">
        <f>Besoin!C8</f>
        <v>0</v>
      </c>
      <c r="E7" s="182"/>
      <c r="F7" s="182"/>
      <c r="G7" s="182"/>
      <c r="H7" s="156" t="s">
        <v>29</v>
      </c>
      <c r="I7" s="156"/>
      <c r="J7" s="205" t="str">
        <f>IF(Besoin!I8="","/",Besoin!I8)</f>
        <v>/</v>
      </c>
      <c r="K7" s="205"/>
      <c r="L7" s="205"/>
      <c r="M7" s="205"/>
      <c r="N7" s="205"/>
      <c r="O7" s="205"/>
      <c r="P7" s="205"/>
      <c r="Q7" s="205"/>
      <c r="R7" s="205"/>
      <c r="S7" s="31"/>
      <c r="U7" s="21"/>
      <c r="V7" s="21"/>
      <c r="W7" s="21"/>
      <c r="X7" s="21"/>
      <c r="Y7" s="21"/>
      <c r="Z7" s="21"/>
    </row>
    <row r="8" spans="1:26" ht="5.0999999999999996" customHeight="1" thickBot="1" x14ac:dyDescent="0.25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5"/>
      <c r="U8" s="8"/>
      <c r="V8" s="9"/>
      <c r="W8" s="8"/>
      <c r="X8" s="9"/>
      <c r="Y8" s="8"/>
      <c r="Z8" s="9"/>
    </row>
    <row r="9" spans="1:26" ht="8.1" customHeight="1" thickBot="1" x14ac:dyDescent="0.25"/>
    <row r="10" spans="1:26" s="25" customFormat="1" ht="15.75" thickBot="1" x14ac:dyDescent="0.25">
      <c r="A10" s="143" t="s">
        <v>46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5"/>
      <c r="T10" s="26"/>
      <c r="U10" s="26"/>
      <c r="V10" s="26"/>
      <c r="W10" s="26"/>
      <c r="X10" s="26"/>
      <c r="Y10" s="26"/>
    </row>
    <row r="11" spans="1:26" ht="5.0999999999999996" customHeight="1" x14ac:dyDescent="0.2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2"/>
    </row>
    <row r="12" spans="1:26" ht="22.5" customHeight="1" x14ac:dyDescent="0.2">
      <c r="A12" s="24"/>
      <c r="B12" s="19"/>
      <c r="C12" s="19"/>
      <c r="D12" s="246" t="s">
        <v>51</v>
      </c>
      <c r="E12" s="247"/>
      <c r="F12" s="247"/>
      <c r="G12" s="247"/>
      <c r="H12" s="248"/>
      <c r="I12" s="246" t="s">
        <v>52</v>
      </c>
      <c r="J12" s="247"/>
      <c r="K12" s="247"/>
      <c r="L12" s="247"/>
      <c r="M12" s="248"/>
      <c r="N12" s="245" t="s">
        <v>53</v>
      </c>
      <c r="O12" s="245"/>
      <c r="P12" s="245" t="s">
        <v>59</v>
      </c>
      <c r="Q12" s="245"/>
      <c r="R12" s="19"/>
      <c r="S12" s="23"/>
    </row>
    <row r="13" spans="1:26" x14ac:dyDescent="0.2">
      <c r="A13" s="24"/>
      <c r="B13" s="19"/>
      <c r="C13" s="44">
        <v>1</v>
      </c>
      <c r="D13" s="220" t="s">
        <v>54</v>
      </c>
      <c r="E13" s="220"/>
      <c r="F13" s="220"/>
      <c r="G13" s="220"/>
      <c r="H13" s="220"/>
      <c r="I13" s="249" t="str">
        <f>IF(Besoin!E59="OUI",IF(Besoin!L59="OUI","680000080 - PC Standard W10 64B",IF(Besoin!L59="NON","A commander chez Arrow (138127)","/")),IF(Besoin!E59="NON","PC W10-64b 8Go Ram SSD 128Go Raid1 ","/"))</f>
        <v>/</v>
      </c>
      <c r="J13" s="250"/>
      <c r="K13" s="250"/>
      <c r="L13" s="250"/>
      <c r="M13" s="251"/>
      <c r="N13" s="218" t="str">
        <f>IF(Besoin!E59="OUI",Besoin!H55+Besoin!H57,IF(Besoin!E59="NON",Besoin!H55+Besoin!H57,"/"))</f>
        <v>/</v>
      </c>
      <c r="O13" s="219"/>
      <c r="P13" s="218" t="str">
        <f>IF(Besoin!E59="NON","OUI","/")</f>
        <v>/</v>
      </c>
      <c r="Q13" s="219"/>
      <c r="R13" s="19"/>
      <c r="S13" s="23"/>
    </row>
    <row r="14" spans="1:26" x14ac:dyDescent="0.2">
      <c r="A14" s="24"/>
      <c r="B14" s="19"/>
      <c r="C14" s="44">
        <v>2</v>
      </c>
      <c r="D14" s="220" t="s">
        <v>60</v>
      </c>
      <c r="E14" s="220"/>
      <c r="F14" s="220"/>
      <c r="G14" s="220"/>
      <c r="H14" s="220"/>
      <c r="I14" s="221" t="str">
        <f>IF(Besoin!E59="OUI",IF(Besoin!L61="OUI","680000081 - Ecran Standard 24P",IF(Besoin!L61="NON","A commander chez Arrow (138127)","/")),IF(Besoin!E59="NON","Ecran 24 pouces 1920x1080px","/"))</f>
        <v>/</v>
      </c>
      <c r="J14" s="222"/>
      <c r="K14" s="222"/>
      <c r="L14" s="222"/>
      <c r="M14" s="223"/>
      <c r="N14" s="225" t="str">
        <f>IF(Besoin!E61="OUI",Besoin!H55+Besoin!H57,IF(Besoin!E59="NON",Besoin!H55+Besoin!H57,"/"))</f>
        <v>/</v>
      </c>
      <c r="O14" s="225"/>
      <c r="P14" s="218" t="str">
        <f>IF(Besoin!E59="NON","OUI","/")</f>
        <v>/</v>
      </c>
      <c r="Q14" s="219"/>
      <c r="R14" s="19"/>
      <c r="S14" s="23"/>
    </row>
    <row r="15" spans="1:26" x14ac:dyDescent="0.2">
      <c r="A15" s="24"/>
      <c r="B15" s="19"/>
      <c r="C15" s="44">
        <v>3</v>
      </c>
      <c r="D15" s="220" t="s">
        <v>55</v>
      </c>
      <c r="E15" s="220"/>
      <c r="F15" s="220"/>
      <c r="G15" s="220"/>
      <c r="H15" s="220"/>
      <c r="I15" s="221">
        <f>IF(Besoin!M70&lt;&gt;"CLIENT",Besoin!L72," ")</f>
        <v>0</v>
      </c>
      <c r="J15" s="222"/>
      <c r="K15" s="222"/>
      <c r="L15" s="222"/>
      <c r="M15" s="94" t="str">
        <f>IF(I15="JET D'ENCRE",Besoin!Q72,"")</f>
        <v/>
      </c>
      <c r="N15" s="225" t="str">
        <f>IF(Besoin!H70="NON","/",IF(Besoin!M70="CHUBB (Agence)","1","/"))</f>
        <v>/</v>
      </c>
      <c r="O15" s="225"/>
      <c r="P15" s="225" t="str">
        <f>IF(Besoin!M70="CLIENT","OUI","/")</f>
        <v>/</v>
      </c>
      <c r="Q15" s="225"/>
      <c r="R15" s="19"/>
      <c r="S15" s="23"/>
    </row>
    <row r="16" spans="1:26" x14ac:dyDescent="0.2">
      <c r="A16" s="24"/>
      <c r="B16" s="19"/>
      <c r="C16" s="44">
        <v>4</v>
      </c>
      <c r="D16" s="220" t="s">
        <v>56</v>
      </c>
      <c r="E16" s="220"/>
      <c r="F16" s="220"/>
      <c r="G16" s="220"/>
      <c r="H16" s="220"/>
      <c r="I16" s="221" t="str">
        <f>IF(Besoin!M68="CHUBB (Epson LX300)","Epson LX 300","")</f>
        <v/>
      </c>
      <c r="J16" s="222"/>
      <c r="K16" s="222"/>
      <c r="L16" s="222"/>
      <c r="M16" s="223"/>
      <c r="N16" s="225" t="str">
        <f>IF(Besoin!H68="NON","/",IF(Besoin!M68="CHUBB (Epson LX300)","1","/"))</f>
        <v>/</v>
      </c>
      <c r="O16" s="225"/>
      <c r="P16" s="225" t="str">
        <f>IF(Besoin!M68="CLIENT","OUI","/")</f>
        <v>/</v>
      </c>
      <c r="Q16" s="225"/>
      <c r="R16" s="19"/>
      <c r="S16" s="23"/>
    </row>
    <row r="17" spans="1:19" x14ac:dyDescent="0.2">
      <c r="A17" s="24"/>
      <c r="B17" s="19"/>
      <c r="C17" s="44">
        <v>5</v>
      </c>
      <c r="D17" s="220" t="s">
        <v>118</v>
      </c>
      <c r="E17" s="220"/>
      <c r="F17" s="220"/>
      <c r="G17" s="220"/>
      <c r="H17" s="220"/>
      <c r="I17" s="221" t="str">
        <f>IF(Besoin!O84=0,"/",IF(Besoin!O84&lt;120,"680000050 - OPTIMA UAE 150PTS",IF(Besoin!O84&lt;250,"680000051 - OPTIMA UAE 300PTS",IF(Besoin!O84&lt;400,"680000052 - OPTIMA UAE 500PTS",IF(Besoin!O84&lt;800,"680000053 - OPTIMA UAE 1000PTS",IF(Besoin!O84&lt;2000,"680000054 - OPTIMA UAE 2500PTS",IF(Besoin!O84&lt;4000,"680000055 - OPTIMA VISION 5000PTS","680000056 - OPTIMA VISION 10000PTS")))))))</f>
        <v>/</v>
      </c>
      <c r="J17" s="222"/>
      <c r="K17" s="222"/>
      <c r="L17" s="222"/>
      <c r="M17" s="223"/>
      <c r="N17" s="225">
        <f>Besoin!H55</f>
        <v>0</v>
      </c>
      <c r="O17" s="225"/>
      <c r="P17" s="225" t="s">
        <v>61</v>
      </c>
      <c r="Q17" s="225"/>
      <c r="R17" s="19"/>
      <c r="S17" s="23"/>
    </row>
    <row r="18" spans="1:19" x14ac:dyDescent="0.2">
      <c r="A18" s="24"/>
      <c r="B18" s="101"/>
      <c r="C18" s="44">
        <v>6</v>
      </c>
      <c r="D18" s="220" t="s">
        <v>145</v>
      </c>
      <c r="E18" s="220"/>
      <c r="F18" s="220"/>
      <c r="G18" s="220"/>
      <c r="H18" s="220"/>
      <c r="I18" s="221" t="str">
        <f>IF(Besoin!O84&lt;9970,"/",IF(Besoin!O84&lt;10120,"680000064 - OPTION OPTIMA 150PTS",IF(Besoin!O84&lt;10250,"680000065 - OPTION OPTIMA  300PTS",IF(Besoin!O84&lt;10400,"680000066 - OPTION OPTIMA  500PTS",IF(Besoin!O84&lt;10800,"680000067 - OPTION OPTIMA  1000PTS",IF(Besoin!O84&lt;12000,"680000068 - OPTION OPTIMA  2500PTS",IF(Besoin!O84&lt;14000,"680000069 - OPTION OPTIMA  5000PTS",IF(Besoin!O84&lt;20000,"680000070 - OPTION OPTIMA  10000PTS","LIMITE HAUTE ATTEINTE !!!"))))))))</f>
        <v>/</v>
      </c>
      <c r="J18" s="222"/>
      <c r="K18" s="222"/>
      <c r="L18" s="222"/>
      <c r="M18" s="223"/>
      <c r="N18" s="225" t="str">
        <f>IF(I18="/","/",Besoin!H55)</f>
        <v>/</v>
      </c>
      <c r="O18" s="225"/>
      <c r="P18" s="225" t="s">
        <v>61</v>
      </c>
      <c r="Q18" s="225"/>
      <c r="R18" s="101"/>
      <c r="S18" s="23"/>
    </row>
    <row r="19" spans="1:19" x14ac:dyDescent="0.2">
      <c r="A19" s="24"/>
      <c r="B19" s="19"/>
      <c r="C19" s="44">
        <v>7</v>
      </c>
      <c r="D19" s="220" t="s">
        <v>119</v>
      </c>
      <c r="E19" s="220"/>
      <c r="F19" s="220"/>
      <c r="G19" s="220"/>
      <c r="H19" s="220"/>
      <c r="I19" s="221" t="str">
        <f>IF(Besoin!M55="Oui","680000075 - OPTIMA Backup","/")</f>
        <v>/</v>
      </c>
      <c r="J19" s="222"/>
      <c r="K19" s="222"/>
      <c r="L19" s="222"/>
      <c r="M19" s="223"/>
      <c r="N19" s="225" t="str">
        <f>IF(Besoin!M55="Oui",Besoin!H55-1,"/")</f>
        <v>/</v>
      </c>
      <c r="O19" s="225"/>
      <c r="P19" s="225" t="s">
        <v>61</v>
      </c>
      <c r="Q19" s="225"/>
      <c r="R19" s="19"/>
      <c r="S19" s="23"/>
    </row>
    <row r="20" spans="1:19" x14ac:dyDescent="0.2">
      <c r="A20" s="24"/>
      <c r="B20" s="19"/>
      <c r="C20" s="44">
        <v>8</v>
      </c>
      <c r="D20" s="220" t="s">
        <v>161</v>
      </c>
      <c r="E20" s="220"/>
      <c r="F20" s="220"/>
      <c r="G20" s="220"/>
      <c r="H20" s="220"/>
      <c r="I20" s="221" t="str">
        <f>IF(OR((Besoin!H57+Besoin!P57=0), AND(Besoin!H57="", Besoin!P57="")),"","680000071 - OPTIMA  Viewer")</f>
        <v/>
      </c>
      <c r="J20" s="222"/>
      <c r="K20" s="222"/>
      <c r="L20" s="222"/>
      <c r="M20" s="223"/>
      <c r="N20" s="225" t="str">
        <f>IF(Besoin!H57+Besoin!P57&gt;0,Besoin!H57+Besoin!P57-FLOOR((Besoin!H57+Besoin!P57)/5,1)*5,"/")</f>
        <v>/</v>
      </c>
      <c r="O20" s="225"/>
      <c r="P20" s="225" t="s">
        <v>61</v>
      </c>
      <c r="Q20" s="225"/>
      <c r="R20" s="19"/>
      <c r="S20" s="23"/>
    </row>
    <row r="21" spans="1:19" x14ac:dyDescent="0.2">
      <c r="A21" s="24"/>
      <c r="B21" s="101"/>
      <c r="C21" s="44">
        <v>9</v>
      </c>
      <c r="D21" s="220" t="s">
        <v>162</v>
      </c>
      <c r="E21" s="220"/>
      <c r="F21" s="220"/>
      <c r="G21" s="220"/>
      <c r="H21" s="220"/>
      <c r="I21" s="221" t="str">
        <f>IF(OR((Besoin!H57+Besoin!P57=0), AND(Besoin!H57="", Besoin!P57="")),"",IF(Besoin!H57+Besoin!P57&gt;4,"680000072 - OPTIMA  Viewer (x5)","/"))</f>
        <v/>
      </c>
      <c r="J21" s="222"/>
      <c r="K21" s="222"/>
      <c r="L21" s="222"/>
      <c r="M21" s="223"/>
      <c r="N21" s="224" t="str">
        <f>IF(Besoin!H57+Besoin!P57&gt;4,FLOOR((Besoin!H57+Besoin!P57)/5,1),"/")</f>
        <v>/</v>
      </c>
      <c r="O21" s="224"/>
      <c r="P21" s="225" t="s">
        <v>61</v>
      </c>
      <c r="Q21" s="225"/>
      <c r="R21" s="101"/>
      <c r="S21" s="23"/>
    </row>
    <row r="22" spans="1:19" x14ac:dyDescent="0.2">
      <c r="A22" s="24"/>
      <c r="B22" s="101"/>
      <c r="C22" s="44">
        <v>10</v>
      </c>
      <c r="D22" s="212" t="s">
        <v>146</v>
      </c>
      <c r="E22" s="213"/>
      <c r="F22" s="213"/>
      <c r="G22" s="213"/>
      <c r="H22" s="214"/>
      <c r="I22" s="215" t="s">
        <v>150</v>
      </c>
      <c r="J22" s="216"/>
      <c r="K22" s="216"/>
      <c r="L22" s="216"/>
      <c r="M22" s="217"/>
      <c r="N22" s="266" t="str">
        <f>IF(I22="","",IF(I22="/","",Besoin!H55))</f>
        <v/>
      </c>
      <c r="O22" s="267"/>
      <c r="P22" s="218" t="s">
        <v>61</v>
      </c>
      <c r="Q22" s="219"/>
      <c r="R22" s="101"/>
      <c r="S22" s="23"/>
    </row>
    <row r="23" spans="1:19" x14ac:dyDescent="0.2">
      <c r="A23" s="24"/>
      <c r="B23" s="101"/>
      <c r="C23" s="44">
        <v>11</v>
      </c>
      <c r="D23" s="212" t="s">
        <v>147</v>
      </c>
      <c r="E23" s="213"/>
      <c r="F23" s="213"/>
      <c r="G23" s="213"/>
      <c r="H23" s="214"/>
      <c r="I23" s="221" t="str">
        <f>IF(Besoin!M53="Oui","680000076 - OPTIMA SMS/Mail","/")</f>
        <v>/</v>
      </c>
      <c r="J23" s="222"/>
      <c r="K23" s="222"/>
      <c r="L23" s="222"/>
      <c r="M23" s="223"/>
      <c r="N23" s="218" t="str">
        <f>IF(I23="","",IF(I23="/","",Besoin!H55))</f>
        <v/>
      </c>
      <c r="O23" s="219"/>
      <c r="P23" s="218" t="s">
        <v>61</v>
      </c>
      <c r="Q23" s="219"/>
      <c r="R23" s="101"/>
      <c r="S23" s="23"/>
    </row>
    <row r="24" spans="1:19" x14ac:dyDescent="0.2">
      <c r="A24" s="24"/>
      <c r="B24" s="19"/>
      <c r="C24" s="44">
        <v>12</v>
      </c>
      <c r="D24" s="212" t="s">
        <v>148</v>
      </c>
      <c r="E24" s="213"/>
      <c r="F24" s="213"/>
      <c r="G24" s="213"/>
      <c r="H24" s="214"/>
      <c r="I24" s="221" t="str">
        <f>IF(Besoin!F53="Oui","680000074 - OPTIMA Main courante","/")</f>
        <v>/</v>
      </c>
      <c r="J24" s="222"/>
      <c r="K24" s="222"/>
      <c r="L24" s="222"/>
      <c r="M24" s="223"/>
      <c r="N24" s="218" t="str">
        <f>IF(I24="","",IF(I24="/","",Besoin!H55))</f>
        <v/>
      </c>
      <c r="O24" s="219"/>
      <c r="P24" s="218" t="s">
        <v>61</v>
      </c>
      <c r="Q24" s="219"/>
      <c r="R24" s="79"/>
      <c r="S24" s="23"/>
    </row>
    <row r="25" spans="1:19" x14ac:dyDescent="0.2">
      <c r="A25" s="24"/>
      <c r="B25" s="19"/>
      <c r="C25" s="44">
        <v>13</v>
      </c>
      <c r="D25" s="212" t="s">
        <v>164</v>
      </c>
      <c r="E25" s="213"/>
      <c r="F25" s="213"/>
      <c r="G25" s="213"/>
      <c r="H25" s="214"/>
      <c r="I25" s="215" t="s">
        <v>150</v>
      </c>
      <c r="J25" s="216"/>
      <c r="K25" s="216"/>
      <c r="L25" s="216"/>
      <c r="M25" s="217"/>
      <c r="N25" s="218" t="str">
        <f>IF(I25="","",IF(I25="/","",Besoin!H56))</f>
        <v/>
      </c>
      <c r="O25" s="219"/>
      <c r="P25" s="218" t="s">
        <v>61</v>
      </c>
      <c r="Q25" s="219"/>
      <c r="R25" s="79"/>
      <c r="S25" s="23"/>
    </row>
    <row r="26" spans="1:19" x14ac:dyDescent="0.2">
      <c r="A26" s="24"/>
      <c r="B26" s="19"/>
      <c r="C26" s="252">
        <v>14</v>
      </c>
      <c r="D26" s="255" t="s">
        <v>57</v>
      </c>
      <c r="E26" s="256"/>
      <c r="F26" s="256"/>
      <c r="G26" s="256"/>
      <c r="H26" s="257"/>
      <c r="I26" s="240"/>
      <c r="J26" s="241"/>
      <c r="K26" s="241"/>
      <c r="L26" s="241"/>
      <c r="M26" s="242"/>
      <c r="N26" s="243"/>
      <c r="O26" s="244"/>
      <c r="P26" s="264" t="s">
        <v>61</v>
      </c>
      <c r="Q26" s="265"/>
      <c r="R26" s="79"/>
      <c r="S26" s="23"/>
    </row>
    <row r="27" spans="1:19" x14ac:dyDescent="0.2">
      <c r="A27" s="24"/>
      <c r="B27" s="19"/>
      <c r="C27" s="253"/>
      <c r="D27" s="258"/>
      <c r="E27" s="259"/>
      <c r="F27" s="259"/>
      <c r="G27" s="259"/>
      <c r="H27" s="260"/>
      <c r="I27" s="226"/>
      <c r="J27" s="227"/>
      <c r="K27" s="227"/>
      <c r="L27" s="227"/>
      <c r="M27" s="228"/>
      <c r="N27" s="229"/>
      <c r="O27" s="230"/>
      <c r="P27" s="231" t="s">
        <v>61</v>
      </c>
      <c r="Q27" s="232"/>
      <c r="R27" s="79"/>
      <c r="S27" s="23"/>
    </row>
    <row r="28" spans="1:19" x14ac:dyDescent="0.2">
      <c r="A28" s="24"/>
      <c r="B28" s="19"/>
      <c r="C28" s="254"/>
      <c r="D28" s="261"/>
      <c r="E28" s="262"/>
      <c r="F28" s="262"/>
      <c r="G28" s="262"/>
      <c r="H28" s="263"/>
      <c r="I28" s="233"/>
      <c r="J28" s="234"/>
      <c r="K28" s="234"/>
      <c r="L28" s="234"/>
      <c r="M28" s="235"/>
      <c r="N28" s="236"/>
      <c r="O28" s="237"/>
      <c r="P28" s="238" t="s">
        <v>61</v>
      </c>
      <c r="Q28" s="239"/>
      <c r="R28" s="79"/>
      <c r="S28" s="23"/>
    </row>
    <row r="29" spans="1:19" x14ac:dyDescent="0.2">
      <c r="A29" s="24"/>
      <c r="B29" s="19"/>
      <c r="C29" s="114">
        <v>15</v>
      </c>
      <c r="D29" s="108" t="s">
        <v>58</v>
      </c>
      <c r="E29" s="109"/>
      <c r="F29" s="109"/>
      <c r="G29" s="109"/>
      <c r="H29" s="110"/>
      <c r="I29" s="240"/>
      <c r="J29" s="241"/>
      <c r="K29" s="241"/>
      <c r="L29" s="241"/>
      <c r="M29" s="242"/>
      <c r="N29" s="243"/>
      <c r="O29" s="244"/>
      <c r="P29" s="264" t="s">
        <v>61</v>
      </c>
      <c r="Q29" s="265"/>
      <c r="R29" s="79"/>
      <c r="S29" s="23"/>
    </row>
    <row r="30" spans="1:19" x14ac:dyDescent="0.2">
      <c r="A30" s="24"/>
      <c r="B30" s="19"/>
      <c r="C30" s="115"/>
      <c r="D30" s="111"/>
      <c r="E30" s="112"/>
      <c r="F30" s="112"/>
      <c r="G30" s="112"/>
      <c r="H30" s="113"/>
      <c r="I30" s="226"/>
      <c r="J30" s="227"/>
      <c r="K30" s="227"/>
      <c r="L30" s="227"/>
      <c r="M30" s="228"/>
      <c r="N30" s="229"/>
      <c r="O30" s="230"/>
      <c r="P30" s="231" t="s">
        <v>61</v>
      </c>
      <c r="Q30" s="232"/>
      <c r="R30" s="79"/>
      <c r="S30" s="23"/>
    </row>
    <row r="31" spans="1:19" x14ac:dyDescent="0.2">
      <c r="A31" s="24"/>
      <c r="B31" s="19"/>
      <c r="C31" s="115"/>
      <c r="D31" s="111"/>
      <c r="E31" s="112"/>
      <c r="F31" s="112"/>
      <c r="G31" s="112"/>
      <c r="H31" s="113"/>
      <c r="I31" s="226"/>
      <c r="J31" s="227"/>
      <c r="K31" s="227"/>
      <c r="L31" s="227"/>
      <c r="M31" s="228"/>
      <c r="N31" s="229"/>
      <c r="O31" s="230"/>
      <c r="P31" s="231" t="s">
        <v>61</v>
      </c>
      <c r="Q31" s="232"/>
      <c r="R31" s="79"/>
      <c r="S31" s="23"/>
    </row>
    <row r="32" spans="1:19" x14ac:dyDescent="0.2">
      <c r="A32" s="24"/>
      <c r="B32" s="19"/>
      <c r="C32" s="252">
        <v>16</v>
      </c>
      <c r="D32" s="255" t="s">
        <v>90</v>
      </c>
      <c r="E32" s="256"/>
      <c r="F32" s="256"/>
      <c r="G32" s="256"/>
      <c r="H32" s="257"/>
      <c r="I32" s="240"/>
      <c r="J32" s="241"/>
      <c r="K32" s="241"/>
      <c r="L32" s="241"/>
      <c r="M32" s="242"/>
      <c r="N32" s="243"/>
      <c r="O32" s="244"/>
      <c r="P32" s="264" t="s">
        <v>61</v>
      </c>
      <c r="Q32" s="265"/>
      <c r="R32" s="19"/>
      <c r="S32" s="23"/>
    </row>
    <row r="33" spans="1:25" x14ac:dyDescent="0.2">
      <c r="A33" s="24"/>
      <c r="B33" s="101"/>
      <c r="C33" s="253"/>
      <c r="D33" s="258"/>
      <c r="E33" s="259"/>
      <c r="F33" s="259"/>
      <c r="G33" s="259"/>
      <c r="H33" s="260"/>
      <c r="I33" s="226"/>
      <c r="J33" s="227"/>
      <c r="K33" s="227"/>
      <c r="L33" s="227"/>
      <c r="M33" s="228"/>
      <c r="N33" s="229"/>
      <c r="O33" s="230"/>
      <c r="P33" s="231" t="s">
        <v>61</v>
      </c>
      <c r="Q33" s="232"/>
      <c r="R33" s="101"/>
      <c r="S33" s="23"/>
    </row>
    <row r="34" spans="1:25" x14ac:dyDescent="0.2">
      <c r="A34" s="24"/>
      <c r="B34" s="19"/>
      <c r="C34" s="254"/>
      <c r="D34" s="261"/>
      <c r="E34" s="262"/>
      <c r="F34" s="262"/>
      <c r="G34" s="262"/>
      <c r="H34" s="263"/>
      <c r="I34" s="233"/>
      <c r="J34" s="234"/>
      <c r="K34" s="234"/>
      <c r="L34" s="234"/>
      <c r="M34" s="235"/>
      <c r="N34" s="236"/>
      <c r="O34" s="237"/>
      <c r="P34" s="238" t="s">
        <v>61</v>
      </c>
      <c r="Q34" s="239"/>
      <c r="R34" s="19"/>
      <c r="S34" s="23"/>
    </row>
    <row r="35" spans="1:25" ht="9.75" customHeight="1" x14ac:dyDescent="0.2">
      <c r="A35" s="24"/>
      <c r="B35" s="78"/>
      <c r="C35" s="76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77"/>
      <c r="Q35" s="77"/>
      <c r="R35" s="19"/>
      <c r="S35" s="23"/>
    </row>
    <row r="36" spans="1:25" ht="5.0999999999999996" customHeight="1" thickBot="1" x14ac:dyDescent="0.25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5"/>
    </row>
    <row r="37" spans="1:25" ht="8.1" customHeight="1" thickBo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25" s="25" customFormat="1" ht="15.75" thickBot="1" x14ac:dyDescent="0.25">
      <c r="A38" s="143" t="s">
        <v>62</v>
      </c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5"/>
      <c r="T38" s="26"/>
      <c r="U38" s="26"/>
      <c r="V38" s="26"/>
      <c r="W38" s="26"/>
      <c r="X38" s="26"/>
      <c r="Y38" s="26"/>
    </row>
    <row r="39" spans="1:25" ht="5.0999999999999996" customHeight="1" x14ac:dyDescent="0.2">
      <c r="A39" s="1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2"/>
    </row>
    <row r="40" spans="1:25" ht="12.75" customHeight="1" x14ac:dyDescent="0.2">
      <c r="A40" s="14"/>
      <c r="B40" s="12"/>
      <c r="C40" s="19"/>
      <c r="D40" s="246" t="s">
        <v>51</v>
      </c>
      <c r="E40" s="247"/>
      <c r="F40" s="247"/>
      <c r="G40" s="247"/>
      <c r="H40" s="247"/>
      <c r="I40" s="248"/>
      <c r="J40" s="246" t="s">
        <v>74</v>
      </c>
      <c r="K40" s="247"/>
      <c r="L40" s="247"/>
      <c r="M40" s="247"/>
      <c r="N40" s="248"/>
      <c r="O40" s="280" t="s">
        <v>63</v>
      </c>
      <c r="P40" s="281"/>
      <c r="Q40" s="282"/>
      <c r="R40" s="12"/>
      <c r="S40" s="15"/>
    </row>
    <row r="41" spans="1:25" x14ac:dyDescent="0.2">
      <c r="A41" s="14"/>
      <c r="B41" s="12"/>
      <c r="C41" s="44">
        <v>1</v>
      </c>
      <c r="D41" s="212" t="s">
        <v>64</v>
      </c>
      <c r="E41" s="213"/>
      <c r="F41" s="213"/>
      <c r="G41" s="213"/>
      <c r="H41" s="213"/>
      <c r="I41" s="214"/>
      <c r="J41" s="283" t="s">
        <v>120</v>
      </c>
      <c r="K41" s="284"/>
      <c r="L41" s="284"/>
      <c r="M41" s="284"/>
      <c r="N41" s="285"/>
      <c r="O41" s="53">
        <f>(Besoin!H55*8)+(Besoin!H57+Besoin!P57*4)</f>
        <v>0</v>
      </c>
      <c r="P41" s="278" t="s">
        <v>68</v>
      </c>
      <c r="Q41" s="279"/>
      <c r="R41" s="12"/>
      <c r="S41" s="15"/>
    </row>
    <row r="42" spans="1:25" x14ac:dyDescent="0.2">
      <c r="A42" s="14"/>
      <c r="B42" s="12"/>
      <c r="C42" s="44">
        <v>2</v>
      </c>
      <c r="D42" s="212" t="s">
        <v>69</v>
      </c>
      <c r="E42" s="213"/>
      <c r="F42" s="213"/>
      <c r="G42" s="213"/>
      <c r="H42" s="213"/>
      <c r="I42" s="214"/>
      <c r="J42" s="49">
        <f>IF(Besoin!E36="NON"," ",Besoin!J38)</f>
        <v>0</v>
      </c>
      <c r="K42" s="50" t="b">
        <f>IF(Besoin!E36="Oui","plans à nettoyer",IF(Besoin!E36="Non","Pas de plans à nettoyer"))</f>
        <v>0</v>
      </c>
      <c r="L42" s="50"/>
      <c r="M42" s="50"/>
      <c r="N42" s="51"/>
      <c r="O42" s="53">
        <f>IF(Besoin!E36="Non","/",J42*0.5)</f>
        <v>0</v>
      </c>
      <c r="P42" s="273" t="s">
        <v>68</v>
      </c>
      <c r="Q42" s="274"/>
      <c r="R42" s="12"/>
      <c r="S42" s="15"/>
    </row>
    <row r="43" spans="1:25" x14ac:dyDescent="0.2">
      <c r="A43" s="14"/>
      <c r="B43" s="12"/>
      <c r="C43" s="44">
        <v>3</v>
      </c>
      <c r="D43" s="212" t="s">
        <v>170</v>
      </c>
      <c r="E43" s="213"/>
      <c r="F43" s="213"/>
      <c r="G43" s="213"/>
      <c r="H43" s="213"/>
      <c r="I43" s="214"/>
      <c r="J43" s="49">
        <f>IF(Besoin!E36="NON"," ",Besoin!G39)</f>
        <v>0</v>
      </c>
      <c r="K43" s="50" t="b">
        <f>IF(Besoin!E36="Oui","plans à réaliser",IF(Besoin!E36="Non","Pas de plans à réaliser"))</f>
        <v>0</v>
      </c>
      <c r="L43" s="50"/>
      <c r="M43" s="50"/>
      <c r="N43" s="51"/>
      <c r="O43" s="53">
        <f>IF(Besoin!E36="Non","/",IF(Besoin!K51="Oui",J43,J43*2))</f>
        <v>0</v>
      </c>
      <c r="P43" s="273" t="s">
        <v>68</v>
      </c>
      <c r="Q43" s="274"/>
      <c r="R43" s="12"/>
      <c r="S43" s="15"/>
    </row>
    <row r="44" spans="1:25" x14ac:dyDescent="0.2">
      <c r="A44" s="14"/>
      <c r="B44" s="117"/>
      <c r="C44" s="44">
        <v>4</v>
      </c>
      <c r="D44" s="118" t="s">
        <v>171</v>
      </c>
      <c r="E44" s="119"/>
      <c r="F44" s="119"/>
      <c r="G44" s="119"/>
      <c r="H44" s="119"/>
      <c r="I44" s="120"/>
      <c r="J44" s="49">
        <f>IF(Besoin!K51="Oui"," ",Besoin!Q51)</f>
        <v>0</v>
      </c>
      <c r="K44" s="121" t="b">
        <f>IF(Besoin!K51="Non","plans à réaliser",IF(Besoin!K51="Oui","Pas de plans supplémentaires"))</f>
        <v>0</v>
      </c>
      <c r="L44" s="121"/>
      <c r="M44" s="121"/>
      <c r="N44" s="122"/>
      <c r="O44" s="53">
        <f>IF(Besoin!K51="Oui","/",IF(Besoin!K52="Oui",J44,J44))</f>
        <v>0</v>
      </c>
      <c r="P44" s="273" t="s">
        <v>68</v>
      </c>
      <c r="Q44" s="274"/>
      <c r="R44" s="117"/>
      <c r="S44" s="15"/>
    </row>
    <row r="45" spans="1:25" x14ac:dyDescent="0.2">
      <c r="A45" s="14"/>
      <c r="B45" s="12"/>
      <c r="C45" s="44">
        <v>5</v>
      </c>
      <c r="D45" s="212" t="s">
        <v>70</v>
      </c>
      <c r="E45" s="213"/>
      <c r="F45" s="213"/>
      <c r="G45" s="213"/>
      <c r="H45" s="213"/>
      <c r="I45" s="214"/>
      <c r="J45" s="49">
        <f>Besoin!J81</f>
        <v>0</v>
      </c>
      <c r="K45" s="50"/>
      <c r="L45" s="50"/>
      <c r="M45" s="50"/>
      <c r="N45" s="51"/>
      <c r="O45" s="53">
        <f>(J45*0.033)</f>
        <v>0</v>
      </c>
      <c r="P45" s="273" t="s">
        <v>68</v>
      </c>
      <c r="Q45" s="274"/>
      <c r="R45" s="12"/>
      <c r="S45" s="15"/>
    </row>
    <row r="46" spans="1:25" x14ac:dyDescent="0.2">
      <c r="A46" s="14"/>
      <c r="B46" s="12"/>
      <c r="C46" s="44">
        <v>6</v>
      </c>
      <c r="D46" s="212" t="s">
        <v>71</v>
      </c>
      <c r="E46" s="213"/>
      <c r="F46" s="213"/>
      <c r="G46" s="213"/>
      <c r="H46" s="213"/>
      <c r="I46" s="214"/>
      <c r="J46" s="49">
        <f>Besoin!J83</f>
        <v>0</v>
      </c>
      <c r="K46" s="50"/>
      <c r="L46" s="50"/>
      <c r="M46" s="50"/>
      <c r="N46" s="51"/>
      <c r="O46" s="53">
        <f>(J46*0.05)</f>
        <v>0</v>
      </c>
      <c r="P46" s="273" t="s">
        <v>68</v>
      </c>
      <c r="Q46" s="274"/>
      <c r="R46" s="12"/>
      <c r="S46" s="15"/>
    </row>
    <row r="47" spans="1:25" x14ac:dyDescent="0.2">
      <c r="A47" s="14"/>
      <c r="B47" s="12"/>
      <c r="C47" s="44">
        <v>7</v>
      </c>
      <c r="D47" s="212" t="s">
        <v>72</v>
      </c>
      <c r="E47" s="213"/>
      <c r="F47" s="213"/>
      <c r="G47" s="213"/>
      <c r="H47" s="213"/>
      <c r="I47" s="214"/>
      <c r="J47" s="49">
        <f>Besoin!J80</f>
        <v>0</v>
      </c>
      <c r="K47" s="50"/>
      <c r="L47" s="50"/>
      <c r="M47" s="50"/>
      <c r="N47" s="51"/>
      <c r="O47" s="53">
        <f>(J47*0.05)</f>
        <v>0</v>
      </c>
      <c r="P47" s="273" t="s">
        <v>68</v>
      </c>
      <c r="Q47" s="274"/>
      <c r="R47" s="12"/>
      <c r="S47" s="15"/>
    </row>
    <row r="48" spans="1:25" x14ac:dyDescent="0.2">
      <c r="A48" s="14"/>
      <c r="B48" s="12"/>
      <c r="C48" s="44">
        <v>8</v>
      </c>
      <c r="D48" s="212" t="s">
        <v>73</v>
      </c>
      <c r="E48" s="213"/>
      <c r="F48" s="213"/>
      <c r="G48" s="213"/>
      <c r="H48" s="213"/>
      <c r="I48" s="214"/>
      <c r="J48" s="49">
        <f>Besoin!B17+Besoin!B19+Besoin!B21+Besoin!B13+Besoin!B25</f>
        <v>0</v>
      </c>
      <c r="K48" s="50"/>
      <c r="L48" s="50"/>
      <c r="M48" s="50"/>
      <c r="N48" s="51"/>
      <c r="O48" s="53">
        <f>(J48*0.25)</f>
        <v>0</v>
      </c>
      <c r="P48" s="273" t="s">
        <v>68</v>
      </c>
      <c r="Q48" s="274"/>
      <c r="R48" s="12"/>
      <c r="S48" s="15"/>
    </row>
    <row r="49" spans="1:25" x14ac:dyDescent="0.2">
      <c r="A49" s="14"/>
      <c r="B49" s="12"/>
      <c r="C49" s="44">
        <v>9</v>
      </c>
      <c r="D49" s="212" t="s">
        <v>65</v>
      </c>
      <c r="E49" s="213"/>
      <c r="F49" s="213"/>
      <c r="G49" s="213"/>
      <c r="H49" s="213"/>
      <c r="I49" s="214"/>
      <c r="J49" s="275" t="s">
        <v>66</v>
      </c>
      <c r="K49" s="276"/>
      <c r="L49" s="276"/>
      <c r="M49" s="276"/>
      <c r="N49" s="277"/>
      <c r="O49" s="61" t="s">
        <v>75</v>
      </c>
      <c r="P49" s="273" t="s">
        <v>68</v>
      </c>
      <c r="Q49" s="274"/>
      <c r="R49" s="12"/>
      <c r="S49" s="15"/>
    </row>
    <row r="50" spans="1:25" x14ac:dyDescent="0.2">
      <c r="A50" s="14"/>
      <c r="B50" s="12"/>
      <c r="C50" s="44">
        <v>10</v>
      </c>
      <c r="D50" s="212" t="s">
        <v>67</v>
      </c>
      <c r="E50" s="213"/>
      <c r="F50" s="213"/>
      <c r="G50" s="213"/>
      <c r="H50" s="213"/>
      <c r="I50" s="214"/>
      <c r="J50" s="272" t="str">
        <f>IF(Besoin!K94="Non","Pas de formation demandée","")</f>
        <v/>
      </c>
      <c r="K50" s="273"/>
      <c r="L50" s="273"/>
      <c r="M50" s="273"/>
      <c r="N50" s="274"/>
      <c r="O50" s="53" t="str">
        <f>IF(Besoin!K94="oui",R50,"/")</f>
        <v>/</v>
      </c>
      <c r="P50" s="273" t="s">
        <v>68</v>
      </c>
      <c r="Q50" s="274"/>
      <c r="R50" s="52">
        <v>8</v>
      </c>
      <c r="S50" s="15"/>
    </row>
    <row r="51" spans="1:25" ht="5.0999999999999996" customHeight="1" thickBot="1" x14ac:dyDescent="0.25">
      <c r="A51" s="1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5"/>
    </row>
    <row r="52" spans="1:25" ht="13.5" thickBot="1" x14ac:dyDescent="0.25">
      <c r="A52" s="14"/>
      <c r="B52" s="12"/>
      <c r="C52" s="116" t="e">
        <f xml:space="preserve"> "Nombre de symboles par plan " &amp; ROUND((Besoin!F81+Besoin!H81+Besoin!F83+Besoin!H83)/(Besoin!G39+Besoin!Q51),1)</f>
        <v>#DIV/0!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270">
        <f>SUM(N41:O51)</f>
        <v>0</v>
      </c>
      <c r="O52" s="271"/>
      <c r="P52" s="268" t="s">
        <v>68</v>
      </c>
      <c r="Q52" s="269"/>
      <c r="R52" s="12"/>
      <c r="S52" s="15"/>
    </row>
    <row r="53" spans="1:25" ht="6.75" customHeight="1" x14ac:dyDescent="0.2">
      <c r="A53" s="1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70"/>
      <c r="O53" s="70"/>
      <c r="P53" s="16"/>
      <c r="Q53" s="16"/>
      <c r="R53" s="12"/>
      <c r="S53" s="15"/>
    </row>
    <row r="54" spans="1:25" x14ac:dyDescent="0.2">
      <c r="A54" s="209" t="s">
        <v>91</v>
      </c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1"/>
    </row>
    <row r="55" spans="1:25" ht="5.0999999999999996" customHeight="1" thickBot="1" x14ac:dyDescent="0.25">
      <c r="A55" s="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5"/>
    </row>
    <row r="56" spans="1:25" ht="8.1" customHeight="1" thickBot="1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</row>
    <row r="57" spans="1:25" s="25" customFormat="1" ht="15.75" thickBot="1" x14ac:dyDescent="0.25">
      <c r="A57" s="143" t="s">
        <v>43</v>
      </c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5"/>
      <c r="T57" s="26"/>
      <c r="U57" s="26"/>
      <c r="V57" s="26"/>
      <c r="W57" s="26"/>
      <c r="X57" s="26"/>
      <c r="Y57" s="26"/>
    </row>
    <row r="58" spans="1:25" s="92" customFormat="1" ht="24.95" customHeight="1" x14ac:dyDescent="0.2">
      <c r="A58" s="105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8"/>
    </row>
    <row r="59" spans="1:25" s="92" customFormat="1" ht="24.95" customHeight="1" x14ac:dyDescent="0.2">
      <c r="A59" s="106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30"/>
    </row>
    <row r="60" spans="1:25" s="92" customFormat="1" ht="24.95" customHeight="1" x14ac:dyDescent="0.2">
      <c r="A60" s="106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30"/>
    </row>
    <row r="61" spans="1:25" s="92" customFormat="1" ht="24.95" customHeight="1" thickBot="1" x14ac:dyDescent="0.25">
      <c r="A61" s="107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2"/>
    </row>
    <row r="62" spans="1:25" s="92" customFormat="1" ht="32.1" hidden="1" customHeight="1" x14ac:dyDescent="0.2"/>
    <row r="63" spans="1:25" s="92" customFormat="1" ht="20.100000000000001" hidden="1" customHeight="1" x14ac:dyDescent="0.2"/>
    <row r="64" spans="1:25" s="92" customFormat="1" ht="20.100000000000001" hidden="1" customHeight="1" x14ac:dyDescent="0.2"/>
  </sheetData>
  <mergeCells count="134">
    <mergeCell ref="P42:Q42"/>
    <mergeCell ref="P47:Q47"/>
    <mergeCell ref="P48:Q48"/>
    <mergeCell ref="P43:Q43"/>
    <mergeCell ref="P41:Q41"/>
    <mergeCell ref="D40:I40"/>
    <mergeCell ref="D41:I41"/>
    <mergeCell ref="P50:Q50"/>
    <mergeCell ref="D50:I50"/>
    <mergeCell ref="O40:Q40"/>
    <mergeCell ref="J40:N40"/>
    <mergeCell ref="P44:Q44"/>
    <mergeCell ref="D42:I42"/>
    <mergeCell ref="J41:N41"/>
    <mergeCell ref="P52:Q52"/>
    <mergeCell ref="N52:O52"/>
    <mergeCell ref="D49:I49"/>
    <mergeCell ref="D43:I43"/>
    <mergeCell ref="D45:I45"/>
    <mergeCell ref="J50:N50"/>
    <mergeCell ref="D47:I47"/>
    <mergeCell ref="D48:I48"/>
    <mergeCell ref="P45:Q45"/>
    <mergeCell ref="D46:I46"/>
    <mergeCell ref="J49:N49"/>
    <mergeCell ref="P49:Q49"/>
    <mergeCell ref="P46:Q46"/>
    <mergeCell ref="P29:Q29"/>
    <mergeCell ref="P31:Q31"/>
    <mergeCell ref="D19:H19"/>
    <mergeCell ref="I19:M19"/>
    <mergeCell ref="N19:O19"/>
    <mergeCell ref="P19:Q19"/>
    <mergeCell ref="P27:Q27"/>
    <mergeCell ref="P20:Q20"/>
    <mergeCell ref="D20:H20"/>
    <mergeCell ref="D22:H22"/>
    <mergeCell ref="D23:H23"/>
    <mergeCell ref="D24:H24"/>
    <mergeCell ref="I22:M22"/>
    <mergeCell ref="I23:M23"/>
    <mergeCell ref="I24:M24"/>
    <mergeCell ref="N22:O22"/>
    <mergeCell ref="N23:O23"/>
    <mergeCell ref="N24:O24"/>
    <mergeCell ref="P22:Q22"/>
    <mergeCell ref="I29:M29"/>
    <mergeCell ref="I30:M30"/>
    <mergeCell ref="N20:O20"/>
    <mergeCell ref="I17:M17"/>
    <mergeCell ref="N17:O17"/>
    <mergeCell ref="D18:H18"/>
    <mergeCell ref="N18:O18"/>
    <mergeCell ref="P18:Q18"/>
    <mergeCell ref="I18:M18"/>
    <mergeCell ref="C32:C34"/>
    <mergeCell ref="D32:H34"/>
    <mergeCell ref="D26:H28"/>
    <mergeCell ref="I27:M27"/>
    <mergeCell ref="P17:Q17"/>
    <mergeCell ref="N26:O26"/>
    <mergeCell ref="N27:O27"/>
    <mergeCell ref="P26:Q26"/>
    <mergeCell ref="D17:H17"/>
    <mergeCell ref="N31:O31"/>
    <mergeCell ref="I26:M26"/>
    <mergeCell ref="N29:O29"/>
    <mergeCell ref="N30:O30"/>
    <mergeCell ref="P30:Q30"/>
    <mergeCell ref="I20:M20"/>
    <mergeCell ref="P32:Q32"/>
    <mergeCell ref="C26:C28"/>
    <mergeCell ref="I31:M31"/>
    <mergeCell ref="P13:Q13"/>
    <mergeCell ref="P15:Q15"/>
    <mergeCell ref="P16:Q16"/>
    <mergeCell ref="P14:Q14"/>
    <mergeCell ref="N14:O14"/>
    <mergeCell ref="N15:O15"/>
    <mergeCell ref="N16:O16"/>
    <mergeCell ref="D15:H15"/>
    <mergeCell ref="D16:H16"/>
    <mergeCell ref="D13:H13"/>
    <mergeCell ref="N13:O13"/>
    <mergeCell ref="I13:M13"/>
    <mergeCell ref="I14:M14"/>
    <mergeCell ref="I15:L15"/>
    <mergeCell ref="I16:M16"/>
    <mergeCell ref="D14:H14"/>
    <mergeCell ref="P1:S1"/>
    <mergeCell ref="P2:S2"/>
    <mergeCell ref="N12:O12"/>
    <mergeCell ref="A4:S4"/>
    <mergeCell ref="A6:C6"/>
    <mergeCell ref="O6:R6"/>
    <mergeCell ref="A10:S10"/>
    <mergeCell ref="E1:K2"/>
    <mergeCell ref="L1:O1"/>
    <mergeCell ref="L2:O2"/>
    <mergeCell ref="J7:R7"/>
    <mergeCell ref="D12:H12"/>
    <mergeCell ref="A2:D2"/>
    <mergeCell ref="A7:C7"/>
    <mergeCell ref="D7:G7"/>
    <mergeCell ref="H7:I7"/>
    <mergeCell ref="I12:M12"/>
    <mergeCell ref="D6:G6"/>
    <mergeCell ref="H6:I6"/>
    <mergeCell ref="J6:M6"/>
    <mergeCell ref="P12:Q12"/>
    <mergeCell ref="A38:S38"/>
    <mergeCell ref="A57:S57"/>
    <mergeCell ref="A54:S54"/>
    <mergeCell ref="D25:H25"/>
    <mergeCell ref="I25:M25"/>
    <mergeCell ref="N25:O25"/>
    <mergeCell ref="P25:Q25"/>
    <mergeCell ref="D21:H21"/>
    <mergeCell ref="I21:M21"/>
    <mergeCell ref="N21:O21"/>
    <mergeCell ref="P21:Q21"/>
    <mergeCell ref="P23:Q23"/>
    <mergeCell ref="P24:Q24"/>
    <mergeCell ref="I33:M33"/>
    <mergeCell ref="N33:O33"/>
    <mergeCell ref="P33:Q33"/>
    <mergeCell ref="I28:M28"/>
    <mergeCell ref="N28:O28"/>
    <mergeCell ref="P28:Q28"/>
    <mergeCell ref="P34:Q34"/>
    <mergeCell ref="I32:M32"/>
    <mergeCell ref="N32:O32"/>
    <mergeCell ref="N34:O34"/>
    <mergeCell ref="I34:M34"/>
  </mergeCells>
  <phoneticPr fontId="3" type="noConversion"/>
  <conditionalFormatting sqref="N26:O32">
    <cfRule type="cellIs" dxfId="13" priority="15" stopIfTrue="1" operator="equal">
      <formula>""</formula>
    </cfRule>
    <cfRule type="cellIs" dxfId="12" priority="16" stopIfTrue="1" operator="notEqual">
      <formula>""</formula>
    </cfRule>
  </conditionalFormatting>
  <conditionalFormatting sqref="I15">
    <cfRule type="cellIs" dxfId="11" priority="17" stopIfTrue="1" operator="equal">
      <formula>0</formula>
    </cfRule>
  </conditionalFormatting>
  <conditionalFormatting sqref="L2:S2">
    <cfRule type="cellIs" dxfId="10" priority="18" stopIfTrue="1" operator="equal">
      <formula>""</formula>
    </cfRule>
  </conditionalFormatting>
  <conditionalFormatting sqref="I26:M34">
    <cfRule type="cellIs" dxfId="9" priority="19" stopIfTrue="1" operator="equal">
      <formula>""</formula>
    </cfRule>
    <cfRule type="cellIs" dxfId="8" priority="20" stopIfTrue="1" operator="notEqual">
      <formula>""</formula>
    </cfRule>
  </conditionalFormatting>
  <conditionalFormatting sqref="I18:M18">
    <cfRule type="cellIs" dxfId="7" priority="12" operator="equal">
      <formula>"LIMITE HAUTE ATTEINTE !!!"</formula>
    </cfRule>
  </conditionalFormatting>
  <conditionalFormatting sqref="N22:O22">
    <cfRule type="cellIs" dxfId="6" priority="9" stopIfTrue="1" operator="notEqual">
      <formula>"/"</formula>
    </cfRule>
  </conditionalFormatting>
  <conditionalFormatting sqref="I22:M22">
    <cfRule type="cellIs" dxfId="5" priority="10" stopIfTrue="1" operator="equal">
      <formula>""</formula>
    </cfRule>
    <cfRule type="cellIs" dxfId="4" priority="11" stopIfTrue="1" operator="notEqual">
      <formula>""</formula>
    </cfRule>
  </conditionalFormatting>
  <conditionalFormatting sqref="N33:O34">
    <cfRule type="cellIs" dxfId="3" priority="3" stopIfTrue="1" operator="equal">
      <formula>""</formula>
    </cfRule>
    <cfRule type="cellIs" dxfId="2" priority="4" stopIfTrue="1" operator="notEqual">
      <formula>""</formula>
    </cfRule>
  </conditionalFormatting>
  <conditionalFormatting sqref="I25:M25">
    <cfRule type="cellIs" dxfId="1" priority="1" stopIfTrue="1" operator="equal">
      <formula>""</formula>
    </cfRule>
    <cfRule type="cellIs" dxfId="0" priority="2" stopIfTrue="1" operator="notEqual">
      <formula>""</formula>
    </cfRule>
  </conditionalFormatting>
  <dataValidations count="5">
    <dataValidation type="list" allowBlank="1" showInputMessage="1" showErrorMessage="1" sqref="I22:M22" xr:uid="{00000000-0002-0000-0200-000000000000}">
      <formula1>"/, 680000073 - OPTIMA VISION Protocole"</formula1>
    </dataValidation>
    <dataValidation type="list" allowBlank="1" showInputMessage="1" showErrorMessage="1" sqref="I26:M28" xr:uid="{00000000-0002-0000-0200-000001000000}">
      <formula1>"/,680000017 - Activa,680000021 - Resonance,Spécifique - Modbus Kepware"</formula1>
    </dataValidation>
    <dataValidation type="list" allowBlank="1" showInputMessage="1" showErrorMessage="1" sqref="I29:M31" xr:uid="{00000000-0002-0000-0200-000002000000}">
      <formula1>"/,690000017 - L-IP,680000085 - EASYLON PCI-E,690000034 - NIC-IP,690300002 ou 003 - Interface JBUS,690000932 - LON FO Anneau,690000933 - LON FO Pt à pt,690000936 - EDW-100,680000083 - NIC709-USB100,690000035 - Prolongateur DDW-120,Spécifique - Modem LS-RTC"</formula1>
    </dataValidation>
    <dataValidation type="list" allowBlank="1" showInputMessage="1" showErrorMessage="1" sqref="I32:M34" xr:uid="{00000000-0002-0000-0200-000003000000}">
      <formula1>"/,690000016 - L-SWITCH 5 ports,690000906 - L-SWITCH 3 ports,690000041 - Convert. L106-F2G FO"</formula1>
    </dataValidation>
    <dataValidation type="list" allowBlank="1" showInputMessage="1" showErrorMessage="1" sqref="I25:M25" xr:uid="{00000000-0002-0000-0200-000004000000}">
      <formula1>"/, 680000077 - Option ESPA 4.4.4."</formula1>
    </dataValidation>
  </dataValidations>
  <pageMargins left="0.39370078740157483" right="0.39370078740157483" top="0.39370078740157483" bottom="0.70866141732283472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3:E39"/>
  <sheetViews>
    <sheetView workbookViewId="0">
      <selection activeCell="B16" sqref="B16"/>
    </sheetView>
  </sheetViews>
  <sheetFormatPr baseColWidth="10" defaultRowHeight="12.75" x14ac:dyDescent="0.2"/>
  <cols>
    <col min="1" max="1" width="11.42578125" style="3"/>
    <col min="2" max="2" width="53.28515625" style="289" bestFit="1" customWidth="1"/>
    <col min="3" max="16384" width="11.42578125" style="3"/>
  </cols>
  <sheetData>
    <row r="3" spans="1:5" x14ac:dyDescent="0.2">
      <c r="A3" s="286" t="s">
        <v>152</v>
      </c>
      <c r="B3" s="287" t="s">
        <v>153</v>
      </c>
      <c r="C3" s="286"/>
      <c r="D3" s="286"/>
      <c r="E3" s="286" t="s">
        <v>158</v>
      </c>
    </row>
    <row r="4" spans="1:5" x14ac:dyDescent="0.2">
      <c r="A4" s="288">
        <v>4</v>
      </c>
      <c r="B4" s="289" t="s">
        <v>154</v>
      </c>
    </row>
    <row r="5" spans="1:5" x14ac:dyDescent="0.2">
      <c r="A5" s="288"/>
      <c r="B5" s="289" t="s">
        <v>155</v>
      </c>
    </row>
    <row r="6" spans="1:5" x14ac:dyDescent="0.2">
      <c r="A6" s="288"/>
      <c r="B6" s="290" t="s">
        <v>157</v>
      </c>
    </row>
    <row r="7" spans="1:5" ht="25.5" x14ac:dyDescent="0.2">
      <c r="A7" s="288"/>
      <c r="B7" s="290" t="s">
        <v>163</v>
      </c>
      <c r="E7" s="291"/>
    </row>
    <row r="8" spans="1:5" x14ac:dyDescent="0.2">
      <c r="A8" s="288"/>
      <c r="B8" s="290" t="s">
        <v>165</v>
      </c>
      <c r="E8" s="291"/>
    </row>
    <row r="9" spans="1:5" x14ac:dyDescent="0.2">
      <c r="A9" s="288"/>
      <c r="B9" s="290" t="s">
        <v>166</v>
      </c>
    </row>
    <row r="10" spans="1:5" ht="38.25" x14ac:dyDescent="0.2">
      <c r="A10" s="288"/>
      <c r="B10" s="290" t="s">
        <v>159</v>
      </c>
    </row>
    <row r="11" spans="1:5" x14ac:dyDescent="0.2">
      <c r="A11" s="288"/>
      <c r="B11" s="290" t="s">
        <v>168</v>
      </c>
    </row>
    <row r="12" spans="1:5" x14ac:dyDescent="0.2">
      <c r="A12" s="288"/>
      <c r="B12" s="290" t="s">
        <v>167</v>
      </c>
    </row>
    <row r="13" spans="1:5" x14ac:dyDescent="0.2">
      <c r="A13" s="288"/>
      <c r="B13" s="289" t="s">
        <v>169</v>
      </c>
    </row>
    <row r="14" spans="1:5" x14ac:dyDescent="0.2">
      <c r="A14" s="288"/>
    </row>
    <row r="15" spans="1:5" ht="51" x14ac:dyDescent="0.2">
      <c r="A15" s="288">
        <v>5</v>
      </c>
      <c r="B15" s="290" t="s">
        <v>178</v>
      </c>
    </row>
    <row r="16" spans="1:5" x14ac:dyDescent="0.2">
      <c r="A16" s="288">
        <v>6</v>
      </c>
      <c r="B16" s="3" t="s">
        <v>173</v>
      </c>
      <c r="E16" s="3" t="s">
        <v>160</v>
      </c>
    </row>
    <row r="17" spans="1:5" x14ac:dyDescent="0.2">
      <c r="A17" s="288"/>
      <c r="B17" s="3" t="s">
        <v>174</v>
      </c>
      <c r="E17" s="3" t="s">
        <v>172</v>
      </c>
    </row>
    <row r="18" spans="1:5" x14ac:dyDescent="0.2">
      <c r="A18" s="288"/>
      <c r="B18" s="3" t="s">
        <v>176</v>
      </c>
    </row>
    <row r="19" spans="1:5" x14ac:dyDescent="0.2">
      <c r="A19" s="288"/>
      <c r="B19" s="3" t="s">
        <v>175</v>
      </c>
    </row>
    <row r="20" spans="1:5" x14ac:dyDescent="0.2">
      <c r="A20" s="288"/>
    </row>
    <row r="21" spans="1:5" x14ac:dyDescent="0.2">
      <c r="A21" s="288"/>
    </row>
    <row r="22" spans="1:5" x14ac:dyDescent="0.2">
      <c r="A22" s="288"/>
    </row>
    <row r="23" spans="1:5" x14ac:dyDescent="0.2">
      <c r="A23" s="288"/>
    </row>
    <row r="24" spans="1:5" x14ac:dyDescent="0.2">
      <c r="A24" s="288"/>
    </row>
    <row r="25" spans="1:5" x14ac:dyDescent="0.2">
      <c r="A25" s="288"/>
    </row>
    <row r="26" spans="1:5" x14ac:dyDescent="0.2">
      <c r="A26" s="288"/>
    </row>
    <row r="27" spans="1:5" x14ac:dyDescent="0.2">
      <c r="A27" s="288"/>
    </row>
    <row r="28" spans="1:5" x14ac:dyDescent="0.2">
      <c r="A28" s="288"/>
    </row>
    <row r="29" spans="1:5" x14ac:dyDescent="0.2">
      <c r="A29" s="288"/>
    </row>
    <row r="30" spans="1:5" x14ac:dyDescent="0.2">
      <c r="A30" s="288"/>
    </row>
    <row r="31" spans="1:5" x14ac:dyDescent="0.2">
      <c r="A31" s="288"/>
    </row>
    <row r="32" spans="1:5" x14ac:dyDescent="0.2">
      <c r="A32" s="288"/>
    </row>
    <row r="33" spans="1:1" x14ac:dyDescent="0.2">
      <c r="A33" s="288"/>
    </row>
    <row r="34" spans="1:1" x14ac:dyDescent="0.2">
      <c r="A34" s="288"/>
    </row>
    <row r="35" spans="1:1" x14ac:dyDescent="0.2">
      <c r="A35" s="288"/>
    </row>
    <row r="36" spans="1:1" x14ac:dyDescent="0.2">
      <c r="A36" s="288"/>
    </row>
    <row r="37" spans="1:1" x14ac:dyDescent="0.2">
      <c r="A37" s="288"/>
    </row>
    <row r="38" spans="1:1" x14ac:dyDescent="0.2">
      <c r="A38" s="288"/>
    </row>
    <row r="39" spans="1:1" x14ac:dyDescent="0.2">
      <c r="A39" s="28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DCEF482C74DD4CB78660408107FA76" ma:contentTypeVersion="8" ma:contentTypeDescription="Create a new document." ma:contentTypeScope="" ma:versionID="e91cd0433d3c1282a67a5dbd5ae07021">
  <xsd:schema xmlns:xsd="http://www.w3.org/2001/XMLSchema" xmlns:xs="http://www.w3.org/2001/XMLSchema" xmlns:p="http://schemas.microsoft.com/office/2006/metadata/properties" xmlns:ns2="049443af-b010-42a5-8d24-a58107f12bd7" xmlns:ns3="9ef99c3f-a73f-4fdd-9419-2b9ebad338af" targetNamespace="http://schemas.microsoft.com/office/2006/metadata/properties" ma:root="true" ma:fieldsID="ddff054d90e02009190b8200ebe73c2b" ns2:_="" ns3:_="">
    <xsd:import namespace="049443af-b010-42a5-8d24-a58107f12bd7"/>
    <xsd:import namespace="9ef99c3f-a73f-4fdd-9419-2b9ebad338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443af-b010-42a5-8d24-a58107f12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99c3f-a73f-4fdd-9419-2b9ebad338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53A336-5DD0-4AF4-8359-074861830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6495BC1-BA86-4C67-998B-7E1ABB7877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018CDA-5FDF-4F81-838F-567D5F6791E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Instruction</vt:lpstr>
      <vt:lpstr>Besoin</vt:lpstr>
      <vt:lpstr>Calcul</vt:lpstr>
      <vt:lpstr>Evolution</vt:lpstr>
      <vt:lpstr>Besoin!Zone_d_impression</vt:lpstr>
      <vt:lpstr>Instruction!Zone_d_impression</vt:lpstr>
    </vt:vector>
  </TitlesOfParts>
  <Company>CHUBB SECURITE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bruno.chapuis</dc:creator>
  <cp:lastModifiedBy>Rhie, Olivier</cp:lastModifiedBy>
  <cp:lastPrinted>2015-07-30T15:29:35Z</cp:lastPrinted>
  <dcterms:created xsi:type="dcterms:W3CDTF">2010-06-25T07:55:37Z</dcterms:created>
  <dcterms:modified xsi:type="dcterms:W3CDTF">2022-04-15T08:16:06Z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0x01010080DCEF482C74DD4CB78660408107FA76</vt:lpwstr>
  </property>
</Properties>
</file>