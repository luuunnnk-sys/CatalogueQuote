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55" windowWidth="19440" windowHeight="7365"/>
  </bookViews>
  <sheets>
    <sheet name="Kit Travail Hauteur" sheetId="1" r:id="rId1"/>
    <sheet name="Eqpt Hauteur" sheetId="3" r:id="rId2"/>
    <sheet name="Eqpt Divers" sheetId="4" r:id="rId3"/>
    <sheet name="Eqpt rebuté" sheetId="6" r:id="rId4"/>
  </sheets>
  <calcPr calcId="145621"/>
</workbook>
</file>

<file path=xl/calcChain.xml><?xml version="1.0" encoding="utf-8"?>
<calcChain xmlns="http://schemas.openxmlformats.org/spreadsheetml/2006/main">
  <c r="F18" i="1" l="1"/>
  <c r="F28" i="1"/>
  <c r="F29" i="1"/>
  <c r="F30" i="1"/>
  <c r="F31" i="1"/>
  <c r="F32" i="1"/>
  <c r="F33" i="1"/>
  <c r="F34" i="1"/>
  <c r="F27" i="1"/>
  <c r="F37" i="1"/>
  <c r="F38" i="1"/>
  <c r="F39" i="1"/>
  <c r="F40" i="1"/>
  <c r="F41" i="1"/>
  <c r="F42" i="1"/>
  <c r="F43" i="1"/>
  <c r="F36" i="1"/>
  <c r="F46" i="1"/>
  <c r="F47" i="1"/>
  <c r="F48" i="1"/>
  <c r="F49" i="1"/>
  <c r="F50" i="1"/>
  <c r="F51" i="1"/>
  <c r="F52" i="1"/>
  <c r="F45" i="1"/>
  <c r="F55" i="1"/>
  <c r="F56" i="1"/>
  <c r="F57" i="1"/>
  <c r="F58" i="1"/>
  <c r="F59" i="1"/>
  <c r="F60" i="1"/>
  <c r="F61" i="1"/>
  <c r="F54" i="1"/>
  <c r="F64" i="1"/>
  <c r="F65" i="1"/>
  <c r="F66" i="1"/>
  <c r="F67" i="1"/>
  <c r="F68" i="1"/>
  <c r="F69" i="1"/>
  <c r="F70" i="1"/>
  <c r="F63" i="1"/>
  <c r="F73" i="1"/>
  <c r="F74" i="1"/>
  <c r="F75" i="1"/>
  <c r="F76" i="1"/>
  <c r="F77" i="1"/>
  <c r="F78" i="1"/>
  <c r="F79" i="1"/>
  <c r="F72" i="1"/>
  <c r="F82" i="1"/>
  <c r="F83" i="1"/>
  <c r="F84" i="1"/>
  <c r="F85" i="1"/>
  <c r="F86" i="1"/>
  <c r="F87" i="1"/>
  <c r="F88" i="1"/>
  <c r="F81" i="1"/>
  <c r="F97" i="1"/>
  <c r="F91" i="1"/>
  <c r="F92" i="1"/>
  <c r="F93" i="1"/>
  <c r="F94" i="1"/>
  <c r="F95" i="1"/>
  <c r="F96" i="1"/>
  <c r="F90" i="1"/>
  <c r="F19" i="1"/>
  <c r="F20" i="1"/>
  <c r="F21" i="1"/>
  <c r="F22" i="1"/>
  <c r="F23" i="1"/>
  <c r="F24" i="1"/>
  <c r="F25" i="1"/>
  <c r="F10" i="1"/>
  <c r="F11" i="1"/>
  <c r="F12" i="1"/>
  <c r="F13" i="1"/>
  <c r="F14" i="1"/>
  <c r="F15" i="1"/>
  <c r="F16" i="1"/>
  <c r="F9" i="1"/>
  <c r="M89" i="1"/>
  <c r="M80" i="1"/>
  <c r="M71" i="1"/>
  <c r="M62" i="1"/>
  <c r="M53" i="1"/>
  <c r="M44" i="1"/>
  <c r="M35" i="1"/>
  <c r="M26" i="1"/>
  <c r="M17" i="1"/>
  <c r="M8" i="1"/>
  <c r="L44" i="3" l="1"/>
  <c r="L45" i="3"/>
  <c r="L46" i="3"/>
  <c r="L47" i="3"/>
  <c r="L48" i="3"/>
  <c r="L49" i="3"/>
  <c r="L50" i="3"/>
  <c r="L51" i="3"/>
  <c r="L52" i="3"/>
  <c r="K22" i="4" l="1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B4" i="4"/>
  <c r="L10" i="3"/>
  <c r="B4" i="3"/>
  <c r="B4" i="1"/>
  <c r="K21" i="4" l="1"/>
  <c r="K20" i="4"/>
  <c r="K11" i="4" l="1"/>
  <c r="K12" i="4"/>
  <c r="K13" i="4"/>
  <c r="K14" i="4"/>
  <c r="K15" i="4"/>
  <c r="K16" i="4"/>
  <c r="K17" i="4"/>
  <c r="K18" i="4"/>
  <c r="K19" i="4"/>
  <c r="K10" i="4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53" i="3"/>
  <c r="L54" i="3"/>
  <c r="L11" i="3"/>
  <c r="L12" i="3"/>
  <c r="L13" i="3"/>
  <c r="L14" i="3"/>
  <c r="L15" i="3"/>
  <c r="L16" i="3"/>
  <c r="L17" i="3"/>
  <c r="L18" i="3"/>
  <c r="L19" i="3"/>
</calcChain>
</file>

<file path=xl/comments1.xml><?xml version="1.0" encoding="utf-8"?>
<comments xmlns="http://schemas.openxmlformats.org/spreadsheetml/2006/main">
  <authors>
    <author>B.DUDEK</author>
  </authors>
  <commentList>
    <comment ref="O7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Si existante
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Insérer le nom UNIQUEMENT dans cette ligne
</t>
        </r>
      </text>
    </comment>
    <comment ref="F17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Insérer le nom UNIQUEMENT dans cette ligne
</t>
        </r>
      </text>
    </comment>
    <comment ref="F26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Insérer le nom UNIQUEMENT dans cette ligne
</t>
        </r>
      </text>
    </comment>
    <comment ref="F35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Insérer le nom UNIQUEMENT dans cette ligne
</t>
        </r>
      </text>
    </comment>
    <comment ref="F44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Insérer le nom UNIQUEMENT dans cette ligne
</t>
        </r>
      </text>
    </comment>
    <comment ref="F53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Insérer le nom UNIQUEMENT dans cette ligne
</t>
        </r>
      </text>
    </comment>
    <comment ref="F62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Insérer le nom UNIQUEMENT dans cette ligne
</t>
        </r>
      </text>
    </comment>
    <comment ref="F71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Insérer le nom UNIQUEMENT dans cette ligne
</t>
        </r>
      </text>
    </comment>
    <comment ref="F80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Insérer le nom UNIQUEMENT dans cette ligne
</t>
        </r>
      </text>
    </comment>
    <comment ref="F89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Insérer le nom UNIQUEMENT dans cette ligne
</t>
        </r>
      </text>
    </comment>
  </commentList>
</comments>
</file>

<file path=xl/comments2.xml><?xml version="1.0" encoding="utf-8"?>
<comments xmlns="http://schemas.openxmlformats.org/spreadsheetml/2006/main">
  <authors>
    <author>B.DUDEK</author>
  </authors>
  <commentList>
    <comment ref="C9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Si existant
</t>
        </r>
      </text>
    </comment>
  </commentList>
</comments>
</file>

<file path=xl/comments3.xml><?xml version="1.0" encoding="utf-8"?>
<comments xmlns="http://schemas.openxmlformats.org/spreadsheetml/2006/main">
  <authors>
    <author>B.DUDEK</author>
  </authors>
  <commentList>
    <comment ref="C9" authorId="0">
      <text>
        <r>
          <rPr>
            <b/>
            <sz val="9"/>
            <color indexed="81"/>
            <rFont val="Tahoma"/>
            <family val="2"/>
          </rPr>
          <t>B.DUDEK:</t>
        </r>
        <r>
          <rPr>
            <sz val="9"/>
            <color indexed="81"/>
            <rFont val="Tahoma"/>
            <family val="2"/>
          </rPr>
          <t xml:space="preserve">
Si existant
</t>
        </r>
      </text>
    </comment>
  </commentList>
</comments>
</file>

<file path=xl/sharedStrings.xml><?xml version="1.0" encoding="utf-8"?>
<sst xmlns="http://schemas.openxmlformats.org/spreadsheetml/2006/main" count="293" uniqueCount="67">
  <si>
    <r>
      <rPr>
        <b/>
        <sz val="20"/>
        <color theme="1"/>
        <rFont val="Calibri"/>
        <family val="2"/>
        <scheme val="minor"/>
      </rPr>
      <t>Tableau de suivi des équipements</t>
    </r>
    <r>
      <rPr>
        <sz val="20"/>
        <color theme="1"/>
        <rFont val="Calibri"/>
        <family val="2"/>
        <scheme val="minor"/>
      </rPr>
      <t xml:space="preserve"> - Kit Travail en Hauteur</t>
    </r>
  </si>
  <si>
    <r>
      <rPr>
        <b/>
        <sz val="11"/>
        <color theme="1"/>
        <rFont val="Calibri"/>
        <family val="2"/>
        <scheme val="minor"/>
      </rPr>
      <t>Règle d'identification</t>
    </r>
    <r>
      <rPr>
        <sz val="11"/>
        <color theme="1"/>
        <rFont val="Calibri"/>
        <family val="2"/>
        <scheme val="minor"/>
      </rPr>
      <t xml:space="preserve"> : chaque kit travail en hauteur doit être identifié et atttribué à un technicien. L'identification doit se faire de la manière suivante : KTH + N°ordre</t>
    </r>
  </si>
  <si>
    <t>Identification du kit</t>
  </si>
  <si>
    <t>KTH</t>
  </si>
  <si>
    <t>Longe simple sans absorbeur</t>
  </si>
  <si>
    <t>Longe double avec absorbeur</t>
  </si>
  <si>
    <t>Longe simple avec absorbeur</t>
  </si>
  <si>
    <t>Sangles d'ammarage</t>
  </si>
  <si>
    <t>Sac de rangement</t>
  </si>
  <si>
    <t>Mousquetons</t>
  </si>
  <si>
    <t>Attribué à :</t>
  </si>
  <si>
    <t>Harnais de sécurité</t>
  </si>
  <si>
    <t>Autre :</t>
  </si>
  <si>
    <t>Eléments Présents dans kit</t>
  </si>
  <si>
    <t>X</t>
  </si>
  <si>
    <t>N° de série</t>
  </si>
  <si>
    <t>Date de péremption</t>
  </si>
  <si>
    <r>
      <rPr>
        <b/>
        <sz val="11"/>
        <color theme="1"/>
        <rFont val="Calibri"/>
        <family val="2"/>
        <scheme val="minor"/>
      </rPr>
      <t>Règle d'identification</t>
    </r>
    <r>
      <rPr>
        <sz val="11"/>
        <color theme="1"/>
        <rFont val="Calibri"/>
        <family val="2"/>
        <scheme val="minor"/>
      </rPr>
      <t xml:space="preserve"> : chaque équipement doit être identifié</t>
    </r>
  </si>
  <si>
    <r>
      <rPr>
        <b/>
        <sz val="11"/>
        <color theme="1"/>
        <rFont val="Calibri"/>
        <family val="2"/>
        <scheme val="minor"/>
      </rPr>
      <t>Pour les échelles</t>
    </r>
    <r>
      <rPr>
        <sz val="11"/>
        <color theme="1"/>
        <rFont val="Calibri"/>
        <family val="2"/>
        <scheme val="minor"/>
      </rPr>
      <t xml:space="preserve"> : ECH+n°ordre / </t>
    </r>
    <r>
      <rPr>
        <b/>
        <sz val="11"/>
        <color theme="1"/>
        <rFont val="Calibri"/>
        <family val="2"/>
        <scheme val="minor"/>
      </rPr>
      <t>Pour les escabeaux</t>
    </r>
    <r>
      <rPr>
        <sz val="11"/>
        <color theme="1"/>
        <rFont val="Calibri"/>
        <family val="2"/>
        <scheme val="minor"/>
      </rPr>
      <t xml:space="preserve"> : ESC+n°ordre / </t>
    </r>
    <r>
      <rPr>
        <b/>
        <sz val="11"/>
        <color theme="1"/>
        <rFont val="Calibri"/>
        <family val="2"/>
        <scheme val="minor"/>
      </rPr>
      <t>Pour les PIR</t>
    </r>
    <r>
      <rPr>
        <sz val="11"/>
        <color theme="1"/>
        <rFont val="Calibri"/>
        <family val="2"/>
        <scheme val="minor"/>
      </rPr>
      <t xml:space="preserve"> : PIR+n°ordre / </t>
    </r>
    <r>
      <rPr>
        <b/>
        <sz val="11"/>
        <color theme="1"/>
        <rFont val="Calibri"/>
        <family val="2"/>
        <scheme val="minor"/>
      </rPr>
      <t>Pour les DIF</t>
    </r>
    <r>
      <rPr>
        <sz val="11"/>
        <color theme="1"/>
        <rFont val="Calibri"/>
        <family val="2"/>
        <scheme val="minor"/>
      </rPr>
      <t xml:space="preserve"> : DIF+n°ordre </t>
    </r>
  </si>
  <si>
    <r>
      <rPr>
        <b/>
        <sz val="20"/>
        <color theme="1"/>
        <rFont val="Calibri"/>
        <family val="2"/>
        <scheme val="minor"/>
      </rPr>
      <t>Tableau de suivi des équipements</t>
    </r>
    <r>
      <rPr>
        <sz val="20"/>
        <color theme="1"/>
        <rFont val="Calibri"/>
        <family val="2"/>
        <scheme val="minor"/>
      </rPr>
      <t xml:space="preserve"> - Equipements d'accès</t>
    </r>
  </si>
  <si>
    <t>Equipement</t>
  </si>
  <si>
    <t>Identification</t>
  </si>
  <si>
    <t>Attribué à</t>
  </si>
  <si>
    <t>Date de prochain contrôle</t>
  </si>
  <si>
    <t>Echelles</t>
  </si>
  <si>
    <t>Escabeaux</t>
  </si>
  <si>
    <t>Plateformes Individuelles Roulantes</t>
  </si>
  <si>
    <t>Dispositifs d'Interventions en façade</t>
  </si>
  <si>
    <t>Echafaudages</t>
  </si>
  <si>
    <t>Nacelles</t>
  </si>
  <si>
    <t>Aerostep</t>
  </si>
  <si>
    <r>
      <t xml:space="preserve">Pour les aérosteps : </t>
    </r>
    <r>
      <rPr>
        <sz val="11"/>
        <color theme="1"/>
        <rFont val="Calibri"/>
        <family val="2"/>
        <scheme val="minor"/>
      </rPr>
      <t xml:space="preserve">AER+n°ordre / </t>
    </r>
    <r>
      <rPr>
        <b/>
        <sz val="11"/>
        <color theme="1"/>
        <rFont val="Calibri"/>
        <family val="2"/>
        <scheme val="minor"/>
      </rPr>
      <t>Pour les échafaudages :</t>
    </r>
    <r>
      <rPr>
        <sz val="11"/>
        <color theme="1"/>
        <rFont val="Calibri"/>
        <family val="2"/>
        <scheme val="minor"/>
      </rPr>
      <t xml:space="preserve"> ECF+n°ordre / </t>
    </r>
    <r>
      <rPr>
        <b/>
        <sz val="11"/>
        <color theme="1"/>
        <rFont val="Calibri"/>
        <family val="2"/>
        <scheme val="minor"/>
      </rPr>
      <t>Pour les nacelles :</t>
    </r>
    <r>
      <rPr>
        <sz val="11"/>
        <color theme="1"/>
        <rFont val="Calibri"/>
        <family val="2"/>
        <scheme val="minor"/>
      </rPr>
      <t xml:space="preserve"> NAC+n°ordre</t>
    </r>
  </si>
  <si>
    <r>
      <rPr>
        <b/>
        <sz val="20"/>
        <color theme="1"/>
        <rFont val="Calibri"/>
        <family val="2"/>
        <scheme val="minor"/>
      </rPr>
      <t>Tableau de suivi des équipements</t>
    </r>
    <r>
      <rPr>
        <sz val="20"/>
        <color theme="1"/>
        <rFont val="Calibri"/>
        <family val="2"/>
        <scheme val="minor"/>
      </rPr>
      <t xml:space="preserve"> - Equipements communs</t>
    </r>
  </si>
  <si>
    <t>Perforateurs</t>
  </si>
  <si>
    <t>Perceuses
Visseuses</t>
  </si>
  <si>
    <t>Rallonges Electriques</t>
  </si>
  <si>
    <t>Compresseurs</t>
  </si>
  <si>
    <r>
      <rPr>
        <b/>
        <sz val="11"/>
        <color theme="1"/>
        <rFont val="Calibri"/>
        <family val="2"/>
        <scheme val="minor"/>
      </rPr>
      <t>Pour les perforateurs</t>
    </r>
    <r>
      <rPr>
        <sz val="11"/>
        <color theme="1"/>
        <rFont val="Calibri"/>
        <family val="2"/>
        <scheme val="minor"/>
      </rPr>
      <t xml:space="preserve"> : PERF+n°ordre / </t>
    </r>
    <r>
      <rPr>
        <b/>
        <sz val="11"/>
        <color theme="1"/>
        <rFont val="Calibri"/>
        <family val="2"/>
        <scheme val="minor"/>
      </rPr>
      <t>Pour les perceuses-visseuses</t>
    </r>
    <r>
      <rPr>
        <sz val="11"/>
        <color theme="1"/>
        <rFont val="Calibri"/>
        <family val="2"/>
        <scheme val="minor"/>
      </rPr>
      <t xml:space="preserve"> : PERC+n°ordre </t>
    </r>
  </si>
  <si>
    <t>VAT</t>
  </si>
  <si>
    <t>Multimètres</t>
  </si>
  <si>
    <r>
      <rPr>
        <b/>
        <sz val="11"/>
        <color theme="1"/>
        <rFont val="Calibri"/>
        <family val="2"/>
        <scheme val="minor"/>
      </rPr>
      <t>Pour les Rallonges</t>
    </r>
    <r>
      <rPr>
        <sz val="11"/>
        <color theme="1"/>
        <rFont val="Calibri"/>
        <family val="2"/>
        <scheme val="minor"/>
      </rPr>
      <t xml:space="preserve"> : RAL+n°ordre / </t>
    </r>
    <r>
      <rPr>
        <b/>
        <sz val="11"/>
        <color theme="1"/>
        <rFont val="Calibri"/>
        <family val="2"/>
        <scheme val="minor"/>
      </rPr>
      <t>Pour les compresseurs</t>
    </r>
    <r>
      <rPr>
        <sz val="11"/>
        <color theme="1"/>
        <rFont val="Calibri"/>
        <family val="2"/>
        <scheme val="minor"/>
      </rPr>
      <t xml:space="preserve"> : COMP+n°ordre / </t>
    </r>
    <r>
      <rPr>
        <b/>
        <sz val="11"/>
        <color theme="1"/>
        <rFont val="Calibri"/>
        <family val="2"/>
        <scheme val="minor"/>
      </rPr>
      <t>Pour les VAT</t>
    </r>
    <r>
      <rPr>
        <sz val="11"/>
        <color theme="1"/>
        <rFont val="Calibri"/>
        <family val="2"/>
        <scheme val="minor"/>
      </rPr>
      <t xml:space="preserve"> : VAT+n°ordre / </t>
    </r>
    <r>
      <rPr>
        <b/>
        <sz val="11"/>
        <color theme="1"/>
        <rFont val="Calibri"/>
        <family val="2"/>
        <scheme val="minor"/>
      </rPr>
      <t>Pour les multimètres</t>
    </r>
    <r>
      <rPr>
        <sz val="11"/>
        <color theme="1"/>
        <rFont val="Calibri"/>
        <family val="2"/>
        <scheme val="minor"/>
      </rPr>
      <t xml:space="preserve"> : MULTI+n°ordre</t>
    </r>
  </si>
  <si>
    <t>Date :</t>
  </si>
  <si>
    <t>Résultats du dernier contrôle</t>
  </si>
  <si>
    <t>OK</t>
  </si>
  <si>
    <t>A rebuter</t>
  </si>
  <si>
    <t>Autre</t>
  </si>
  <si>
    <t>INSCRIRE L'ELEMENT A DETRUIRE DANS L'ONGLET "Eqpt rebuté" LORSQUE CET ELEMENT EST REMPLACE PAR UN NOUVEAU
INSCRIRE LE N° DE SERIE ET LA DATE DE PEREMPTION DU NOUVEL EQUIPEMENT EN REMPLACEMENT DE L'ANCIEN ET CHANGER LE RESULTAT EN "OK"</t>
  </si>
  <si>
    <t>INSCRIRE L'ELEMENT A DETRUIRE DANS L'ONGLET "Eqpt rebuté" LORSQUE CET ELEMENT EST REMPLACE PAR UN NOUVEAU
INSCRIRE LE N° DE SERIE ET LA DATE DE PEREMPTION DU NOUVEL EQUIPEMENT EN REMPLACEMENT DE L'ANCIEN ET CHANGER LE RESULTAT EN "OK"</t>
  </si>
  <si>
    <t>Echelle</t>
  </si>
  <si>
    <t>Escabeau</t>
  </si>
  <si>
    <t>PIR</t>
  </si>
  <si>
    <t>DIF</t>
  </si>
  <si>
    <t>Echafaudage</t>
  </si>
  <si>
    <t>Nacelle</t>
  </si>
  <si>
    <t>Perforateur</t>
  </si>
  <si>
    <t>Perceuse</t>
  </si>
  <si>
    <t>Visseuse</t>
  </si>
  <si>
    <t>Multimètre</t>
  </si>
  <si>
    <t>Rallonge elec</t>
  </si>
  <si>
    <t>Compresseur</t>
  </si>
  <si>
    <t>Liste des équipements rebutés</t>
  </si>
  <si>
    <t>Type d'équipement</t>
  </si>
  <si>
    <t>Date de mise au rebut</t>
  </si>
  <si>
    <t>L'équipement était attribué à</t>
  </si>
  <si>
    <t>Date de mise en service</t>
  </si>
  <si>
    <t>Date du prochain contrôle kit</t>
  </si>
  <si>
    <t>FOR FS 25 - Version 2 du 29/05/2018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</si>
</sst>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5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8"/>
      <color theme="1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0" xfId="0" applyFont="1"/>
    <xf numFmtId="0" fontId="6" fillId="2" borderId="15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3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left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14" fontId="2" fillId="0" borderId="43" xfId="0" applyNumberFormat="1" applyFont="1" applyBorder="1" applyAlignment="1">
      <alignment horizontal="center" vertical="center" wrapText="1"/>
    </xf>
    <xf numFmtId="14" fontId="2" fillId="0" borderId="44" xfId="0" applyNumberFormat="1" applyFont="1" applyBorder="1" applyAlignment="1">
      <alignment horizontal="center" vertical="center" wrapText="1"/>
    </xf>
    <xf numFmtId="14" fontId="2" fillId="0" borderId="4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14" fontId="2" fillId="0" borderId="47" xfId="0" applyNumberFormat="1" applyFont="1" applyBorder="1" applyAlignment="1">
      <alignment horizontal="center" vertical="center" wrapText="1"/>
    </xf>
    <xf numFmtId="14" fontId="2" fillId="0" borderId="48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14" fontId="2" fillId="0" borderId="23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14" fontId="2" fillId="0" borderId="25" xfId="0" applyNumberFormat="1" applyFont="1" applyBorder="1" applyAlignment="1">
      <alignment horizontal="center" vertical="center" wrapText="1"/>
    </xf>
    <xf numFmtId="0" fontId="1" fillId="0" borderId="54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14" fontId="2" fillId="0" borderId="19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54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14" fontId="2" fillId="0" borderId="33" xfId="0" applyNumberFormat="1" applyFont="1" applyBorder="1" applyAlignment="1">
      <alignment horizontal="center" vertical="center" wrapText="1"/>
    </xf>
    <xf numFmtId="14" fontId="2" fillId="0" borderId="54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left"/>
    </xf>
    <xf numFmtId="0" fontId="6" fillId="2" borderId="55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5" fillId="0" borderId="1" xfId="0" applyFont="1" applyBorder="1" applyAlignment="1">
      <alignment horizontal="right" wrapText="1"/>
    </xf>
  </cellXfs>
  <cellStyles count="1">
    <cellStyle name="Normal" xfId="0" builtinId="0"/>
  </cellStyles>
  <dxfs count="179"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ill>
        <patternFill patternType="lightDown"/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1003540</xdr:colOff>
      <xdr:row>1</xdr:row>
      <xdr:rowOff>390112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3375"/>
          <a:ext cx="4784965" cy="3901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323850</xdr:rowOff>
    </xdr:from>
    <xdr:to>
      <xdr:col>3</xdr:col>
      <xdr:colOff>793990</xdr:colOff>
      <xdr:row>1</xdr:row>
      <xdr:rowOff>380587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23850"/>
          <a:ext cx="4784965" cy="3901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323850</xdr:rowOff>
    </xdr:from>
    <xdr:to>
      <xdr:col>3</xdr:col>
      <xdr:colOff>927340</xdr:colOff>
      <xdr:row>1</xdr:row>
      <xdr:rowOff>380587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3850"/>
          <a:ext cx="4784965" cy="3901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76200</xdr:rowOff>
    </xdr:from>
    <xdr:to>
      <xdr:col>2</xdr:col>
      <xdr:colOff>590551</xdr:colOff>
      <xdr:row>1</xdr:row>
      <xdr:rowOff>379059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409575"/>
          <a:ext cx="3714750" cy="302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97"/>
  <sheetViews>
    <sheetView tabSelected="1" workbookViewId="0">
      <pane ySplit="7" topLeftCell="A8" activePane="bottomLeft" state="frozenSplit"/>
      <selection pane="bottomLeft" activeCell="R16" sqref="R16"/>
    </sheetView>
  </sheetViews>
  <sheetFormatPr baseColWidth="10" defaultRowHeight="15" x14ac:dyDescent="0.25"/>
  <cols>
    <col min="1" max="1" width="6.375" style="1" customWidth="1"/>
    <col min="2" max="2" width="4.125" style="1" customWidth="1"/>
    <col min="3" max="3" width="2.875" style="1" customWidth="1"/>
    <col min="4" max="4" width="18.25" style="1" bestFit="1" customWidth="1"/>
    <col min="5" max="5" width="18" style="1" customWidth="1"/>
    <col min="6" max="6" width="16.5" style="1" customWidth="1"/>
    <col min="7" max="7" width="9.625" style="1" customWidth="1"/>
    <col min="8" max="12" width="7.875" style="1" customWidth="1"/>
    <col min="13" max="15" width="10.75" style="1" customWidth="1"/>
    <col min="16" max="16" width="10.125" style="1" customWidth="1"/>
    <col min="17" max="16384" width="11" style="1"/>
  </cols>
  <sheetData>
    <row r="1" spans="1:19" ht="26.25" x14ac:dyDescent="0.4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9" ht="31.5" customHeight="1" thickBot="1" x14ac:dyDescent="0.3">
      <c r="A2" s="136" t="s">
        <v>66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</row>
    <row r="3" spans="1:19" ht="5.0999999999999996" customHeight="1" x14ac:dyDescent="0.25"/>
    <row r="4" spans="1:19" ht="15" customHeight="1" x14ac:dyDescent="0.25">
      <c r="A4" s="18" t="s">
        <v>41</v>
      </c>
      <c r="B4" s="139">
        <f ca="1">TODAY()</f>
        <v>43343</v>
      </c>
      <c r="C4" s="139"/>
      <c r="D4" s="139"/>
      <c r="E4" s="139"/>
      <c r="F4" s="139"/>
      <c r="G4" s="83"/>
    </row>
    <row r="5" spans="1:19" ht="15" customHeight="1" x14ac:dyDescent="0.25">
      <c r="A5" s="1" t="s">
        <v>1</v>
      </c>
    </row>
    <row r="6" spans="1:19" ht="5.0999999999999996" customHeight="1" thickBot="1" x14ac:dyDescent="0.3"/>
    <row r="7" spans="1:19" s="2" customFormat="1" ht="23.25" thickBot="1" x14ac:dyDescent="0.25">
      <c r="A7" s="137" t="s">
        <v>2</v>
      </c>
      <c r="B7" s="138"/>
      <c r="C7" s="140" t="s">
        <v>13</v>
      </c>
      <c r="D7" s="141"/>
      <c r="E7" s="82" t="s">
        <v>15</v>
      </c>
      <c r="F7" s="6" t="s">
        <v>10</v>
      </c>
      <c r="G7" s="100" t="s">
        <v>64</v>
      </c>
      <c r="H7" s="82">
        <v>2017</v>
      </c>
      <c r="I7" s="99">
        <v>2018</v>
      </c>
      <c r="J7" s="82">
        <v>2019</v>
      </c>
      <c r="K7" s="99">
        <v>2020</v>
      </c>
      <c r="L7" s="82">
        <v>2021</v>
      </c>
      <c r="M7" s="6" t="s">
        <v>65</v>
      </c>
      <c r="N7" s="81" t="s">
        <v>42</v>
      </c>
      <c r="O7" s="6" t="s">
        <v>16</v>
      </c>
    </row>
    <row r="8" spans="1:19" s="3" customFormat="1" ht="15" customHeight="1" x14ac:dyDescent="0.2">
      <c r="A8" s="113" t="s">
        <v>3</v>
      </c>
      <c r="B8" s="116">
        <v>1</v>
      </c>
      <c r="C8" s="23" t="s">
        <v>14</v>
      </c>
      <c r="D8" s="42" t="s">
        <v>11</v>
      </c>
      <c r="E8" s="8"/>
      <c r="F8" s="109"/>
      <c r="G8" s="119"/>
      <c r="H8" s="122"/>
      <c r="I8" s="122"/>
      <c r="J8" s="122"/>
      <c r="K8" s="122"/>
      <c r="L8" s="122"/>
      <c r="M8" s="125" t="str">
        <f>IF(H8&lt;&gt;"",H8+364,IF(I8&lt;&gt;"",I8+364,IF(J8&lt;&gt;"",J8+365,IF(K8&lt;&gt;"",K8+364,IF(L8&lt;&gt;"",L8+364,"")))))</f>
        <v/>
      </c>
      <c r="N8" s="41"/>
      <c r="O8" s="9"/>
      <c r="P8" s="142" t="s">
        <v>46</v>
      </c>
      <c r="Q8" s="142"/>
    </row>
    <row r="9" spans="1:19" s="3" customFormat="1" ht="15" customHeight="1" x14ac:dyDescent="0.2">
      <c r="A9" s="114"/>
      <c r="B9" s="117"/>
      <c r="C9" s="24" t="s">
        <v>14</v>
      </c>
      <c r="D9" s="39" t="s">
        <v>4</v>
      </c>
      <c r="E9" s="5"/>
      <c r="F9" s="110">
        <f>$F$8</f>
        <v>0</v>
      </c>
      <c r="G9" s="120"/>
      <c r="H9" s="123"/>
      <c r="I9" s="123"/>
      <c r="J9" s="123"/>
      <c r="K9" s="123"/>
      <c r="L9" s="123"/>
      <c r="M9" s="126"/>
      <c r="N9" s="46"/>
      <c r="O9" s="10"/>
      <c r="P9" s="142"/>
      <c r="Q9" s="142"/>
      <c r="S9" s="3" t="s">
        <v>43</v>
      </c>
    </row>
    <row r="10" spans="1:19" s="3" customFormat="1" ht="15" customHeight="1" x14ac:dyDescent="0.2">
      <c r="A10" s="114"/>
      <c r="B10" s="117"/>
      <c r="C10" s="24" t="s">
        <v>14</v>
      </c>
      <c r="D10" s="39" t="s">
        <v>6</v>
      </c>
      <c r="E10" s="5"/>
      <c r="F10" s="110">
        <f t="shared" ref="F10:F16" si="0">$F$8</f>
        <v>0</v>
      </c>
      <c r="G10" s="120"/>
      <c r="H10" s="123"/>
      <c r="I10" s="123"/>
      <c r="J10" s="123"/>
      <c r="K10" s="123"/>
      <c r="L10" s="123"/>
      <c r="M10" s="126"/>
      <c r="N10" s="46"/>
      <c r="O10" s="10"/>
      <c r="P10" s="142"/>
      <c r="Q10" s="142"/>
      <c r="S10" s="3" t="s">
        <v>44</v>
      </c>
    </row>
    <row r="11" spans="1:19" s="3" customFormat="1" ht="15" customHeight="1" x14ac:dyDescent="0.2">
      <c r="A11" s="114"/>
      <c r="B11" s="117"/>
      <c r="C11" s="24" t="s">
        <v>14</v>
      </c>
      <c r="D11" s="39" t="s">
        <v>5</v>
      </c>
      <c r="E11" s="5"/>
      <c r="F11" s="110">
        <f t="shared" si="0"/>
        <v>0</v>
      </c>
      <c r="G11" s="120"/>
      <c r="H11" s="123"/>
      <c r="I11" s="123"/>
      <c r="J11" s="123"/>
      <c r="K11" s="123"/>
      <c r="L11" s="123"/>
      <c r="M11" s="126"/>
      <c r="N11" s="46"/>
      <c r="O11" s="10"/>
      <c r="P11" s="142"/>
      <c r="Q11" s="142"/>
      <c r="S11" s="3" t="s">
        <v>45</v>
      </c>
    </row>
    <row r="12" spans="1:19" s="3" customFormat="1" ht="15" customHeight="1" x14ac:dyDescent="0.2">
      <c r="A12" s="114"/>
      <c r="B12" s="117"/>
      <c r="C12" s="24" t="s">
        <v>14</v>
      </c>
      <c r="D12" s="39" t="s">
        <v>7</v>
      </c>
      <c r="E12" s="5"/>
      <c r="F12" s="110">
        <f t="shared" si="0"/>
        <v>0</v>
      </c>
      <c r="G12" s="120"/>
      <c r="H12" s="123"/>
      <c r="I12" s="123"/>
      <c r="J12" s="123"/>
      <c r="K12" s="123"/>
      <c r="L12" s="123"/>
      <c r="M12" s="126"/>
      <c r="N12" s="46"/>
      <c r="O12" s="10"/>
      <c r="P12" s="142"/>
      <c r="Q12" s="142"/>
    </row>
    <row r="13" spans="1:19" s="3" customFormat="1" ht="15" customHeight="1" x14ac:dyDescent="0.2">
      <c r="A13" s="114"/>
      <c r="B13" s="117"/>
      <c r="C13" s="24" t="s">
        <v>14</v>
      </c>
      <c r="D13" s="39" t="s">
        <v>9</v>
      </c>
      <c r="E13" s="5"/>
      <c r="F13" s="110">
        <f t="shared" si="0"/>
        <v>0</v>
      </c>
      <c r="G13" s="120"/>
      <c r="H13" s="123"/>
      <c r="I13" s="123"/>
      <c r="J13" s="123"/>
      <c r="K13" s="123"/>
      <c r="L13" s="123"/>
      <c r="M13" s="126"/>
      <c r="N13" s="46"/>
      <c r="O13" s="10"/>
      <c r="P13" s="142"/>
      <c r="Q13" s="142"/>
    </row>
    <row r="14" spans="1:19" s="3" customFormat="1" ht="15" customHeight="1" x14ac:dyDescent="0.2">
      <c r="A14" s="114"/>
      <c r="B14" s="117"/>
      <c r="C14" s="24" t="s">
        <v>14</v>
      </c>
      <c r="D14" s="39" t="s">
        <v>8</v>
      </c>
      <c r="E14" s="5"/>
      <c r="F14" s="110">
        <f t="shared" si="0"/>
        <v>0</v>
      </c>
      <c r="G14" s="120"/>
      <c r="H14" s="123"/>
      <c r="I14" s="123"/>
      <c r="J14" s="123"/>
      <c r="K14" s="123"/>
      <c r="L14" s="123"/>
      <c r="M14" s="126"/>
      <c r="N14" s="46"/>
      <c r="O14" s="10"/>
      <c r="P14" s="142"/>
      <c r="Q14" s="142"/>
    </row>
    <row r="15" spans="1:19" s="3" customFormat="1" ht="15" customHeight="1" x14ac:dyDescent="0.2">
      <c r="A15" s="114"/>
      <c r="B15" s="117"/>
      <c r="C15" s="24" t="s">
        <v>14</v>
      </c>
      <c r="D15" s="39" t="s">
        <v>12</v>
      </c>
      <c r="E15" s="5"/>
      <c r="F15" s="110">
        <f t="shared" si="0"/>
        <v>0</v>
      </c>
      <c r="G15" s="120"/>
      <c r="H15" s="123"/>
      <c r="I15" s="123"/>
      <c r="J15" s="123"/>
      <c r="K15" s="123"/>
      <c r="L15" s="123"/>
      <c r="M15" s="126"/>
      <c r="N15" s="46"/>
      <c r="O15" s="10"/>
      <c r="P15" s="142"/>
      <c r="Q15" s="142"/>
    </row>
    <row r="16" spans="1:19" s="3" customFormat="1" ht="15.75" thickBot="1" x14ac:dyDescent="0.25">
      <c r="A16" s="115"/>
      <c r="B16" s="118"/>
      <c r="C16" s="25" t="s">
        <v>14</v>
      </c>
      <c r="D16" s="45" t="s">
        <v>12</v>
      </c>
      <c r="E16" s="12"/>
      <c r="F16" s="111">
        <f t="shared" si="0"/>
        <v>0</v>
      </c>
      <c r="G16" s="121"/>
      <c r="H16" s="124"/>
      <c r="I16" s="124"/>
      <c r="J16" s="124"/>
      <c r="K16" s="124"/>
      <c r="L16" s="124"/>
      <c r="M16" s="127"/>
      <c r="N16" s="47"/>
      <c r="O16" s="13"/>
      <c r="P16" s="142"/>
      <c r="Q16" s="142"/>
    </row>
    <row r="17" spans="1:17" ht="15" customHeight="1" x14ac:dyDescent="0.25">
      <c r="A17" s="113" t="s">
        <v>3</v>
      </c>
      <c r="B17" s="116">
        <v>2</v>
      </c>
      <c r="C17" s="23" t="s">
        <v>14</v>
      </c>
      <c r="D17" s="42" t="s">
        <v>11</v>
      </c>
      <c r="E17" s="8"/>
      <c r="F17" s="109"/>
      <c r="G17" s="119"/>
      <c r="H17" s="122"/>
      <c r="I17" s="122"/>
      <c r="J17" s="122"/>
      <c r="K17" s="122"/>
      <c r="L17" s="122"/>
      <c r="M17" s="125" t="str">
        <f>IF(H17&lt;&gt;"",H17+364,IF(I17&lt;&gt;"",I17+364,IF(J17&lt;&gt;"",J17+365,IF(K17&lt;&gt;"",K17+364,IF(L17&lt;&gt;"",L17+364,"")))))</f>
        <v/>
      </c>
      <c r="N17" s="41"/>
      <c r="O17" s="9"/>
      <c r="P17" s="142" t="s">
        <v>46</v>
      </c>
      <c r="Q17" s="142"/>
    </row>
    <row r="18" spans="1:17" ht="15" customHeight="1" x14ac:dyDescent="0.25">
      <c r="A18" s="114"/>
      <c r="B18" s="117"/>
      <c r="C18" s="24" t="s">
        <v>14</v>
      </c>
      <c r="D18" s="39" t="s">
        <v>4</v>
      </c>
      <c r="E18" s="5"/>
      <c r="F18" s="110">
        <f>$F$17</f>
        <v>0</v>
      </c>
      <c r="G18" s="120"/>
      <c r="H18" s="123"/>
      <c r="I18" s="123"/>
      <c r="J18" s="123"/>
      <c r="K18" s="123"/>
      <c r="L18" s="123"/>
      <c r="M18" s="126"/>
      <c r="N18" s="46"/>
      <c r="O18" s="10"/>
      <c r="P18" s="142"/>
      <c r="Q18" s="142"/>
    </row>
    <row r="19" spans="1:17" ht="15" customHeight="1" x14ac:dyDescent="0.25">
      <c r="A19" s="114"/>
      <c r="B19" s="117"/>
      <c r="C19" s="24" t="s">
        <v>14</v>
      </c>
      <c r="D19" s="39" t="s">
        <v>6</v>
      </c>
      <c r="E19" s="5"/>
      <c r="F19" s="110">
        <f t="shared" ref="F19:F25" si="1">$F$17</f>
        <v>0</v>
      </c>
      <c r="G19" s="120"/>
      <c r="H19" s="123"/>
      <c r="I19" s="123"/>
      <c r="J19" s="123"/>
      <c r="K19" s="123"/>
      <c r="L19" s="123"/>
      <c r="M19" s="126"/>
      <c r="N19" s="46"/>
      <c r="O19" s="10"/>
      <c r="P19" s="142"/>
      <c r="Q19" s="142"/>
    </row>
    <row r="20" spans="1:17" ht="15" customHeight="1" x14ac:dyDescent="0.25">
      <c r="A20" s="114"/>
      <c r="B20" s="117"/>
      <c r="C20" s="24" t="s">
        <v>14</v>
      </c>
      <c r="D20" s="39" t="s">
        <v>5</v>
      </c>
      <c r="E20" s="5"/>
      <c r="F20" s="110">
        <f t="shared" si="1"/>
        <v>0</v>
      </c>
      <c r="G20" s="120"/>
      <c r="H20" s="123"/>
      <c r="I20" s="123"/>
      <c r="J20" s="123"/>
      <c r="K20" s="123"/>
      <c r="L20" s="123"/>
      <c r="M20" s="126"/>
      <c r="N20" s="46"/>
      <c r="O20" s="10"/>
      <c r="P20" s="142"/>
      <c r="Q20" s="142"/>
    </row>
    <row r="21" spans="1:17" ht="15" customHeight="1" x14ac:dyDescent="0.25">
      <c r="A21" s="114"/>
      <c r="B21" s="117"/>
      <c r="C21" s="24" t="s">
        <v>14</v>
      </c>
      <c r="D21" s="39" t="s">
        <v>7</v>
      </c>
      <c r="E21" s="5"/>
      <c r="F21" s="110">
        <f t="shared" si="1"/>
        <v>0</v>
      </c>
      <c r="G21" s="120"/>
      <c r="H21" s="123"/>
      <c r="I21" s="123"/>
      <c r="J21" s="123"/>
      <c r="K21" s="123"/>
      <c r="L21" s="123"/>
      <c r="M21" s="126"/>
      <c r="N21" s="46"/>
      <c r="O21" s="10"/>
      <c r="P21" s="142"/>
      <c r="Q21" s="142"/>
    </row>
    <row r="22" spans="1:17" ht="15" customHeight="1" x14ac:dyDescent="0.25">
      <c r="A22" s="114"/>
      <c r="B22" s="117"/>
      <c r="C22" s="24" t="s">
        <v>14</v>
      </c>
      <c r="D22" s="39" t="s">
        <v>9</v>
      </c>
      <c r="E22" s="5"/>
      <c r="F22" s="110">
        <f t="shared" si="1"/>
        <v>0</v>
      </c>
      <c r="G22" s="120"/>
      <c r="H22" s="123"/>
      <c r="I22" s="123"/>
      <c r="J22" s="123"/>
      <c r="K22" s="123"/>
      <c r="L22" s="123"/>
      <c r="M22" s="126"/>
      <c r="N22" s="46"/>
      <c r="O22" s="10"/>
      <c r="P22" s="142"/>
      <c r="Q22" s="142"/>
    </row>
    <row r="23" spans="1:17" ht="15" customHeight="1" x14ac:dyDescent="0.25">
      <c r="A23" s="114"/>
      <c r="B23" s="117"/>
      <c r="C23" s="24" t="s">
        <v>14</v>
      </c>
      <c r="D23" s="39" t="s">
        <v>8</v>
      </c>
      <c r="E23" s="5"/>
      <c r="F23" s="110">
        <f t="shared" si="1"/>
        <v>0</v>
      </c>
      <c r="G23" s="120"/>
      <c r="H23" s="123"/>
      <c r="I23" s="123"/>
      <c r="J23" s="123"/>
      <c r="K23" s="123"/>
      <c r="L23" s="123"/>
      <c r="M23" s="126"/>
      <c r="N23" s="46"/>
      <c r="O23" s="10"/>
      <c r="P23" s="142"/>
      <c r="Q23" s="142"/>
    </row>
    <row r="24" spans="1:17" ht="15" customHeight="1" x14ac:dyDescent="0.25">
      <c r="A24" s="114"/>
      <c r="B24" s="117"/>
      <c r="C24" s="24" t="s">
        <v>14</v>
      </c>
      <c r="D24" s="39" t="s">
        <v>12</v>
      </c>
      <c r="E24" s="5"/>
      <c r="F24" s="110">
        <f t="shared" si="1"/>
        <v>0</v>
      </c>
      <c r="G24" s="120"/>
      <c r="H24" s="123"/>
      <c r="I24" s="123"/>
      <c r="J24" s="123"/>
      <c r="K24" s="123"/>
      <c r="L24" s="123"/>
      <c r="M24" s="126"/>
      <c r="N24" s="46"/>
      <c r="O24" s="10"/>
      <c r="P24" s="142"/>
      <c r="Q24" s="142"/>
    </row>
    <row r="25" spans="1:17" ht="15" customHeight="1" thickBot="1" x14ac:dyDescent="0.3">
      <c r="A25" s="115"/>
      <c r="B25" s="118"/>
      <c r="C25" s="25" t="s">
        <v>14</v>
      </c>
      <c r="D25" s="45" t="s">
        <v>12</v>
      </c>
      <c r="E25" s="12"/>
      <c r="F25" s="111">
        <f t="shared" si="1"/>
        <v>0</v>
      </c>
      <c r="G25" s="121"/>
      <c r="H25" s="124"/>
      <c r="I25" s="124"/>
      <c r="J25" s="124"/>
      <c r="K25" s="124"/>
      <c r="L25" s="124"/>
      <c r="M25" s="127"/>
      <c r="N25" s="47"/>
      <c r="O25" s="13"/>
      <c r="P25" s="142"/>
      <c r="Q25" s="142"/>
    </row>
    <row r="26" spans="1:17" ht="15" customHeight="1" x14ac:dyDescent="0.25">
      <c r="A26" s="113" t="s">
        <v>3</v>
      </c>
      <c r="B26" s="116">
        <v>3</v>
      </c>
      <c r="C26" s="23" t="s">
        <v>14</v>
      </c>
      <c r="D26" s="42" t="s">
        <v>11</v>
      </c>
      <c r="E26" s="8"/>
      <c r="F26" s="109"/>
      <c r="G26" s="119"/>
      <c r="H26" s="122"/>
      <c r="I26" s="122"/>
      <c r="J26" s="122"/>
      <c r="K26" s="122"/>
      <c r="L26" s="122"/>
      <c r="M26" s="125" t="str">
        <f>IF(H26&lt;&gt;"",H26+364,IF(I26&lt;&gt;"",I26+364,IF(J26&lt;&gt;"",J26+365,IF(K26&lt;&gt;"",K26+364,IF(L26&lt;&gt;"",L26+364,"")))))</f>
        <v/>
      </c>
      <c r="N26" s="41"/>
      <c r="O26" s="9"/>
      <c r="P26" s="142" t="s">
        <v>46</v>
      </c>
      <c r="Q26" s="142"/>
    </row>
    <row r="27" spans="1:17" ht="15" customHeight="1" x14ac:dyDescent="0.25">
      <c r="A27" s="114"/>
      <c r="B27" s="117"/>
      <c r="C27" s="24" t="s">
        <v>14</v>
      </c>
      <c r="D27" s="39" t="s">
        <v>4</v>
      </c>
      <c r="E27" s="5"/>
      <c r="F27" s="110">
        <f>$F$26</f>
        <v>0</v>
      </c>
      <c r="G27" s="120"/>
      <c r="H27" s="123"/>
      <c r="I27" s="123"/>
      <c r="J27" s="123"/>
      <c r="K27" s="123"/>
      <c r="L27" s="123"/>
      <c r="M27" s="126"/>
      <c r="N27" s="46"/>
      <c r="O27" s="10"/>
      <c r="P27" s="142"/>
      <c r="Q27" s="142"/>
    </row>
    <row r="28" spans="1:17" ht="15" customHeight="1" x14ac:dyDescent="0.25">
      <c r="A28" s="114"/>
      <c r="B28" s="117"/>
      <c r="C28" s="24" t="s">
        <v>14</v>
      </c>
      <c r="D28" s="39" t="s">
        <v>6</v>
      </c>
      <c r="E28" s="5"/>
      <c r="F28" s="110">
        <f t="shared" ref="F28:F34" si="2">$F$26</f>
        <v>0</v>
      </c>
      <c r="G28" s="120"/>
      <c r="H28" s="123"/>
      <c r="I28" s="123"/>
      <c r="J28" s="123"/>
      <c r="K28" s="123"/>
      <c r="L28" s="123"/>
      <c r="M28" s="126"/>
      <c r="N28" s="46"/>
      <c r="O28" s="10"/>
      <c r="P28" s="142"/>
      <c r="Q28" s="142"/>
    </row>
    <row r="29" spans="1:17" ht="15" customHeight="1" x14ac:dyDescent="0.25">
      <c r="A29" s="114"/>
      <c r="B29" s="117"/>
      <c r="C29" s="24" t="s">
        <v>14</v>
      </c>
      <c r="D29" s="39" t="s">
        <v>5</v>
      </c>
      <c r="E29" s="5"/>
      <c r="F29" s="110">
        <f t="shared" si="2"/>
        <v>0</v>
      </c>
      <c r="G29" s="120"/>
      <c r="H29" s="123"/>
      <c r="I29" s="123"/>
      <c r="J29" s="123"/>
      <c r="K29" s="123"/>
      <c r="L29" s="123"/>
      <c r="M29" s="126"/>
      <c r="N29" s="46"/>
      <c r="O29" s="10"/>
      <c r="P29" s="142"/>
      <c r="Q29" s="142"/>
    </row>
    <row r="30" spans="1:17" ht="15" customHeight="1" x14ac:dyDescent="0.25">
      <c r="A30" s="114"/>
      <c r="B30" s="117"/>
      <c r="C30" s="24" t="s">
        <v>14</v>
      </c>
      <c r="D30" s="39" t="s">
        <v>7</v>
      </c>
      <c r="E30" s="5"/>
      <c r="F30" s="110">
        <f t="shared" si="2"/>
        <v>0</v>
      </c>
      <c r="G30" s="120"/>
      <c r="H30" s="123"/>
      <c r="I30" s="123"/>
      <c r="J30" s="123"/>
      <c r="K30" s="123"/>
      <c r="L30" s="123"/>
      <c r="M30" s="126"/>
      <c r="N30" s="46"/>
      <c r="O30" s="10"/>
      <c r="P30" s="142"/>
      <c r="Q30" s="142"/>
    </row>
    <row r="31" spans="1:17" ht="15" customHeight="1" x14ac:dyDescent="0.25">
      <c r="A31" s="114"/>
      <c r="B31" s="117"/>
      <c r="C31" s="24" t="s">
        <v>14</v>
      </c>
      <c r="D31" s="39" t="s">
        <v>9</v>
      </c>
      <c r="E31" s="5"/>
      <c r="F31" s="110">
        <f t="shared" si="2"/>
        <v>0</v>
      </c>
      <c r="G31" s="120"/>
      <c r="H31" s="123"/>
      <c r="I31" s="123"/>
      <c r="J31" s="123"/>
      <c r="K31" s="123"/>
      <c r="L31" s="123"/>
      <c r="M31" s="126"/>
      <c r="N31" s="46"/>
      <c r="O31" s="10"/>
      <c r="P31" s="142"/>
      <c r="Q31" s="142"/>
    </row>
    <row r="32" spans="1:17" ht="15" customHeight="1" x14ac:dyDescent="0.25">
      <c r="A32" s="114"/>
      <c r="B32" s="117"/>
      <c r="C32" s="24" t="s">
        <v>14</v>
      </c>
      <c r="D32" s="39" t="s">
        <v>8</v>
      </c>
      <c r="E32" s="5"/>
      <c r="F32" s="110">
        <f t="shared" si="2"/>
        <v>0</v>
      </c>
      <c r="G32" s="120"/>
      <c r="H32" s="123"/>
      <c r="I32" s="123"/>
      <c r="J32" s="123"/>
      <c r="K32" s="123"/>
      <c r="L32" s="123"/>
      <c r="M32" s="126"/>
      <c r="N32" s="46"/>
      <c r="O32" s="10"/>
      <c r="P32" s="142"/>
      <c r="Q32" s="142"/>
    </row>
    <row r="33" spans="1:17" ht="15" customHeight="1" x14ac:dyDescent="0.25">
      <c r="A33" s="114"/>
      <c r="B33" s="117"/>
      <c r="C33" s="24" t="s">
        <v>14</v>
      </c>
      <c r="D33" s="39" t="s">
        <v>12</v>
      </c>
      <c r="E33" s="5"/>
      <c r="F33" s="110">
        <f t="shared" si="2"/>
        <v>0</v>
      </c>
      <c r="G33" s="120"/>
      <c r="H33" s="123"/>
      <c r="I33" s="123"/>
      <c r="J33" s="123"/>
      <c r="K33" s="123"/>
      <c r="L33" s="123"/>
      <c r="M33" s="126"/>
      <c r="N33" s="46"/>
      <c r="O33" s="10"/>
      <c r="P33" s="142"/>
      <c r="Q33" s="142"/>
    </row>
    <row r="34" spans="1:17" ht="15" customHeight="1" thickBot="1" x14ac:dyDescent="0.3">
      <c r="A34" s="115"/>
      <c r="B34" s="118"/>
      <c r="C34" s="25" t="s">
        <v>14</v>
      </c>
      <c r="D34" s="45" t="s">
        <v>12</v>
      </c>
      <c r="E34" s="12"/>
      <c r="F34" s="111">
        <f t="shared" si="2"/>
        <v>0</v>
      </c>
      <c r="G34" s="121"/>
      <c r="H34" s="124"/>
      <c r="I34" s="124"/>
      <c r="J34" s="124"/>
      <c r="K34" s="124"/>
      <c r="L34" s="124"/>
      <c r="M34" s="127"/>
      <c r="N34" s="47"/>
      <c r="O34" s="13"/>
      <c r="P34" s="142"/>
      <c r="Q34" s="142"/>
    </row>
    <row r="35" spans="1:17" ht="15" customHeight="1" x14ac:dyDescent="0.25">
      <c r="A35" s="113" t="s">
        <v>3</v>
      </c>
      <c r="B35" s="116">
        <v>4</v>
      </c>
      <c r="C35" s="23" t="s">
        <v>14</v>
      </c>
      <c r="D35" s="42" t="s">
        <v>11</v>
      </c>
      <c r="E35" s="8"/>
      <c r="F35" s="109"/>
      <c r="G35" s="119"/>
      <c r="H35" s="122"/>
      <c r="I35" s="122"/>
      <c r="J35" s="122"/>
      <c r="K35" s="122"/>
      <c r="L35" s="122"/>
      <c r="M35" s="125" t="str">
        <f>IF(H35&lt;&gt;"",H35+364,IF(I35&lt;&gt;"",I35+364,IF(J35&lt;&gt;"",J35+365,IF(K35&lt;&gt;"",K35+364,IF(L35&lt;&gt;"",L35+364,"")))))</f>
        <v/>
      </c>
      <c r="N35" s="41"/>
      <c r="O35" s="9"/>
      <c r="P35" s="142" t="s">
        <v>46</v>
      </c>
      <c r="Q35" s="142"/>
    </row>
    <row r="36" spans="1:17" ht="15" customHeight="1" x14ac:dyDescent="0.25">
      <c r="A36" s="114"/>
      <c r="B36" s="117"/>
      <c r="C36" s="24" t="s">
        <v>14</v>
      </c>
      <c r="D36" s="39" t="s">
        <v>4</v>
      </c>
      <c r="E36" s="5"/>
      <c r="F36" s="110">
        <f>$F$35</f>
        <v>0</v>
      </c>
      <c r="G36" s="120"/>
      <c r="H36" s="123"/>
      <c r="I36" s="123"/>
      <c r="J36" s="123"/>
      <c r="K36" s="123"/>
      <c r="L36" s="123"/>
      <c r="M36" s="126"/>
      <c r="N36" s="46"/>
      <c r="O36" s="10"/>
      <c r="P36" s="142"/>
      <c r="Q36" s="142"/>
    </row>
    <row r="37" spans="1:17" ht="15" customHeight="1" x14ac:dyDescent="0.25">
      <c r="A37" s="114"/>
      <c r="B37" s="117"/>
      <c r="C37" s="24" t="s">
        <v>14</v>
      </c>
      <c r="D37" s="39" t="s">
        <v>6</v>
      </c>
      <c r="E37" s="5"/>
      <c r="F37" s="110">
        <f t="shared" ref="F37:F43" si="3">$F$35</f>
        <v>0</v>
      </c>
      <c r="G37" s="120"/>
      <c r="H37" s="123"/>
      <c r="I37" s="123"/>
      <c r="J37" s="123"/>
      <c r="K37" s="123"/>
      <c r="L37" s="123"/>
      <c r="M37" s="126"/>
      <c r="N37" s="46"/>
      <c r="O37" s="10"/>
      <c r="P37" s="142"/>
      <c r="Q37" s="142"/>
    </row>
    <row r="38" spans="1:17" ht="15" customHeight="1" x14ac:dyDescent="0.25">
      <c r="A38" s="114"/>
      <c r="B38" s="117"/>
      <c r="C38" s="24" t="s">
        <v>14</v>
      </c>
      <c r="D38" s="39" t="s">
        <v>5</v>
      </c>
      <c r="E38" s="5"/>
      <c r="F38" s="110">
        <f t="shared" si="3"/>
        <v>0</v>
      </c>
      <c r="G38" s="120"/>
      <c r="H38" s="123"/>
      <c r="I38" s="123"/>
      <c r="J38" s="123"/>
      <c r="K38" s="123"/>
      <c r="L38" s="123"/>
      <c r="M38" s="126"/>
      <c r="N38" s="46"/>
      <c r="O38" s="10"/>
      <c r="P38" s="142"/>
      <c r="Q38" s="142"/>
    </row>
    <row r="39" spans="1:17" ht="15" customHeight="1" x14ac:dyDescent="0.25">
      <c r="A39" s="114"/>
      <c r="B39" s="117"/>
      <c r="C39" s="24" t="s">
        <v>14</v>
      </c>
      <c r="D39" s="39" t="s">
        <v>7</v>
      </c>
      <c r="E39" s="5"/>
      <c r="F39" s="110">
        <f t="shared" si="3"/>
        <v>0</v>
      </c>
      <c r="G39" s="120"/>
      <c r="H39" s="123"/>
      <c r="I39" s="123"/>
      <c r="J39" s="123"/>
      <c r="K39" s="123"/>
      <c r="L39" s="123"/>
      <c r="M39" s="126"/>
      <c r="N39" s="46"/>
      <c r="O39" s="10"/>
      <c r="P39" s="142"/>
      <c r="Q39" s="142"/>
    </row>
    <row r="40" spans="1:17" ht="15" customHeight="1" x14ac:dyDescent="0.25">
      <c r="A40" s="114"/>
      <c r="B40" s="117"/>
      <c r="C40" s="24" t="s">
        <v>14</v>
      </c>
      <c r="D40" s="39" t="s">
        <v>9</v>
      </c>
      <c r="E40" s="5"/>
      <c r="F40" s="110">
        <f t="shared" si="3"/>
        <v>0</v>
      </c>
      <c r="G40" s="120"/>
      <c r="H40" s="123"/>
      <c r="I40" s="123"/>
      <c r="J40" s="123"/>
      <c r="K40" s="123"/>
      <c r="L40" s="123"/>
      <c r="M40" s="126"/>
      <c r="N40" s="46"/>
      <c r="O40" s="10"/>
      <c r="P40" s="142"/>
      <c r="Q40" s="142"/>
    </row>
    <row r="41" spans="1:17" ht="15" customHeight="1" x14ac:dyDescent="0.25">
      <c r="A41" s="114"/>
      <c r="B41" s="117"/>
      <c r="C41" s="24" t="s">
        <v>14</v>
      </c>
      <c r="D41" s="39" t="s">
        <v>8</v>
      </c>
      <c r="E41" s="5"/>
      <c r="F41" s="110">
        <f t="shared" si="3"/>
        <v>0</v>
      </c>
      <c r="G41" s="120"/>
      <c r="H41" s="123"/>
      <c r="I41" s="123"/>
      <c r="J41" s="123"/>
      <c r="K41" s="123"/>
      <c r="L41" s="123"/>
      <c r="M41" s="126"/>
      <c r="N41" s="46"/>
      <c r="O41" s="10"/>
      <c r="P41" s="142"/>
      <c r="Q41" s="142"/>
    </row>
    <row r="42" spans="1:17" ht="15" customHeight="1" x14ac:dyDescent="0.25">
      <c r="A42" s="114"/>
      <c r="B42" s="117"/>
      <c r="C42" s="24" t="s">
        <v>14</v>
      </c>
      <c r="D42" s="39" t="s">
        <v>12</v>
      </c>
      <c r="E42" s="5"/>
      <c r="F42" s="110">
        <f t="shared" si="3"/>
        <v>0</v>
      </c>
      <c r="G42" s="120"/>
      <c r="H42" s="123"/>
      <c r="I42" s="123"/>
      <c r="J42" s="123"/>
      <c r="K42" s="123"/>
      <c r="L42" s="123"/>
      <c r="M42" s="126"/>
      <c r="N42" s="46"/>
      <c r="O42" s="10"/>
      <c r="P42" s="142"/>
      <c r="Q42" s="142"/>
    </row>
    <row r="43" spans="1:17" ht="15" customHeight="1" thickBot="1" x14ac:dyDescent="0.3">
      <c r="A43" s="115"/>
      <c r="B43" s="118"/>
      <c r="C43" s="25" t="s">
        <v>14</v>
      </c>
      <c r="D43" s="45" t="s">
        <v>12</v>
      </c>
      <c r="E43" s="12"/>
      <c r="F43" s="111">
        <f t="shared" si="3"/>
        <v>0</v>
      </c>
      <c r="G43" s="121"/>
      <c r="H43" s="124"/>
      <c r="I43" s="124"/>
      <c r="J43" s="124"/>
      <c r="K43" s="124"/>
      <c r="L43" s="124"/>
      <c r="M43" s="127"/>
      <c r="N43" s="47"/>
      <c r="O43" s="13"/>
      <c r="P43" s="142"/>
      <c r="Q43" s="142"/>
    </row>
    <row r="44" spans="1:17" ht="15" customHeight="1" x14ac:dyDescent="0.25">
      <c r="A44" s="113" t="s">
        <v>3</v>
      </c>
      <c r="B44" s="116">
        <v>5</v>
      </c>
      <c r="C44" s="23" t="s">
        <v>14</v>
      </c>
      <c r="D44" s="42" t="s">
        <v>11</v>
      </c>
      <c r="E44" s="8"/>
      <c r="F44" s="109"/>
      <c r="G44" s="119"/>
      <c r="H44" s="122"/>
      <c r="I44" s="122"/>
      <c r="J44" s="122"/>
      <c r="K44" s="122"/>
      <c r="L44" s="122"/>
      <c r="M44" s="125" t="str">
        <f>IF(H44&lt;&gt;"",H44+364,IF(I44&lt;&gt;"",I44+364,IF(J44&lt;&gt;"",J44+365,IF(K44&lt;&gt;"",K44+364,IF(L44&lt;&gt;"",L44+364,"")))))</f>
        <v/>
      </c>
      <c r="N44" s="41"/>
      <c r="O44" s="9"/>
      <c r="P44" s="142" t="s">
        <v>46</v>
      </c>
      <c r="Q44" s="142"/>
    </row>
    <row r="45" spans="1:17" ht="15" customHeight="1" x14ac:dyDescent="0.25">
      <c r="A45" s="114"/>
      <c r="B45" s="117"/>
      <c r="C45" s="24" t="s">
        <v>14</v>
      </c>
      <c r="D45" s="39" t="s">
        <v>4</v>
      </c>
      <c r="E45" s="5"/>
      <c r="F45" s="110">
        <f>$F$44</f>
        <v>0</v>
      </c>
      <c r="G45" s="120"/>
      <c r="H45" s="123"/>
      <c r="I45" s="123"/>
      <c r="J45" s="123"/>
      <c r="K45" s="123"/>
      <c r="L45" s="123"/>
      <c r="M45" s="126"/>
      <c r="N45" s="46"/>
      <c r="O45" s="10"/>
      <c r="P45" s="142"/>
      <c r="Q45" s="142"/>
    </row>
    <row r="46" spans="1:17" ht="15" customHeight="1" x14ac:dyDescent="0.25">
      <c r="A46" s="114"/>
      <c r="B46" s="117"/>
      <c r="C46" s="24" t="s">
        <v>14</v>
      </c>
      <c r="D46" s="39" t="s">
        <v>6</v>
      </c>
      <c r="E46" s="5"/>
      <c r="F46" s="110">
        <f t="shared" ref="F46:F52" si="4">$F$44</f>
        <v>0</v>
      </c>
      <c r="G46" s="120"/>
      <c r="H46" s="123"/>
      <c r="I46" s="123"/>
      <c r="J46" s="123"/>
      <c r="K46" s="123"/>
      <c r="L46" s="123"/>
      <c r="M46" s="126"/>
      <c r="N46" s="46"/>
      <c r="O46" s="10"/>
      <c r="P46" s="142"/>
      <c r="Q46" s="142"/>
    </row>
    <row r="47" spans="1:17" ht="15" customHeight="1" x14ac:dyDescent="0.25">
      <c r="A47" s="114"/>
      <c r="B47" s="117"/>
      <c r="C47" s="24" t="s">
        <v>14</v>
      </c>
      <c r="D47" s="39" t="s">
        <v>5</v>
      </c>
      <c r="E47" s="5"/>
      <c r="F47" s="110">
        <f t="shared" si="4"/>
        <v>0</v>
      </c>
      <c r="G47" s="120"/>
      <c r="H47" s="123"/>
      <c r="I47" s="123"/>
      <c r="J47" s="123"/>
      <c r="K47" s="123"/>
      <c r="L47" s="123"/>
      <c r="M47" s="126"/>
      <c r="N47" s="46"/>
      <c r="O47" s="10"/>
      <c r="P47" s="142"/>
      <c r="Q47" s="142"/>
    </row>
    <row r="48" spans="1:17" ht="15" customHeight="1" x14ac:dyDescent="0.25">
      <c r="A48" s="114"/>
      <c r="B48" s="117"/>
      <c r="C48" s="24" t="s">
        <v>14</v>
      </c>
      <c r="D48" s="39" t="s">
        <v>7</v>
      </c>
      <c r="E48" s="5"/>
      <c r="F48" s="110">
        <f t="shared" si="4"/>
        <v>0</v>
      </c>
      <c r="G48" s="120"/>
      <c r="H48" s="123"/>
      <c r="I48" s="123"/>
      <c r="J48" s="123"/>
      <c r="K48" s="123"/>
      <c r="L48" s="123"/>
      <c r="M48" s="126"/>
      <c r="N48" s="46"/>
      <c r="O48" s="10"/>
      <c r="P48" s="142"/>
      <c r="Q48" s="142"/>
    </row>
    <row r="49" spans="1:17" ht="15" customHeight="1" x14ac:dyDescent="0.25">
      <c r="A49" s="114"/>
      <c r="B49" s="117"/>
      <c r="C49" s="24" t="s">
        <v>14</v>
      </c>
      <c r="D49" s="39" t="s">
        <v>9</v>
      </c>
      <c r="E49" s="5"/>
      <c r="F49" s="110">
        <f t="shared" si="4"/>
        <v>0</v>
      </c>
      <c r="G49" s="120"/>
      <c r="H49" s="123"/>
      <c r="I49" s="123"/>
      <c r="J49" s="123"/>
      <c r="K49" s="123"/>
      <c r="L49" s="123"/>
      <c r="M49" s="126"/>
      <c r="N49" s="46"/>
      <c r="O49" s="10"/>
      <c r="P49" s="142"/>
      <c r="Q49" s="142"/>
    </row>
    <row r="50" spans="1:17" ht="15" customHeight="1" x14ac:dyDescent="0.25">
      <c r="A50" s="114"/>
      <c r="B50" s="117"/>
      <c r="C50" s="24" t="s">
        <v>14</v>
      </c>
      <c r="D50" s="39" t="s">
        <v>8</v>
      </c>
      <c r="E50" s="5"/>
      <c r="F50" s="110">
        <f t="shared" si="4"/>
        <v>0</v>
      </c>
      <c r="G50" s="120"/>
      <c r="H50" s="123"/>
      <c r="I50" s="123"/>
      <c r="J50" s="123"/>
      <c r="K50" s="123"/>
      <c r="L50" s="123"/>
      <c r="M50" s="126"/>
      <c r="N50" s="46"/>
      <c r="O50" s="10"/>
      <c r="P50" s="142"/>
      <c r="Q50" s="142"/>
    </row>
    <row r="51" spans="1:17" ht="15" customHeight="1" x14ac:dyDescent="0.25">
      <c r="A51" s="114"/>
      <c r="B51" s="117"/>
      <c r="C51" s="24" t="s">
        <v>14</v>
      </c>
      <c r="D51" s="39" t="s">
        <v>12</v>
      </c>
      <c r="E51" s="5"/>
      <c r="F51" s="110">
        <f t="shared" si="4"/>
        <v>0</v>
      </c>
      <c r="G51" s="120"/>
      <c r="H51" s="123"/>
      <c r="I51" s="123"/>
      <c r="J51" s="123"/>
      <c r="K51" s="123"/>
      <c r="L51" s="123"/>
      <c r="M51" s="126"/>
      <c r="N51" s="46"/>
      <c r="O51" s="10"/>
      <c r="P51" s="142"/>
      <c r="Q51" s="142"/>
    </row>
    <row r="52" spans="1:17" ht="15" customHeight="1" thickBot="1" x14ac:dyDescent="0.3">
      <c r="A52" s="115"/>
      <c r="B52" s="118"/>
      <c r="C52" s="25" t="s">
        <v>14</v>
      </c>
      <c r="D52" s="45" t="s">
        <v>12</v>
      </c>
      <c r="E52" s="12"/>
      <c r="F52" s="111">
        <f t="shared" si="4"/>
        <v>0</v>
      </c>
      <c r="G52" s="121"/>
      <c r="H52" s="124"/>
      <c r="I52" s="124"/>
      <c r="J52" s="124"/>
      <c r="K52" s="124"/>
      <c r="L52" s="124"/>
      <c r="M52" s="127"/>
      <c r="N52" s="47"/>
      <c r="O52" s="13"/>
      <c r="P52" s="142"/>
      <c r="Q52" s="142"/>
    </row>
    <row r="53" spans="1:17" ht="15" customHeight="1" x14ac:dyDescent="0.25">
      <c r="A53" s="113" t="s">
        <v>3</v>
      </c>
      <c r="B53" s="116">
        <v>6</v>
      </c>
      <c r="C53" s="23" t="s">
        <v>14</v>
      </c>
      <c r="D53" s="42" t="s">
        <v>11</v>
      </c>
      <c r="E53" s="8"/>
      <c r="F53" s="109"/>
      <c r="G53" s="119"/>
      <c r="H53" s="122"/>
      <c r="I53" s="122"/>
      <c r="J53" s="122"/>
      <c r="K53" s="122"/>
      <c r="L53" s="122"/>
      <c r="M53" s="125" t="str">
        <f>IF(H53&lt;&gt;"",H53+364,IF(I53&lt;&gt;"",I53+364,IF(J53&lt;&gt;"",J53+365,IF(K53&lt;&gt;"",K53+364,IF(L53&lt;&gt;"",L53+364,"")))))</f>
        <v/>
      </c>
      <c r="N53" s="41"/>
      <c r="O53" s="9"/>
      <c r="P53" s="142" t="s">
        <v>46</v>
      </c>
      <c r="Q53" s="142"/>
    </row>
    <row r="54" spans="1:17" ht="15" customHeight="1" x14ac:dyDescent="0.25">
      <c r="A54" s="114"/>
      <c r="B54" s="117"/>
      <c r="C54" s="24" t="s">
        <v>14</v>
      </c>
      <c r="D54" s="39" t="s">
        <v>4</v>
      </c>
      <c r="E54" s="5"/>
      <c r="F54" s="110">
        <f>$F$53</f>
        <v>0</v>
      </c>
      <c r="G54" s="120"/>
      <c r="H54" s="123"/>
      <c r="I54" s="123"/>
      <c r="J54" s="123"/>
      <c r="K54" s="123"/>
      <c r="L54" s="123"/>
      <c r="M54" s="126"/>
      <c r="N54" s="46"/>
      <c r="O54" s="10"/>
      <c r="P54" s="142"/>
      <c r="Q54" s="142"/>
    </row>
    <row r="55" spans="1:17" ht="15" customHeight="1" x14ac:dyDescent="0.25">
      <c r="A55" s="114"/>
      <c r="B55" s="117"/>
      <c r="C55" s="24" t="s">
        <v>14</v>
      </c>
      <c r="D55" s="39" t="s">
        <v>6</v>
      </c>
      <c r="E55" s="5"/>
      <c r="F55" s="110">
        <f t="shared" ref="F55:F61" si="5">$F$53</f>
        <v>0</v>
      </c>
      <c r="G55" s="120"/>
      <c r="H55" s="123"/>
      <c r="I55" s="123"/>
      <c r="J55" s="123"/>
      <c r="K55" s="123"/>
      <c r="L55" s="123"/>
      <c r="M55" s="126"/>
      <c r="N55" s="46"/>
      <c r="O55" s="10"/>
      <c r="P55" s="142"/>
      <c r="Q55" s="142"/>
    </row>
    <row r="56" spans="1:17" ht="15" customHeight="1" x14ac:dyDescent="0.25">
      <c r="A56" s="114"/>
      <c r="B56" s="117"/>
      <c r="C56" s="24" t="s">
        <v>14</v>
      </c>
      <c r="D56" s="39" t="s">
        <v>5</v>
      </c>
      <c r="E56" s="5"/>
      <c r="F56" s="110">
        <f t="shared" si="5"/>
        <v>0</v>
      </c>
      <c r="G56" s="120"/>
      <c r="H56" s="123"/>
      <c r="I56" s="123"/>
      <c r="J56" s="123"/>
      <c r="K56" s="123"/>
      <c r="L56" s="123"/>
      <c r="M56" s="126"/>
      <c r="N56" s="46"/>
      <c r="O56" s="10"/>
      <c r="P56" s="142"/>
      <c r="Q56" s="142"/>
    </row>
    <row r="57" spans="1:17" ht="15" customHeight="1" x14ac:dyDescent="0.25">
      <c r="A57" s="114"/>
      <c r="B57" s="117"/>
      <c r="C57" s="24" t="s">
        <v>14</v>
      </c>
      <c r="D57" s="39" t="s">
        <v>7</v>
      </c>
      <c r="E57" s="5"/>
      <c r="F57" s="110">
        <f t="shared" si="5"/>
        <v>0</v>
      </c>
      <c r="G57" s="120"/>
      <c r="H57" s="123"/>
      <c r="I57" s="123"/>
      <c r="J57" s="123"/>
      <c r="K57" s="123"/>
      <c r="L57" s="123"/>
      <c r="M57" s="126"/>
      <c r="N57" s="46"/>
      <c r="O57" s="10"/>
      <c r="P57" s="142"/>
      <c r="Q57" s="142"/>
    </row>
    <row r="58" spans="1:17" ht="15" customHeight="1" x14ac:dyDescent="0.25">
      <c r="A58" s="114"/>
      <c r="B58" s="117"/>
      <c r="C58" s="24" t="s">
        <v>14</v>
      </c>
      <c r="D58" s="39" t="s">
        <v>9</v>
      </c>
      <c r="E58" s="5"/>
      <c r="F58" s="110">
        <f t="shared" si="5"/>
        <v>0</v>
      </c>
      <c r="G58" s="120"/>
      <c r="H58" s="123"/>
      <c r="I58" s="123"/>
      <c r="J58" s="123"/>
      <c r="K58" s="123"/>
      <c r="L58" s="123"/>
      <c r="M58" s="126"/>
      <c r="N58" s="46"/>
      <c r="O58" s="10"/>
      <c r="P58" s="142"/>
      <c r="Q58" s="142"/>
    </row>
    <row r="59" spans="1:17" ht="15" customHeight="1" x14ac:dyDescent="0.25">
      <c r="A59" s="114"/>
      <c r="B59" s="117"/>
      <c r="C59" s="24" t="s">
        <v>14</v>
      </c>
      <c r="D59" s="39" t="s">
        <v>8</v>
      </c>
      <c r="E59" s="5"/>
      <c r="F59" s="110">
        <f t="shared" si="5"/>
        <v>0</v>
      </c>
      <c r="G59" s="120"/>
      <c r="H59" s="123"/>
      <c r="I59" s="123"/>
      <c r="J59" s="123"/>
      <c r="K59" s="123"/>
      <c r="L59" s="123"/>
      <c r="M59" s="126"/>
      <c r="N59" s="46"/>
      <c r="O59" s="10"/>
      <c r="P59" s="142"/>
      <c r="Q59" s="142"/>
    </row>
    <row r="60" spans="1:17" ht="15" customHeight="1" x14ac:dyDescent="0.25">
      <c r="A60" s="114"/>
      <c r="B60" s="117"/>
      <c r="C60" s="24" t="s">
        <v>14</v>
      </c>
      <c r="D60" s="39" t="s">
        <v>12</v>
      </c>
      <c r="E60" s="5"/>
      <c r="F60" s="110">
        <f t="shared" si="5"/>
        <v>0</v>
      </c>
      <c r="G60" s="120"/>
      <c r="H60" s="123"/>
      <c r="I60" s="123"/>
      <c r="J60" s="123"/>
      <c r="K60" s="123"/>
      <c r="L60" s="123"/>
      <c r="M60" s="126"/>
      <c r="N60" s="46"/>
      <c r="O60" s="10"/>
      <c r="P60" s="142"/>
      <c r="Q60" s="142"/>
    </row>
    <row r="61" spans="1:17" ht="15" customHeight="1" thickBot="1" x14ac:dyDescent="0.3">
      <c r="A61" s="115"/>
      <c r="B61" s="118"/>
      <c r="C61" s="25" t="s">
        <v>14</v>
      </c>
      <c r="D61" s="45" t="s">
        <v>12</v>
      </c>
      <c r="E61" s="12"/>
      <c r="F61" s="111">
        <f t="shared" si="5"/>
        <v>0</v>
      </c>
      <c r="G61" s="121"/>
      <c r="H61" s="124"/>
      <c r="I61" s="124"/>
      <c r="J61" s="124"/>
      <c r="K61" s="124"/>
      <c r="L61" s="124"/>
      <c r="M61" s="127"/>
      <c r="N61" s="47"/>
      <c r="O61" s="13"/>
      <c r="P61" s="142"/>
      <c r="Q61" s="142"/>
    </row>
    <row r="62" spans="1:17" ht="15" customHeight="1" x14ac:dyDescent="0.25">
      <c r="A62" s="128" t="s">
        <v>3</v>
      </c>
      <c r="B62" s="130">
        <v>7</v>
      </c>
      <c r="C62" s="28" t="s">
        <v>14</v>
      </c>
      <c r="D62" s="105" t="s">
        <v>11</v>
      </c>
      <c r="E62" s="106"/>
      <c r="F62" s="109"/>
      <c r="G62" s="120"/>
      <c r="H62" s="132"/>
      <c r="I62" s="132"/>
      <c r="J62" s="132"/>
      <c r="K62" s="132"/>
      <c r="L62" s="132"/>
      <c r="M62" s="133" t="str">
        <f>IF(H62&lt;&gt;"",H62+364,IF(I62&lt;&gt;"",I62+364,IF(J62&lt;&gt;"",J62+365,IF(K62&lt;&gt;"",K62+364,IF(L62&lt;&gt;"",L62+364,"")))))</f>
        <v/>
      </c>
      <c r="N62" s="107"/>
      <c r="O62" s="108"/>
      <c r="P62" s="142" t="s">
        <v>46</v>
      </c>
      <c r="Q62" s="142"/>
    </row>
    <row r="63" spans="1:17" ht="15" customHeight="1" x14ac:dyDescent="0.25">
      <c r="A63" s="114"/>
      <c r="B63" s="117"/>
      <c r="C63" s="24" t="s">
        <v>14</v>
      </c>
      <c r="D63" s="39" t="s">
        <v>4</v>
      </c>
      <c r="E63" s="5"/>
      <c r="F63" s="110">
        <f>$F$62</f>
        <v>0</v>
      </c>
      <c r="G63" s="120"/>
      <c r="H63" s="123"/>
      <c r="I63" s="123"/>
      <c r="J63" s="123"/>
      <c r="K63" s="123"/>
      <c r="L63" s="123"/>
      <c r="M63" s="126"/>
      <c r="N63" s="46"/>
      <c r="O63" s="10"/>
      <c r="P63" s="142"/>
      <c r="Q63" s="142"/>
    </row>
    <row r="64" spans="1:17" ht="15" customHeight="1" x14ac:dyDescent="0.25">
      <c r="A64" s="114"/>
      <c r="B64" s="117"/>
      <c r="C64" s="24" t="s">
        <v>14</v>
      </c>
      <c r="D64" s="39" t="s">
        <v>6</v>
      </c>
      <c r="E64" s="5"/>
      <c r="F64" s="110">
        <f t="shared" ref="F64:F70" si="6">$F$62</f>
        <v>0</v>
      </c>
      <c r="G64" s="120"/>
      <c r="H64" s="123"/>
      <c r="I64" s="123"/>
      <c r="J64" s="123"/>
      <c r="K64" s="123"/>
      <c r="L64" s="123"/>
      <c r="M64" s="126"/>
      <c r="N64" s="46"/>
      <c r="O64" s="10"/>
      <c r="P64" s="142"/>
      <c r="Q64" s="142"/>
    </row>
    <row r="65" spans="1:17" ht="15" customHeight="1" x14ac:dyDescent="0.25">
      <c r="A65" s="114"/>
      <c r="B65" s="117"/>
      <c r="C65" s="24" t="s">
        <v>14</v>
      </c>
      <c r="D65" s="39" t="s">
        <v>5</v>
      </c>
      <c r="E65" s="5"/>
      <c r="F65" s="110">
        <f t="shared" si="6"/>
        <v>0</v>
      </c>
      <c r="G65" s="120"/>
      <c r="H65" s="123"/>
      <c r="I65" s="123"/>
      <c r="J65" s="123"/>
      <c r="K65" s="123"/>
      <c r="L65" s="123"/>
      <c r="M65" s="126"/>
      <c r="N65" s="46"/>
      <c r="O65" s="10"/>
      <c r="P65" s="142"/>
      <c r="Q65" s="142"/>
    </row>
    <row r="66" spans="1:17" ht="15" customHeight="1" x14ac:dyDescent="0.25">
      <c r="A66" s="114"/>
      <c r="B66" s="117"/>
      <c r="C66" s="24" t="s">
        <v>14</v>
      </c>
      <c r="D66" s="39" t="s">
        <v>7</v>
      </c>
      <c r="E66" s="5"/>
      <c r="F66" s="110">
        <f t="shared" si="6"/>
        <v>0</v>
      </c>
      <c r="G66" s="120"/>
      <c r="H66" s="123"/>
      <c r="I66" s="123"/>
      <c r="J66" s="123"/>
      <c r="K66" s="123"/>
      <c r="L66" s="123"/>
      <c r="M66" s="126"/>
      <c r="N66" s="46"/>
      <c r="O66" s="10"/>
      <c r="P66" s="142"/>
      <c r="Q66" s="142"/>
    </row>
    <row r="67" spans="1:17" ht="15" customHeight="1" x14ac:dyDescent="0.25">
      <c r="A67" s="114"/>
      <c r="B67" s="117"/>
      <c r="C67" s="24" t="s">
        <v>14</v>
      </c>
      <c r="D67" s="39" t="s">
        <v>9</v>
      </c>
      <c r="E67" s="5"/>
      <c r="F67" s="110">
        <f t="shared" si="6"/>
        <v>0</v>
      </c>
      <c r="G67" s="120"/>
      <c r="H67" s="123"/>
      <c r="I67" s="123"/>
      <c r="J67" s="123"/>
      <c r="K67" s="123"/>
      <c r="L67" s="123"/>
      <c r="M67" s="126"/>
      <c r="N67" s="46"/>
      <c r="O67" s="10"/>
      <c r="P67" s="142"/>
      <c r="Q67" s="142"/>
    </row>
    <row r="68" spans="1:17" ht="15" customHeight="1" x14ac:dyDescent="0.25">
      <c r="A68" s="114"/>
      <c r="B68" s="117"/>
      <c r="C68" s="24" t="s">
        <v>14</v>
      </c>
      <c r="D68" s="39" t="s">
        <v>8</v>
      </c>
      <c r="E68" s="5"/>
      <c r="F68" s="110">
        <f t="shared" si="6"/>
        <v>0</v>
      </c>
      <c r="G68" s="120"/>
      <c r="H68" s="123"/>
      <c r="I68" s="123"/>
      <c r="J68" s="123"/>
      <c r="K68" s="123"/>
      <c r="L68" s="123"/>
      <c r="M68" s="126"/>
      <c r="N68" s="46"/>
      <c r="O68" s="10"/>
      <c r="P68" s="142"/>
      <c r="Q68" s="142"/>
    </row>
    <row r="69" spans="1:17" ht="15" customHeight="1" x14ac:dyDescent="0.25">
      <c r="A69" s="114"/>
      <c r="B69" s="117"/>
      <c r="C69" s="24" t="s">
        <v>14</v>
      </c>
      <c r="D69" s="39" t="s">
        <v>12</v>
      </c>
      <c r="E69" s="5"/>
      <c r="F69" s="110">
        <f t="shared" si="6"/>
        <v>0</v>
      </c>
      <c r="G69" s="120"/>
      <c r="H69" s="123"/>
      <c r="I69" s="123"/>
      <c r="J69" s="123"/>
      <c r="K69" s="123"/>
      <c r="L69" s="123"/>
      <c r="M69" s="126"/>
      <c r="N69" s="46"/>
      <c r="O69" s="10"/>
      <c r="P69" s="142"/>
      <c r="Q69" s="142"/>
    </row>
    <row r="70" spans="1:17" ht="15" customHeight="1" thickBot="1" x14ac:dyDescent="0.3">
      <c r="A70" s="129"/>
      <c r="B70" s="131"/>
      <c r="C70" s="27" t="s">
        <v>14</v>
      </c>
      <c r="D70" s="101" t="s">
        <v>12</v>
      </c>
      <c r="E70" s="102"/>
      <c r="F70" s="112">
        <f t="shared" si="6"/>
        <v>0</v>
      </c>
      <c r="G70" s="120"/>
      <c r="H70" s="123"/>
      <c r="I70" s="123"/>
      <c r="J70" s="123"/>
      <c r="K70" s="123"/>
      <c r="L70" s="123"/>
      <c r="M70" s="134"/>
      <c r="N70" s="103"/>
      <c r="O70" s="104"/>
      <c r="P70" s="142"/>
      <c r="Q70" s="142"/>
    </row>
    <row r="71" spans="1:17" ht="15" customHeight="1" x14ac:dyDescent="0.25">
      <c r="A71" s="113" t="s">
        <v>3</v>
      </c>
      <c r="B71" s="116">
        <v>8</v>
      </c>
      <c r="C71" s="23" t="s">
        <v>14</v>
      </c>
      <c r="D71" s="42" t="s">
        <v>11</v>
      </c>
      <c r="E71" s="8"/>
      <c r="F71" s="109"/>
      <c r="G71" s="119"/>
      <c r="H71" s="122"/>
      <c r="I71" s="122"/>
      <c r="J71" s="122"/>
      <c r="K71" s="122"/>
      <c r="L71" s="122"/>
      <c r="M71" s="125" t="str">
        <f>IF(H71&lt;&gt;"",H71+364,IF(I71&lt;&gt;"",I71+364,IF(J71&lt;&gt;"",J71+365,IF(K71&lt;&gt;"",K71+364,IF(L71&lt;&gt;"",L71+364,"")))))</f>
        <v/>
      </c>
      <c r="N71" s="41"/>
      <c r="O71" s="9"/>
      <c r="P71" s="142" t="s">
        <v>46</v>
      </c>
      <c r="Q71" s="142"/>
    </row>
    <row r="72" spans="1:17" ht="15" customHeight="1" x14ac:dyDescent="0.25">
      <c r="A72" s="114"/>
      <c r="B72" s="117"/>
      <c r="C72" s="24" t="s">
        <v>14</v>
      </c>
      <c r="D72" s="39" t="s">
        <v>4</v>
      </c>
      <c r="E72" s="5"/>
      <c r="F72" s="110">
        <f>$F$71</f>
        <v>0</v>
      </c>
      <c r="G72" s="120"/>
      <c r="H72" s="123"/>
      <c r="I72" s="123"/>
      <c r="J72" s="123"/>
      <c r="K72" s="123"/>
      <c r="L72" s="123"/>
      <c r="M72" s="126"/>
      <c r="N72" s="46"/>
      <c r="O72" s="10"/>
      <c r="P72" s="142"/>
      <c r="Q72" s="142"/>
    </row>
    <row r="73" spans="1:17" ht="15" customHeight="1" x14ac:dyDescent="0.25">
      <c r="A73" s="114"/>
      <c r="B73" s="117"/>
      <c r="C73" s="24" t="s">
        <v>14</v>
      </c>
      <c r="D73" s="39" t="s">
        <v>6</v>
      </c>
      <c r="E73" s="5"/>
      <c r="F73" s="110">
        <f t="shared" ref="F73:F79" si="7">$F$71</f>
        <v>0</v>
      </c>
      <c r="G73" s="120"/>
      <c r="H73" s="123"/>
      <c r="I73" s="123"/>
      <c r="J73" s="123"/>
      <c r="K73" s="123"/>
      <c r="L73" s="123"/>
      <c r="M73" s="126"/>
      <c r="N73" s="46"/>
      <c r="O73" s="10"/>
      <c r="P73" s="142"/>
      <c r="Q73" s="142"/>
    </row>
    <row r="74" spans="1:17" ht="15" customHeight="1" x14ac:dyDescent="0.25">
      <c r="A74" s="114"/>
      <c r="B74" s="117"/>
      <c r="C74" s="24" t="s">
        <v>14</v>
      </c>
      <c r="D74" s="39" t="s">
        <v>5</v>
      </c>
      <c r="E74" s="5"/>
      <c r="F74" s="110">
        <f t="shared" si="7"/>
        <v>0</v>
      </c>
      <c r="G74" s="120"/>
      <c r="H74" s="123"/>
      <c r="I74" s="123"/>
      <c r="J74" s="123"/>
      <c r="K74" s="123"/>
      <c r="L74" s="123"/>
      <c r="M74" s="126"/>
      <c r="N74" s="46"/>
      <c r="O74" s="10"/>
      <c r="P74" s="142"/>
      <c r="Q74" s="142"/>
    </row>
    <row r="75" spans="1:17" ht="15" customHeight="1" x14ac:dyDescent="0.25">
      <c r="A75" s="114"/>
      <c r="B75" s="117"/>
      <c r="C75" s="24" t="s">
        <v>14</v>
      </c>
      <c r="D75" s="39" t="s">
        <v>7</v>
      </c>
      <c r="E75" s="5"/>
      <c r="F75" s="110">
        <f t="shared" si="7"/>
        <v>0</v>
      </c>
      <c r="G75" s="120"/>
      <c r="H75" s="123"/>
      <c r="I75" s="123"/>
      <c r="J75" s="123"/>
      <c r="K75" s="123"/>
      <c r="L75" s="123"/>
      <c r="M75" s="126"/>
      <c r="N75" s="46"/>
      <c r="O75" s="10"/>
      <c r="P75" s="142"/>
      <c r="Q75" s="142"/>
    </row>
    <row r="76" spans="1:17" ht="15" customHeight="1" x14ac:dyDescent="0.25">
      <c r="A76" s="114"/>
      <c r="B76" s="117"/>
      <c r="C76" s="24" t="s">
        <v>14</v>
      </c>
      <c r="D76" s="39" t="s">
        <v>9</v>
      </c>
      <c r="E76" s="5"/>
      <c r="F76" s="110">
        <f t="shared" si="7"/>
        <v>0</v>
      </c>
      <c r="G76" s="120"/>
      <c r="H76" s="123"/>
      <c r="I76" s="123"/>
      <c r="J76" s="123"/>
      <c r="K76" s="123"/>
      <c r="L76" s="123"/>
      <c r="M76" s="126"/>
      <c r="N76" s="46"/>
      <c r="O76" s="10"/>
      <c r="P76" s="142"/>
      <c r="Q76" s="142"/>
    </row>
    <row r="77" spans="1:17" ht="15" customHeight="1" x14ac:dyDescent="0.25">
      <c r="A77" s="114"/>
      <c r="B77" s="117"/>
      <c r="C77" s="24" t="s">
        <v>14</v>
      </c>
      <c r="D77" s="39" t="s">
        <v>8</v>
      </c>
      <c r="E77" s="5"/>
      <c r="F77" s="110">
        <f t="shared" si="7"/>
        <v>0</v>
      </c>
      <c r="G77" s="120"/>
      <c r="H77" s="123"/>
      <c r="I77" s="123"/>
      <c r="J77" s="123"/>
      <c r="K77" s="123"/>
      <c r="L77" s="123"/>
      <c r="M77" s="126"/>
      <c r="N77" s="46"/>
      <c r="O77" s="10"/>
      <c r="P77" s="142"/>
      <c r="Q77" s="142"/>
    </row>
    <row r="78" spans="1:17" ht="15" customHeight="1" x14ac:dyDescent="0.25">
      <c r="A78" s="114"/>
      <c r="B78" s="117"/>
      <c r="C78" s="24" t="s">
        <v>14</v>
      </c>
      <c r="D78" s="39" t="s">
        <v>12</v>
      </c>
      <c r="E78" s="5"/>
      <c r="F78" s="110">
        <f t="shared" si="7"/>
        <v>0</v>
      </c>
      <c r="G78" s="120"/>
      <c r="H78" s="123"/>
      <c r="I78" s="123"/>
      <c r="J78" s="123"/>
      <c r="K78" s="123"/>
      <c r="L78" s="123"/>
      <c r="M78" s="126"/>
      <c r="N78" s="46"/>
      <c r="O78" s="10"/>
      <c r="P78" s="142"/>
      <c r="Q78" s="142"/>
    </row>
    <row r="79" spans="1:17" ht="15" customHeight="1" thickBot="1" x14ac:dyDescent="0.3">
      <c r="A79" s="115"/>
      <c r="B79" s="118"/>
      <c r="C79" s="25" t="s">
        <v>14</v>
      </c>
      <c r="D79" s="45" t="s">
        <v>12</v>
      </c>
      <c r="E79" s="12"/>
      <c r="F79" s="111">
        <f t="shared" si="7"/>
        <v>0</v>
      </c>
      <c r="G79" s="121"/>
      <c r="H79" s="124"/>
      <c r="I79" s="124"/>
      <c r="J79" s="124"/>
      <c r="K79" s="124"/>
      <c r="L79" s="124"/>
      <c r="M79" s="127"/>
      <c r="N79" s="47"/>
      <c r="O79" s="13"/>
      <c r="P79" s="142"/>
      <c r="Q79" s="142"/>
    </row>
    <row r="80" spans="1:17" ht="15" customHeight="1" x14ac:dyDescent="0.25">
      <c r="A80" s="113" t="s">
        <v>3</v>
      </c>
      <c r="B80" s="116">
        <v>9</v>
      </c>
      <c r="C80" s="23" t="s">
        <v>14</v>
      </c>
      <c r="D80" s="42" t="s">
        <v>11</v>
      </c>
      <c r="E80" s="8"/>
      <c r="F80" s="109"/>
      <c r="G80" s="119"/>
      <c r="H80" s="122"/>
      <c r="I80" s="122"/>
      <c r="J80" s="122"/>
      <c r="K80" s="122"/>
      <c r="L80" s="122"/>
      <c r="M80" s="125" t="str">
        <f>IF(H80&lt;&gt;"",H80+364,IF(I80&lt;&gt;"",I80+364,IF(J80&lt;&gt;"",J80+365,IF(K80&lt;&gt;"",K80+364,IF(L80&lt;&gt;"",L80+364,"")))))</f>
        <v/>
      </c>
      <c r="N80" s="41"/>
      <c r="O80" s="9"/>
      <c r="P80" s="142" t="s">
        <v>46</v>
      </c>
      <c r="Q80" s="142"/>
    </row>
    <row r="81" spans="1:17" ht="15" customHeight="1" x14ac:dyDescent="0.25">
      <c r="A81" s="114"/>
      <c r="B81" s="117"/>
      <c r="C81" s="24" t="s">
        <v>14</v>
      </c>
      <c r="D81" s="39" t="s">
        <v>4</v>
      </c>
      <c r="E81" s="5"/>
      <c r="F81" s="110">
        <f>$F$80</f>
        <v>0</v>
      </c>
      <c r="G81" s="120"/>
      <c r="H81" s="123"/>
      <c r="I81" s="123"/>
      <c r="J81" s="123"/>
      <c r="K81" s="123"/>
      <c r="L81" s="123"/>
      <c r="M81" s="126"/>
      <c r="N81" s="46"/>
      <c r="O81" s="10"/>
      <c r="P81" s="142"/>
      <c r="Q81" s="142"/>
    </row>
    <row r="82" spans="1:17" ht="15" customHeight="1" x14ac:dyDescent="0.25">
      <c r="A82" s="114"/>
      <c r="B82" s="117"/>
      <c r="C82" s="24" t="s">
        <v>14</v>
      </c>
      <c r="D82" s="39" t="s">
        <v>6</v>
      </c>
      <c r="E82" s="5"/>
      <c r="F82" s="110">
        <f t="shared" ref="F82:F88" si="8">$F$80</f>
        <v>0</v>
      </c>
      <c r="G82" s="120"/>
      <c r="H82" s="123"/>
      <c r="I82" s="123"/>
      <c r="J82" s="123"/>
      <c r="K82" s="123"/>
      <c r="L82" s="123"/>
      <c r="M82" s="126"/>
      <c r="N82" s="46"/>
      <c r="O82" s="10"/>
      <c r="P82" s="142"/>
      <c r="Q82" s="142"/>
    </row>
    <row r="83" spans="1:17" ht="15" customHeight="1" x14ac:dyDescent="0.25">
      <c r="A83" s="114"/>
      <c r="B83" s="117"/>
      <c r="C83" s="24" t="s">
        <v>14</v>
      </c>
      <c r="D83" s="39" t="s">
        <v>5</v>
      </c>
      <c r="E83" s="5"/>
      <c r="F83" s="110">
        <f t="shared" si="8"/>
        <v>0</v>
      </c>
      <c r="G83" s="120"/>
      <c r="H83" s="123"/>
      <c r="I83" s="123"/>
      <c r="J83" s="123"/>
      <c r="K83" s="123"/>
      <c r="L83" s="123"/>
      <c r="M83" s="126"/>
      <c r="N83" s="46"/>
      <c r="O83" s="10"/>
      <c r="P83" s="142"/>
      <c r="Q83" s="142"/>
    </row>
    <row r="84" spans="1:17" ht="15" customHeight="1" x14ac:dyDescent="0.25">
      <c r="A84" s="114"/>
      <c r="B84" s="117"/>
      <c r="C84" s="24" t="s">
        <v>14</v>
      </c>
      <c r="D84" s="39" t="s">
        <v>7</v>
      </c>
      <c r="E84" s="5"/>
      <c r="F84" s="110">
        <f t="shared" si="8"/>
        <v>0</v>
      </c>
      <c r="G84" s="120"/>
      <c r="H84" s="123"/>
      <c r="I84" s="123"/>
      <c r="J84" s="123"/>
      <c r="K84" s="123"/>
      <c r="L84" s="123"/>
      <c r="M84" s="126"/>
      <c r="N84" s="46"/>
      <c r="O84" s="10"/>
      <c r="P84" s="142"/>
      <c r="Q84" s="142"/>
    </row>
    <row r="85" spans="1:17" ht="15" customHeight="1" x14ac:dyDescent="0.25">
      <c r="A85" s="114"/>
      <c r="B85" s="117"/>
      <c r="C85" s="24" t="s">
        <v>14</v>
      </c>
      <c r="D85" s="39" t="s">
        <v>9</v>
      </c>
      <c r="E85" s="5"/>
      <c r="F85" s="110">
        <f t="shared" si="8"/>
        <v>0</v>
      </c>
      <c r="G85" s="120"/>
      <c r="H85" s="123"/>
      <c r="I85" s="123"/>
      <c r="J85" s="123"/>
      <c r="K85" s="123"/>
      <c r="L85" s="123"/>
      <c r="M85" s="126"/>
      <c r="N85" s="46"/>
      <c r="O85" s="10"/>
      <c r="P85" s="142"/>
      <c r="Q85" s="142"/>
    </row>
    <row r="86" spans="1:17" ht="15" customHeight="1" x14ac:dyDescent="0.25">
      <c r="A86" s="114"/>
      <c r="B86" s="117"/>
      <c r="C86" s="24" t="s">
        <v>14</v>
      </c>
      <c r="D86" s="39" t="s">
        <v>8</v>
      </c>
      <c r="E86" s="5"/>
      <c r="F86" s="110">
        <f t="shared" si="8"/>
        <v>0</v>
      </c>
      <c r="G86" s="120"/>
      <c r="H86" s="123"/>
      <c r="I86" s="123"/>
      <c r="J86" s="123"/>
      <c r="K86" s="123"/>
      <c r="L86" s="123"/>
      <c r="M86" s="126"/>
      <c r="N86" s="46"/>
      <c r="O86" s="10"/>
      <c r="P86" s="142"/>
      <c r="Q86" s="142"/>
    </row>
    <row r="87" spans="1:17" ht="15" customHeight="1" x14ac:dyDescent="0.25">
      <c r="A87" s="114"/>
      <c r="B87" s="117"/>
      <c r="C87" s="24" t="s">
        <v>14</v>
      </c>
      <c r="D87" s="39" t="s">
        <v>12</v>
      </c>
      <c r="E87" s="5"/>
      <c r="F87" s="110">
        <f t="shared" si="8"/>
        <v>0</v>
      </c>
      <c r="G87" s="120"/>
      <c r="H87" s="123"/>
      <c r="I87" s="123"/>
      <c r="J87" s="123"/>
      <c r="K87" s="123"/>
      <c r="L87" s="123"/>
      <c r="M87" s="126"/>
      <c r="N87" s="46"/>
      <c r="O87" s="10"/>
      <c r="P87" s="142"/>
      <c r="Q87" s="142"/>
    </row>
    <row r="88" spans="1:17" ht="15" customHeight="1" thickBot="1" x14ac:dyDescent="0.3">
      <c r="A88" s="115"/>
      <c r="B88" s="118"/>
      <c r="C88" s="25" t="s">
        <v>14</v>
      </c>
      <c r="D88" s="45" t="s">
        <v>12</v>
      </c>
      <c r="E88" s="12"/>
      <c r="F88" s="111">
        <f t="shared" si="8"/>
        <v>0</v>
      </c>
      <c r="G88" s="121"/>
      <c r="H88" s="124"/>
      <c r="I88" s="124"/>
      <c r="J88" s="124"/>
      <c r="K88" s="124"/>
      <c r="L88" s="124"/>
      <c r="M88" s="127"/>
      <c r="N88" s="47"/>
      <c r="O88" s="13"/>
      <c r="P88" s="142"/>
      <c r="Q88" s="142"/>
    </row>
    <row r="89" spans="1:17" ht="15" customHeight="1" x14ac:dyDescent="0.25">
      <c r="A89" s="113" t="s">
        <v>3</v>
      </c>
      <c r="B89" s="116">
        <v>10</v>
      </c>
      <c r="C89" s="23" t="s">
        <v>14</v>
      </c>
      <c r="D89" s="42" t="s">
        <v>11</v>
      </c>
      <c r="E89" s="8"/>
      <c r="F89" s="109"/>
      <c r="G89" s="119"/>
      <c r="H89" s="122"/>
      <c r="I89" s="122"/>
      <c r="J89" s="122"/>
      <c r="K89" s="122"/>
      <c r="L89" s="122"/>
      <c r="M89" s="125" t="str">
        <f>IF(H89&lt;&gt;"",H89+364,IF(I89&lt;&gt;"",I89+364,IF(J89&lt;&gt;"",J89+365,IF(K89&lt;&gt;"",K89+364,IF(L89&lt;&gt;"",L89+364,"")))))</f>
        <v/>
      </c>
      <c r="N89" s="41"/>
      <c r="O89" s="9"/>
      <c r="P89" s="142" t="s">
        <v>46</v>
      </c>
      <c r="Q89" s="142"/>
    </row>
    <row r="90" spans="1:17" ht="15" customHeight="1" x14ac:dyDescent="0.25">
      <c r="A90" s="114"/>
      <c r="B90" s="117"/>
      <c r="C90" s="24" t="s">
        <v>14</v>
      </c>
      <c r="D90" s="39" t="s">
        <v>4</v>
      </c>
      <c r="E90" s="5"/>
      <c r="F90" s="110">
        <f>$F$89</f>
        <v>0</v>
      </c>
      <c r="G90" s="120"/>
      <c r="H90" s="123"/>
      <c r="I90" s="123"/>
      <c r="J90" s="123"/>
      <c r="K90" s="123"/>
      <c r="L90" s="123"/>
      <c r="M90" s="126"/>
      <c r="N90" s="46"/>
      <c r="O90" s="10"/>
      <c r="P90" s="142"/>
      <c r="Q90" s="142"/>
    </row>
    <row r="91" spans="1:17" ht="15" customHeight="1" x14ac:dyDescent="0.25">
      <c r="A91" s="114"/>
      <c r="B91" s="117"/>
      <c r="C91" s="24" t="s">
        <v>14</v>
      </c>
      <c r="D91" s="39" t="s">
        <v>6</v>
      </c>
      <c r="E91" s="5"/>
      <c r="F91" s="110">
        <f t="shared" ref="F91:F97" si="9">$F$89</f>
        <v>0</v>
      </c>
      <c r="G91" s="120"/>
      <c r="H91" s="123"/>
      <c r="I91" s="123"/>
      <c r="J91" s="123"/>
      <c r="K91" s="123"/>
      <c r="L91" s="123"/>
      <c r="M91" s="126"/>
      <c r="N91" s="46"/>
      <c r="O91" s="10"/>
      <c r="P91" s="142"/>
      <c r="Q91" s="142"/>
    </row>
    <row r="92" spans="1:17" ht="15" customHeight="1" x14ac:dyDescent="0.25">
      <c r="A92" s="114"/>
      <c r="B92" s="117"/>
      <c r="C92" s="24" t="s">
        <v>14</v>
      </c>
      <c r="D92" s="39" t="s">
        <v>5</v>
      </c>
      <c r="E92" s="5"/>
      <c r="F92" s="110">
        <f t="shared" si="9"/>
        <v>0</v>
      </c>
      <c r="G92" s="120"/>
      <c r="H92" s="123"/>
      <c r="I92" s="123"/>
      <c r="J92" s="123"/>
      <c r="K92" s="123"/>
      <c r="L92" s="123"/>
      <c r="M92" s="126"/>
      <c r="N92" s="46"/>
      <c r="O92" s="10"/>
      <c r="P92" s="142"/>
      <c r="Q92" s="142"/>
    </row>
    <row r="93" spans="1:17" ht="15" customHeight="1" x14ac:dyDescent="0.25">
      <c r="A93" s="114"/>
      <c r="B93" s="117"/>
      <c r="C93" s="24" t="s">
        <v>14</v>
      </c>
      <c r="D93" s="39" t="s">
        <v>7</v>
      </c>
      <c r="E93" s="5"/>
      <c r="F93" s="110">
        <f t="shared" si="9"/>
        <v>0</v>
      </c>
      <c r="G93" s="120"/>
      <c r="H93" s="123"/>
      <c r="I93" s="123"/>
      <c r="J93" s="123"/>
      <c r="K93" s="123"/>
      <c r="L93" s="123"/>
      <c r="M93" s="126"/>
      <c r="N93" s="46"/>
      <c r="O93" s="10"/>
      <c r="P93" s="142"/>
      <c r="Q93" s="142"/>
    </row>
    <row r="94" spans="1:17" ht="15" customHeight="1" x14ac:dyDescent="0.25">
      <c r="A94" s="114"/>
      <c r="B94" s="117"/>
      <c r="C94" s="24" t="s">
        <v>14</v>
      </c>
      <c r="D94" s="39" t="s">
        <v>9</v>
      </c>
      <c r="E94" s="5"/>
      <c r="F94" s="110">
        <f t="shared" si="9"/>
        <v>0</v>
      </c>
      <c r="G94" s="120"/>
      <c r="H94" s="123"/>
      <c r="I94" s="123"/>
      <c r="J94" s="123"/>
      <c r="K94" s="123"/>
      <c r="L94" s="123"/>
      <c r="M94" s="126"/>
      <c r="N94" s="46"/>
      <c r="O94" s="10"/>
      <c r="P94" s="142"/>
      <c r="Q94" s="142"/>
    </row>
    <row r="95" spans="1:17" ht="15" customHeight="1" x14ac:dyDescent="0.25">
      <c r="A95" s="114"/>
      <c r="B95" s="117"/>
      <c r="C95" s="24" t="s">
        <v>14</v>
      </c>
      <c r="D95" s="39" t="s">
        <v>8</v>
      </c>
      <c r="E95" s="5"/>
      <c r="F95" s="110">
        <f t="shared" si="9"/>
        <v>0</v>
      </c>
      <c r="G95" s="120"/>
      <c r="H95" s="123"/>
      <c r="I95" s="123"/>
      <c r="J95" s="123"/>
      <c r="K95" s="123"/>
      <c r="L95" s="123"/>
      <c r="M95" s="126"/>
      <c r="N95" s="46"/>
      <c r="O95" s="10"/>
      <c r="P95" s="142"/>
      <c r="Q95" s="142"/>
    </row>
    <row r="96" spans="1:17" ht="15" customHeight="1" x14ac:dyDescent="0.25">
      <c r="A96" s="114"/>
      <c r="B96" s="117"/>
      <c r="C96" s="24" t="s">
        <v>14</v>
      </c>
      <c r="D96" s="39" t="s">
        <v>12</v>
      </c>
      <c r="E96" s="5"/>
      <c r="F96" s="110">
        <f t="shared" si="9"/>
        <v>0</v>
      </c>
      <c r="G96" s="120"/>
      <c r="H96" s="123"/>
      <c r="I96" s="123"/>
      <c r="J96" s="123"/>
      <c r="K96" s="123"/>
      <c r="L96" s="123"/>
      <c r="M96" s="126"/>
      <c r="N96" s="46"/>
      <c r="O96" s="10"/>
      <c r="P96" s="142"/>
      <c r="Q96" s="142"/>
    </row>
    <row r="97" spans="1:17" ht="15" customHeight="1" thickBot="1" x14ac:dyDescent="0.3">
      <c r="A97" s="115"/>
      <c r="B97" s="118"/>
      <c r="C97" s="25" t="s">
        <v>14</v>
      </c>
      <c r="D97" s="45" t="s">
        <v>12</v>
      </c>
      <c r="E97" s="12"/>
      <c r="F97" s="111">
        <f t="shared" si="9"/>
        <v>0</v>
      </c>
      <c r="G97" s="121"/>
      <c r="H97" s="124"/>
      <c r="I97" s="124"/>
      <c r="J97" s="124"/>
      <c r="K97" s="124"/>
      <c r="L97" s="124"/>
      <c r="M97" s="127"/>
      <c r="N97" s="47"/>
      <c r="O97" s="13"/>
      <c r="P97" s="142"/>
      <c r="Q97" s="142"/>
    </row>
  </sheetData>
  <mergeCells count="105">
    <mergeCell ref="P89:Q97"/>
    <mergeCell ref="P44:Q52"/>
    <mergeCell ref="P53:Q61"/>
    <mergeCell ref="P62:Q70"/>
    <mergeCell ref="P71:Q79"/>
    <mergeCell ref="P80:Q88"/>
    <mergeCell ref="P8:Q16"/>
    <mergeCell ref="P17:Q25"/>
    <mergeCell ref="P26:Q34"/>
    <mergeCell ref="P35:Q43"/>
    <mergeCell ref="A1:O1"/>
    <mergeCell ref="A2:O2"/>
    <mergeCell ref="A7:B7"/>
    <mergeCell ref="B8:B16"/>
    <mergeCell ref="A8:A16"/>
    <mergeCell ref="B4:F4"/>
    <mergeCell ref="G8:G16"/>
    <mergeCell ref="H8:H16"/>
    <mergeCell ref="I8:I16"/>
    <mergeCell ref="J8:J16"/>
    <mergeCell ref="K8:K16"/>
    <mergeCell ref="L8:L16"/>
    <mergeCell ref="M8:M16"/>
    <mergeCell ref="C7:D7"/>
    <mergeCell ref="A17:A25"/>
    <mergeCell ref="B17:B25"/>
    <mergeCell ref="G17:G25"/>
    <mergeCell ref="H17:H25"/>
    <mergeCell ref="I17:I25"/>
    <mergeCell ref="J17:J25"/>
    <mergeCell ref="K17:K25"/>
    <mergeCell ref="L17:L25"/>
    <mergeCell ref="M17:M25"/>
    <mergeCell ref="A26:A34"/>
    <mergeCell ref="B26:B34"/>
    <mergeCell ref="G26:G34"/>
    <mergeCell ref="H26:H34"/>
    <mergeCell ref="I26:I34"/>
    <mergeCell ref="J26:J34"/>
    <mergeCell ref="K26:K34"/>
    <mergeCell ref="L26:L34"/>
    <mergeCell ref="M26:M34"/>
    <mergeCell ref="A35:A43"/>
    <mergeCell ref="B35:B43"/>
    <mergeCell ref="G35:G43"/>
    <mergeCell ref="H35:H43"/>
    <mergeCell ref="I35:I43"/>
    <mergeCell ref="J35:J43"/>
    <mergeCell ref="K35:K43"/>
    <mergeCell ref="L35:L43"/>
    <mergeCell ref="M35:M43"/>
    <mergeCell ref="A44:A52"/>
    <mergeCell ref="B44:B52"/>
    <mergeCell ref="G44:G52"/>
    <mergeCell ref="H44:H52"/>
    <mergeCell ref="I44:I52"/>
    <mergeCell ref="J44:J52"/>
    <mergeCell ref="K44:K52"/>
    <mergeCell ref="L44:L52"/>
    <mergeCell ref="M44:M52"/>
    <mergeCell ref="A53:A61"/>
    <mergeCell ref="B53:B61"/>
    <mergeCell ref="G53:G61"/>
    <mergeCell ref="H53:H61"/>
    <mergeCell ref="I53:I61"/>
    <mergeCell ref="J53:J61"/>
    <mergeCell ref="K53:K61"/>
    <mergeCell ref="L53:L61"/>
    <mergeCell ref="M53:M61"/>
    <mergeCell ref="A62:A70"/>
    <mergeCell ref="B62:B70"/>
    <mergeCell ref="G62:G70"/>
    <mergeCell ref="H62:H70"/>
    <mergeCell ref="I62:I70"/>
    <mergeCell ref="J62:J70"/>
    <mergeCell ref="K62:K70"/>
    <mergeCell ref="L62:L70"/>
    <mergeCell ref="M62:M70"/>
    <mergeCell ref="A71:A79"/>
    <mergeCell ref="B71:B79"/>
    <mergeCell ref="G71:G79"/>
    <mergeCell ref="H71:H79"/>
    <mergeCell ref="I71:I79"/>
    <mergeCell ref="J71:J79"/>
    <mergeCell ref="K71:K79"/>
    <mergeCell ref="L71:L79"/>
    <mergeCell ref="M71:M79"/>
    <mergeCell ref="A80:A88"/>
    <mergeCell ref="B80:B88"/>
    <mergeCell ref="G80:G88"/>
    <mergeCell ref="H80:H88"/>
    <mergeCell ref="I80:I88"/>
    <mergeCell ref="J80:J88"/>
    <mergeCell ref="K80:K88"/>
    <mergeCell ref="L80:L88"/>
    <mergeCell ref="M80:M88"/>
    <mergeCell ref="A89:A97"/>
    <mergeCell ref="B89:B97"/>
    <mergeCell ref="G89:G97"/>
    <mergeCell ref="H89:H97"/>
    <mergeCell ref="I89:I97"/>
    <mergeCell ref="J89:J97"/>
    <mergeCell ref="K89:K97"/>
    <mergeCell ref="L89:L97"/>
    <mergeCell ref="M89:M97"/>
  </mergeCells>
  <conditionalFormatting sqref="P8:Q97">
    <cfRule type="expression" dxfId="178" priority="87">
      <formula>N8="A rebuter"</formula>
    </cfRule>
    <cfRule type="expression" dxfId="177" priority="88">
      <formula>N9="A rebuter"</formula>
    </cfRule>
    <cfRule type="expression" dxfId="176" priority="89">
      <formula>N10="A rebuter"</formula>
    </cfRule>
    <cfRule type="expression" dxfId="175" priority="90">
      <formula>N11="A rebuter"</formula>
    </cfRule>
    <cfRule type="expression" dxfId="174" priority="91">
      <formula>N12="A rebuter"</formula>
    </cfRule>
    <cfRule type="expression" dxfId="173" priority="92">
      <formula>N13="A rebuter"</formula>
    </cfRule>
    <cfRule type="expression" dxfId="172" priority="93">
      <formula>N14="A rebuter"</formula>
    </cfRule>
    <cfRule type="expression" dxfId="171" priority="94">
      <formula>N15="A rebuter"</formula>
    </cfRule>
  </conditionalFormatting>
  <conditionalFormatting sqref="O8:O16 D8:E16">
    <cfRule type="expression" dxfId="170" priority="128">
      <formula>#REF!="Autre"</formula>
    </cfRule>
    <cfRule type="expression" dxfId="169" priority="129">
      <formula>#REF!="A rebuter"</formula>
    </cfRule>
  </conditionalFormatting>
  <conditionalFormatting sqref="M8:M16">
    <cfRule type="cellIs" dxfId="168" priority="66" stopIfTrue="1" operator="between">
      <formula>$B$4</formula>
      <formula>$B$4+90</formula>
    </cfRule>
    <cfRule type="cellIs" dxfId="167" priority="67" stopIfTrue="1" operator="greaterThan">
      <formula>$B$4</formula>
    </cfRule>
    <cfRule type="cellIs" dxfId="166" priority="68" stopIfTrue="1" operator="lessThan">
      <formula>$B$4</formula>
    </cfRule>
  </conditionalFormatting>
  <conditionalFormatting sqref="C8:C16">
    <cfRule type="expression" dxfId="165" priority="64">
      <formula>#REF!="Autre"</formula>
    </cfRule>
    <cfRule type="expression" dxfId="164" priority="65">
      <formula>#REF!="A rebuter"</formula>
    </cfRule>
  </conditionalFormatting>
  <conditionalFormatting sqref="O17:O25 D17:E25">
    <cfRule type="expression" dxfId="163" priority="62">
      <formula>#REF!="Autre"</formula>
    </cfRule>
    <cfRule type="expression" dxfId="162" priority="63">
      <formula>#REF!="A rebuter"</formula>
    </cfRule>
  </conditionalFormatting>
  <conditionalFormatting sqref="M17:M25">
    <cfRule type="cellIs" dxfId="161" priority="59" stopIfTrue="1" operator="between">
      <formula>$B$4</formula>
      <formula>$B$4+90</formula>
    </cfRule>
    <cfRule type="cellIs" dxfId="160" priority="60" stopIfTrue="1" operator="greaterThan">
      <formula>$B$4</formula>
    </cfRule>
    <cfRule type="cellIs" dxfId="159" priority="61" stopIfTrue="1" operator="lessThan">
      <formula>$B$4</formula>
    </cfRule>
  </conditionalFormatting>
  <conditionalFormatting sqref="C17:C25">
    <cfRule type="expression" dxfId="158" priority="57">
      <formula>#REF!="Autre"</formula>
    </cfRule>
    <cfRule type="expression" dxfId="157" priority="58">
      <formula>#REF!="A rebuter"</formula>
    </cfRule>
  </conditionalFormatting>
  <conditionalFormatting sqref="O26:O34 D26:E34">
    <cfRule type="expression" dxfId="156" priority="55">
      <formula>#REF!="Autre"</formula>
    </cfRule>
    <cfRule type="expression" dxfId="155" priority="56">
      <formula>#REF!="A rebuter"</formula>
    </cfRule>
  </conditionalFormatting>
  <conditionalFormatting sqref="M26:M34">
    <cfRule type="cellIs" dxfId="154" priority="52" stopIfTrue="1" operator="between">
      <formula>$B$4</formula>
      <formula>$B$4+90</formula>
    </cfRule>
    <cfRule type="cellIs" dxfId="153" priority="53" stopIfTrue="1" operator="greaterThan">
      <formula>$B$4</formula>
    </cfRule>
    <cfRule type="cellIs" dxfId="152" priority="54" stopIfTrue="1" operator="lessThan">
      <formula>$B$4</formula>
    </cfRule>
  </conditionalFormatting>
  <conditionalFormatting sqref="C26:C34">
    <cfRule type="expression" dxfId="151" priority="50">
      <formula>#REF!="Autre"</formula>
    </cfRule>
    <cfRule type="expression" dxfId="150" priority="51">
      <formula>#REF!="A rebuter"</formula>
    </cfRule>
  </conditionalFormatting>
  <conditionalFormatting sqref="O35:O43 D35:E43">
    <cfRule type="expression" dxfId="149" priority="48">
      <formula>#REF!="Autre"</formula>
    </cfRule>
    <cfRule type="expression" dxfId="148" priority="49">
      <formula>#REF!="A rebuter"</formula>
    </cfRule>
  </conditionalFormatting>
  <conditionalFormatting sqref="M35:M43">
    <cfRule type="cellIs" dxfId="147" priority="45" stopIfTrue="1" operator="between">
      <formula>$B$4</formula>
      <formula>$B$4+90</formula>
    </cfRule>
    <cfRule type="cellIs" dxfId="146" priority="46" stopIfTrue="1" operator="greaterThan">
      <formula>$B$4</formula>
    </cfRule>
    <cfRule type="cellIs" dxfId="145" priority="47" stopIfTrue="1" operator="lessThan">
      <formula>$B$4</formula>
    </cfRule>
  </conditionalFormatting>
  <conditionalFormatting sqref="C35:C43">
    <cfRule type="expression" dxfId="144" priority="43">
      <formula>#REF!="Autre"</formula>
    </cfRule>
    <cfRule type="expression" dxfId="143" priority="44">
      <formula>#REF!="A rebuter"</formula>
    </cfRule>
  </conditionalFormatting>
  <conditionalFormatting sqref="O44:O52 D44:E52">
    <cfRule type="expression" dxfId="142" priority="41">
      <formula>#REF!="Autre"</formula>
    </cfRule>
    <cfRule type="expression" dxfId="141" priority="42">
      <formula>#REF!="A rebuter"</formula>
    </cfRule>
  </conditionalFormatting>
  <conditionalFormatting sqref="M44:M52">
    <cfRule type="cellIs" dxfId="140" priority="38" stopIfTrue="1" operator="between">
      <formula>$B$4</formula>
      <formula>$B$4+90</formula>
    </cfRule>
    <cfRule type="cellIs" dxfId="139" priority="39" stopIfTrue="1" operator="greaterThan">
      <formula>$B$4</formula>
    </cfRule>
    <cfRule type="cellIs" dxfId="138" priority="40" stopIfTrue="1" operator="lessThan">
      <formula>$B$4</formula>
    </cfRule>
  </conditionalFormatting>
  <conditionalFormatting sqref="C44:C52">
    <cfRule type="expression" dxfId="137" priority="36">
      <formula>#REF!="Autre"</formula>
    </cfRule>
    <cfRule type="expression" dxfId="136" priority="37">
      <formula>#REF!="A rebuter"</formula>
    </cfRule>
  </conditionalFormatting>
  <conditionalFormatting sqref="O53:O61 D53:E61">
    <cfRule type="expression" dxfId="135" priority="34">
      <formula>#REF!="Autre"</formula>
    </cfRule>
    <cfRule type="expression" dxfId="134" priority="35">
      <formula>#REF!="A rebuter"</formula>
    </cfRule>
  </conditionalFormatting>
  <conditionalFormatting sqref="M53:M61">
    <cfRule type="cellIs" dxfId="133" priority="31" stopIfTrue="1" operator="between">
      <formula>$B$4</formula>
      <formula>$B$4+90</formula>
    </cfRule>
    <cfRule type="cellIs" dxfId="132" priority="32" stopIfTrue="1" operator="greaterThan">
      <formula>$B$4</formula>
    </cfRule>
    <cfRule type="cellIs" dxfId="131" priority="33" stopIfTrue="1" operator="lessThan">
      <formula>$B$4</formula>
    </cfRule>
  </conditionalFormatting>
  <conditionalFormatting sqref="C53:C61">
    <cfRule type="expression" dxfId="130" priority="29">
      <formula>#REF!="Autre"</formula>
    </cfRule>
    <cfRule type="expression" dxfId="129" priority="30">
      <formula>#REF!="A rebuter"</formula>
    </cfRule>
  </conditionalFormatting>
  <conditionalFormatting sqref="O62:O70 D62:E70">
    <cfRule type="expression" dxfId="128" priority="27">
      <formula>#REF!="Autre"</formula>
    </cfRule>
    <cfRule type="expression" dxfId="127" priority="28">
      <formula>#REF!="A rebuter"</formula>
    </cfRule>
  </conditionalFormatting>
  <conditionalFormatting sqref="M62:M70">
    <cfRule type="cellIs" dxfId="126" priority="24" stopIfTrue="1" operator="between">
      <formula>$B$4</formula>
      <formula>$B$4+90</formula>
    </cfRule>
    <cfRule type="cellIs" dxfId="125" priority="25" stopIfTrue="1" operator="greaterThan">
      <formula>$B$4</formula>
    </cfRule>
    <cfRule type="cellIs" dxfId="124" priority="26" stopIfTrue="1" operator="lessThan">
      <formula>$B$4</formula>
    </cfRule>
  </conditionalFormatting>
  <conditionalFormatting sqref="C62:C70">
    <cfRule type="expression" dxfId="123" priority="22">
      <formula>#REF!="Autre"</formula>
    </cfRule>
    <cfRule type="expression" dxfId="122" priority="23">
      <formula>#REF!="A rebuter"</formula>
    </cfRule>
  </conditionalFormatting>
  <conditionalFormatting sqref="O71:O79 D71:E79">
    <cfRule type="expression" dxfId="121" priority="20">
      <formula>#REF!="Autre"</formula>
    </cfRule>
    <cfRule type="expression" dxfId="120" priority="21">
      <formula>#REF!="A rebuter"</formula>
    </cfRule>
  </conditionalFormatting>
  <conditionalFormatting sqref="M71:M79">
    <cfRule type="cellIs" dxfId="119" priority="17" stopIfTrue="1" operator="between">
      <formula>$B$4</formula>
      <formula>$B$4+90</formula>
    </cfRule>
    <cfRule type="cellIs" dxfId="118" priority="18" stopIfTrue="1" operator="greaterThan">
      <formula>$B$4</formula>
    </cfRule>
    <cfRule type="cellIs" dxfId="117" priority="19" stopIfTrue="1" operator="lessThan">
      <formula>$B$4</formula>
    </cfRule>
  </conditionalFormatting>
  <conditionalFormatting sqref="C71:C79">
    <cfRule type="expression" dxfId="116" priority="15">
      <formula>#REF!="Autre"</formula>
    </cfRule>
    <cfRule type="expression" dxfId="115" priority="16">
      <formula>#REF!="A rebuter"</formula>
    </cfRule>
  </conditionalFormatting>
  <conditionalFormatting sqref="O80:O88 D80:E88">
    <cfRule type="expression" dxfId="114" priority="13">
      <formula>#REF!="Autre"</formula>
    </cfRule>
    <cfRule type="expression" dxfId="113" priority="14">
      <formula>#REF!="A rebuter"</formula>
    </cfRule>
  </conditionalFormatting>
  <conditionalFormatting sqref="M80:M88">
    <cfRule type="cellIs" dxfId="112" priority="10" stopIfTrue="1" operator="between">
      <formula>$B$4</formula>
      <formula>$B$4+90</formula>
    </cfRule>
    <cfRule type="cellIs" dxfId="111" priority="11" stopIfTrue="1" operator="greaterThan">
      <formula>$B$4</formula>
    </cfRule>
    <cfRule type="cellIs" dxfId="110" priority="12" stopIfTrue="1" operator="lessThan">
      <formula>$B$4</formula>
    </cfRule>
  </conditionalFormatting>
  <conditionalFormatting sqref="C80:C88">
    <cfRule type="expression" dxfId="109" priority="8">
      <formula>#REF!="Autre"</formula>
    </cfRule>
    <cfRule type="expression" dxfId="108" priority="9">
      <formula>#REF!="A rebuter"</formula>
    </cfRule>
  </conditionalFormatting>
  <conditionalFormatting sqref="O89:O97 D89:E97">
    <cfRule type="expression" dxfId="107" priority="6">
      <formula>#REF!="Autre"</formula>
    </cfRule>
    <cfRule type="expression" dxfId="106" priority="7">
      <formula>#REF!="A rebuter"</formula>
    </cfRule>
  </conditionalFormatting>
  <conditionalFormatting sqref="M89:M97">
    <cfRule type="cellIs" dxfId="105" priority="3" stopIfTrue="1" operator="between">
      <formula>$B$4</formula>
      <formula>$B$4+90</formula>
    </cfRule>
    <cfRule type="cellIs" dxfId="104" priority="4" stopIfTrue="1" operator="greaterThan">
      <formula>$B$4</formula>
    </cfRule>
    <cfRule type="cellIs" dxfId="103" priority="5" stopIfTrue="1" operator="lessThan">
      <formula>$B$4</formula>
    </cfRule>
  </conditionalFormatting>
  <conditionalFormatting sqref="C89:C97">
    <cfRule type="expression" dxfId="102" priority="1">
      <formula>#REF!="Autre"</formula>
    </cfRule>
    <cfRule type="expression" dxfId="101" priority="2">
      <formula>#REF!="A rebuter"</formula>
    </cfRule>
  </conditionalFormatting>
  <dataValidations count="1">
    <dataValidation type="list" allowBlank="1" showInputMessage="1" sqref="N8:N97">
      <formula1>$S$9:$S$11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4"/>
  <sheetViews>
    <sheetView workbookViewId="0">
      <pane ySplit="9" topLeftCell="A10" activePane="bottomLeft" state="frozenSplit"/>
      <selection pane="bottomLeft" activeCell="D12" sqref="D12"/>
    </sheetView>
  </sheetViews>
  <sheetFormatPr baseColWidth="10" defaultRowHeight="15" x14ac:dyDescent="0.25"/>
  <cols>
    <col min="1" max="1" width="14.875" style="1" customWidth="1"/>
    <col min="2" max="2" width="15.25" style="1" customWidth="1"/>
    <col min="3" max="3" width="22.625" style="1" customWidth="1"/>
    <col min="4" max="4" width="19.5" style="1" customWidth="1"/>
    <col min="5" max="5" width="10.75" style="1" customWidth="1"/>
    <col min="6" max="11" width="7.875" style="1" customWidth="1"/>
    <col min="12" max="12" width="11.625" style="1" customWidth="1"/>
    <col min="13" max="16384" width="11" style="1"/>
  </cols>
  <sheetData>
    <row r="1" spans="1:15" ht="26.25" x14ac:dyDescent="0.4">
      <c r="A1" s="135" t="s">
        <v>19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1:15" ht="30.75" customHeight="1" thickBot="1" x14ac:dyDescent="0.3">
      <c r="A2" s="136" t="s">
        <v>66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spans="1:15" ht="5.0999999999999996" customHeight="1" x14ac:dyDescent="0.25"/>
    <row r="4" spans="1:15" ht="15" customHeight="1" x14ac:dyDescent="0.25">
      <c r="A4" s="18" t="s">
        <v>41</v>
      </c>
      <c r="B4" s="37">
        <f ca="1">TODAY()</f>
        <v>43343</v>
      </c>
    </row>
    <row r="5" spans="1:15" x14ac:dyDescent="0.25">
      <c r="A5" s="1" t="s">
        <v>17</v>
      </c>
    </row>
    <row r="6" spans="1:15" x14ac:dyDescent="0.25">
      <c r="A6" s="1" t="s">
        <v>18</v>
      </c>
    </row>
    <row r="7" spans="1:15" x14ac:dyDescent="0.25">
      <c r="A7" s="18" t="s">
        <v>31</v>
      </c>
    </row>
    <row r="8" spans="1:15" ht="5.0999999999999996" customHeight="1" thickBot="1" x14ac:dyDescent="0.3"/>
    <row r="9" spans="1:15" s="14" customFormat="1" ht="23.25" thickBot="1" x14ac:dyDescent="0.25">
      <c r="A9" s="48" t="s">
        <v>20</v>
      </c>
      <c r="B9" s="29" t="s">
        <v>21</v>
      </c>
      <c r="C9" s="20" t="s">
        <v>15</v>
      </c>
      <c r="D9" s="49" t="s">
        <v>22</v>
      </c>
      <c r="E9" s="79" t="s">
        <v>64</v>
      </c>
      <c r="F9" s="80">
        <v>2017</v>
      </c>
      <c r="G9" s="80">
        <v>2018</v>
      </c>
      <c r="H9" s="80">
        <v>2019</v>
      </c>
      <c r="I9" s="80">
        <v>2020</v>
      </c>
      <c r="J9" s="80">
        <v>2021</v>
      </c>
      <c r="K9" s="6">
        <v>2022</v>
      </c>
      <c r="L9" s="87" t="s">
        <v>23</v>
      </c>
      <c r="M9" s="21" t="s">
        <v>42</v>
      </c>
    </row>
    <row r="10" spans="1:15" ht="15" customHeight="1" x14ac:dyDescent="0.25">
      <c r="A10" s="149" t="s">
        <v>24</v>
      </c>
      <c r="B10" s="23"/>
      <c r="C10" s="7"/>
      <c r="D10" s="84"/>
      <c r="E10" s="23"/>
      <c r="F10" s="78"/>
      <c r="G10" s="78"/>
      <c r="H10" s="75"/>
      <c r="I10" s="75"/>
      <c r="J10" s="75"/>
      <c r="K10" s="91"/>
      <c r="L10" s="88" t="str">
        <f>IF($K10&lt;&gt;"",$K10+364,IF($J10&lt;&gt;"",$J10+364,IF($I10&lt;&gt;"",$I10+365,IF($H10&lt;&gt;"",$H10+364,IF($G10&lt;&gt;"",$G10+364,IF($F10&lt;&gt;"",$F10+364,""))))))</f>
        <v/>
      </c>
      <c r="M10" s="51" t="s">
        <v>43</v>
      </c>
      <c r="N10" s="142" t="s">
        <v>46</v>
      </c>
      <c r="O10" s="142"/>
    </row>
    <row r="11" spans="1:15" x14ac:dyDescent="0.25">
      <c r="A11" s="150"/>
      <c r="B11" s="24"/>
      <c r="C11" s="4"/>
      <c r="D11" s="85"/>
      <c r="E11" s="24"/>
      <c r="F11" s="38"/>
      <c r="G11" s="38"/>
      <c r="H11" s="76"/>
      <c r="I11" s="76"/>
      <c r="J11" s="76"/>
      <c r="K11" s="92"/>
      <c r="L11" s="89" t="str">
        <f t="shared" ref="L11:L54" si="0">IF($K11&lt;&gt;"",$K11+364,IF($J11&lt;&gt;"",$J11+364,IF($I11&lt;&gt;"",$I11+365,IF($H11&lt;&gt;"",$H11+364,IF($G11&lt;&gt;"",$G11+364,IF($F11&lt;&gt;"",$F11+364,""))))))</f>
        <v/>
      </c>
      <c r="M11" s="52"/>
      <c r="N11" s="142"/>
      <c r="O11" s="142"/>
    </row>
    <row r="12" spans="1:15" x14ac:dyDescent="0.25">
      <c r="A12" s="150"/>
      <c r="B12" s="24"/>
      <c r="C12" s="4"/>
      <c r="D12" s="85"/>
      <c r="E12" s="24"/>
      <c r="F12" s="38"/>
      <c r="G12" s="76"/>
      <c r="H12" s="76"/>
      <c r="I12" s="76"/>
      <c r="J12" s="76"/>
      <c r="K12" s="92"/>
      <c r="L12" s="89" t="str">
        <f t="shared" si="0"/>
        <v/>
      </c>
      <c r="M12" s="52"/>
      <c r="N12" s="142"/>
      <c r="O12" s="142"/>
    </row>
    <row r="13" spans="1:15" x14ac:dyDescent="0.25">
      <c r="A13" s="150"/>
      <c r="B13" s="24"/>
      <c r="C13" s="4"/>
      <c r="D13" s="85"/>
      <c r="E13" s="24"/>
      <c r="F13" s="38"/>
      <c r="G13" s="76"/>
      <c r="H13" s="76"/>
      <c r="I13" s="76"/>
      <c r="J13" s="76"/>
      <c r="K13" s="92"/>
      <c r="L13" s="89" t="str">
        <f t="shared" si="0"/>
        <v/>
      </c>
      <c r="M13" s="52"/>
      <c r="N13" s="142"/>
      <c r="O13" s="142"/>
    </row>
    <row r="14" spans="1:15" x14ac:dyDescent="0.25">
      <c r="A14" s="150"/>
      <c r="B14" s="24"/>
      <c r="C14" s="4"/>
      <c r="D14" s="85"/>
      <c r="E14" s="24"/>
      <c r="F14" s="76"/>
      <c r="G14" s="76"/>
      <c r="H14" s="76"/>
      <c r="I14" s="76"/>
      <c r="J14" s="76"/>
      <c r="K14" s="92"/>
      <c r="L14" s="89" t="str">
        <f t="shared" si="0"/>
        <v/>
      </c>
      <c r="M14" s="52"/>
      <c r="N14" s="142"/>
      <c r="O14" s="142"/>
    </row>
    <row r="15" spans="1:15" x14ac:dyDescent="0.25">
      <c r="A15" s="150"/>
      <c r="B15" s="24"/>
      <c r="C15" s="4"/>
      <c r="D15" s="85"/>
      <c r="E15" s="24"/>
      <c r="F15" s="76"/>
      <c r="G15" s="76"/>
      <c r="H15" s="76"/>
      <c r="I15" s="76"/>
      <c r="J15" s="76"/>
      <c r="K15" s="92"/>
      <c r="L15" s="89" t="str">
        <f t="shared" si="0"/>
        <v/>
      </c>
      <c r="M15" s="52"/>
      <c r="N15" s="142"/>
      <c r="O15" s="142"/>
    </row>
    <row r="16" spans="1:15" x14ac:dyDescent="0.25">
      <c r="A16" s="150"/>
      <c r="B16" s="24"/>
      <c r="C16" s="4"/>
      <c r="D16" s="85"/>
      <c r="E16" s="24"/>
      <c r="F16" s="76"/>
      <c r="G16" s="76"/>
      <c r="H16" s="76"/>
      <c r="I16" s="76"/>
      <c r="J16" s="76"/>
      <c r="K16" s="92"/>
      <c r="L16" s="89" t="str">
        <f t="shared" si="0"/>
        <v/>
      </c>
      <c r="M16" s="52"/>
      <c r="N16" s="142"/>
      <c r="O16" s="142"/>
    </row>
    <row r="17" spans="1:15" x14ac:dyDescent="0.25">
      <c r="A17" s="150"/>
      <c r="B17" s="24"/>
      <c r="C17" s="4"/>
      <c r="D17" s="85"/>
      <c r="E17" s="24"/>
      <c r="F17" s="76"/>
      <c r="G17" s="76"/>
      <c r="H17" s="76"/>
      <c r="I17" s="76"/>
      <c r="J17" s="76"/>
      <c r="K17" s="92"/>
      <c r="L17" s="89" t="str">
        <f t="shared" si="0"/>
        <v/>
      </c>
      <c r="M17" s="52"/>
      <c r="N17" s="142"/>
      <c r="O17" s="142"/>
    </row>
    <row r="18" spans="1:15" x14ac:dyDescent="0.25">
      <c r="A18" s="150"/>
      <c r="B18" s="24"/>
      <c r="C18" s="4"/>
      <c r="D18" s="85"/>
      <c r="E18" s="24"/>
      <c r="F18" s="76"/>
      <c r="G18" s="76"/>
      <c r="H18" s="76"/>
      <c r="I18" s="76"/>
      <c r="J18" s="76"/>
      <c r="K18" s="92"/>
      <c r="L18" s="89" t="str">
        <f t="shared" si="0"/>
        <v/>
      </c>
      <c r="M18" s="52"/>
      <c r="N18" s="142"/>
      <c r="O18" s="142"/>
    </row>
    <row r="19" spans="1:15" ht="15.75" customHeight="1" thickBot="1" x14ac:dyDescent="0.3">
      <c r="A19" s="151"/>
      <c r="B19" s="25"/>
      <c r="C19" s="11"/>
      <c r="D19" s="86"/>
      <c r="E19" s="27"/>
      <c r="F19" s="40"/>
      <c r="G19" s="40"/>
      <c r="H19" s="40"/>
      <c r="I19" s="40"/>
      <c r="J19" s="40"/>
      <c r="K19" s="98"/>
      <c r="L19" s="90" t="str">
        <f t="shared" si="0"/>
        <v/>
      </c>
      <c r="M19" s="53"/>
      <c r="N19" s="142"/>
      <c r="O19" s="142"/>
    </row>
    <row r="20" spans="1:15" x14ac:dyDescent="0.25">
      <c r="A20" s="149" t="s">
        <v>25</v>
      </c>
      <c r="B20" s="23"/>
      <c r="C20" s="7"/>
      <c r="D20" s="84"/>
      <c r="E20" s="23"/>
      <c r="F20" s="75"/>
      <c r="G20" s="75"/>
      <c r="H20" s="75"/>
      <c r="I20" s="75"/>
      <c r="J20" s="75"/>
      <c r="K20" s="91"/>
      <c r="L20" s="88" t="str">
        <f t="shared" si="0"/>
        <v/>
      </c>
      <c r="M20" s="51"/>
      <c r="N20" s="146" t="s">
        <v>46</v>
      </c>
      <c r="O20" s="147"/>
    </row>
    <row r="21" spans="1:15" x14ac:dyDescent="0.25">
      <c r="A21" s="150"/>
      <c r="B21" s="24"/>
      <c r="C21" s="4"/>
      <c r="D21" s="85"/>
      <c r="E21" s="24"/>
      <c r="F21" s="76"/>
      <c r="G21" s="76"/>
      <c r="H21" s="76"/>
      <c r="I21" s="76"/>
      <c r="J21" s="76"/>
      <c r="K21" s="92"/>
      <c r="L21" s="89" t="str">
        <f t="shared" si="0"/>
        <v/>
      </c>
      <c r="M21" s="52"/>
      <c r="N21" s="148"/>
      <c r="O21" s="147"/>
    </row>
    <row r="22" spans="1:15" x14ac:dyDescent="0.25">
      <c r="A22" s="150"/>
      <c r="B22" s="24"/>
      <c r="C22" s="4"/>
      <c r="D22" s="85"/>
      <c r="E22" s="24"/>
      <c r="F22" s="76"/>
      <c r="G22" s="76"/>
      <c r="H22" s="76"/>
      <c r="I22" s="76"/>
      <c r="J22" s="76"/>
      <c r="K22" s="92"/>
      <c r="L22" s="89" t="str">
        <f t="shared" si="0"/>
        <v/>
      </c>
      <c r="M22" s="52"/>
      <c r="N22" s="148"/>
      <c r="O22" s="147"/>
    </row>
    <row r="23" spans="1:15" x14ac:dyDescent="0.25">
      <c r="A23" s="150"/>
      <c r="B23" s="24"/>
      <c r="C23" s="4"/>
      <c r="D23" s="85"/>
      <c r="E23" s="24"/>
      <c r="F23" s="76"/>
      <c r="G23" s="76"/>
      <c r="H23" s="76"/>
      <c r="I23" s="76"/>
      <c r="J23" s="76"/>
      <c r="K23" s="92"/>
      <c r="L23" s="89" t="str">
        <f t="shared" si="0"/>
        <v/>
      </c>
      <c r="M23" s="52"/>
      <c r="N23" s="148"/>
      <c r="O23" s="147"/>
    </row>
    <row r="24" spans="1:15" x14ac:dyDescent="0.25">
      <c r="A24" s="150"/>
      <c r="B24" s="24"/>
      <c r="C24" s="4"/>
      <c r="D24" s="85"/>
      <c r="E24" s="24"/>
      <c r="F24" s="76"/>
      <c r="G24" s="76"/>
      <c r="H24" s="76"/>
      <c r="I24" s="76"/>
      <c r="J24" s="76"/>
      <c r="K24" s="92"/>
      <c r="L24" s="89" t="str">
        <f t="shared" si="0"/>
        <v/>
      </c>
      <c r="M24" s="52"/>
      <c r="N24" s="148"/>
      <c r="O24" s="147"/>
    </row>
    <row r="25" spans="1:15" x14ac:dyDescent="0.25">
      <c r="A25" s="150"/>
      <c r="B25" s="24"/>
      <c r="C25" s="4"/>
      <c r="D25" s="85"/>
      <c r="E25" s="24"/>
      <c r="F25" s="76"/>
      <c r="G25" s="76"/>
      <c r="H25" s="76"/>
      <c r="I25" s="76"/>
      <c r="J25" s="76"/>
      <c r="K25" s="92"/>
      <c r="L25" s="89" t="str">
        <f t="shared" si="0"/>
        <v/>
      </c>
      <c r="M25" s="52"/>
      <c r="N25" s="148"/>
      <c r="O25" s="147"/>
    </row>
    <row r="26" spans="1:15" x14ac:dyDescent="0.25">
      <c r="A26" s="150"/>
      <c r="B26" s="24"/>
      <c r="C26" s="4"/>
      <c r="D26" s="85"/>
      <c r="E26" s="24"/>
      <c r="F26" s="76"/>
      <c r="G26" s="76"/>
      <c r="H26" s="76"/>
      <c r="I26" s="76"/>
      <c r="J26" s="76"/>
      <c r="K26" s="92"/>
      <c r="L26" s="89" t="str">
        <f t="shared" si="0"/>
        <v/>
      </c>
      <c r="M26" s="52"/>
      <c r="N26" s="148"/>
      <c r="O26" s="147"/>
    </row>
    <row r="27" spans="1:15" x14ac:dyDescent="0.25">
      <c r="A27" s="150"/>
      <c r="B27" s="24"/>
      <c r="C27" s="4"/>
      <c r="D27" s="85"/>
      <c r="E27" s="24"/>
      <c r="F27" s="76"/>
      <c r="G27" s="76"/>
      <c r="H27" s="76"/>
      <c r="I27" s="76"/>
      <c r="J27" s="76"/>
      <c r="K27" s="92"/>
      <c r="L27" s="89" t="str">
        <f t="shared" si="0"/>
        <v/>
      </c>
      <c r="M27" s="52"/>
      <c r="N27" s="148"/>
      <c r="O27" s="147"/>
    </row>
    <row r="28" spans="1:15" x14ac:dyDescent="0.25">
      <c r="A28" s="150"/>
      <c r="B28" s="24"/>
      <c r="C28" s="4"/>
      <c r="D28" s="85"/>
      <c r="E28" s="24"/>
      <c r="F28" s="76"/>
      <c r="G28" s="76"/>
      <c r="H28" s="76"/>
      <c r="I28" s="76"/>
      <c r="J28" s="76"/>
      <c r="K28" s="92"/>
      <c r="L28" s="89" t="str">
        <f t="shared" si="0"/>
        <v/>
      </c>
      <c r="M28" s="52"/>
      <c r="N28" s="148"/>
      <c r="O28" s="147"/>
    </row>
    <row r="29" spans="1:15" x14ac:dyDescent="0.25">
      <c r="A29" s="150"/>
      <c r="B29" s="24"/>
      <c r="C29" s="4"/>
      <c r="D29" s="85"/>
      <c r="E29" s="24"/>
      <c r="F29" s="76"/>
      <c r="G29" s="76"/>
      <c r="H29" s="76"/>
      <c r="I29" s="76"/>
      <c r="J29" s="76"/>
      <c r="K29" s="92"/>
      <c r="L29" s="89" t="str">
        <f t="shared" si="0"/>
        <v/>
      </c>
      <c r="M29" s="52"/>
      <c r="N29" s="148"/>
      <c r="O29" s="147"/>
    </row>
    <row r="30" spans="1:15" x14ac:dyDescent="0.25">
      <c r="A30" s="150"/>
      <c r="B30" s="24"/>
      <c r="C30" s="4"/>
      <c r="D30" s="85"/>
      <c r="E30" s="24"/>
      <c r="F30" s="76"/>
      <c r="G30" s="76"/>
      <c r="H30" s="76"/>
      <c r="I30" s="76"/>
      <c r="J30" s="76"/>
      <c r="K30" s="92"/>
      <c r="L30" s="89" t="str">
        <f t="shared" si="0"/>
        <v/>
      </c>
      <c r="M30" s="52"/>
      <c r="N30" s="148"/>
      <c r="O30" s="147"/>
    </row>
    <row r="31" spans="1:15" x14ac:dyDescent="0.25">
      <c r="A31" s="150"/>
      <c r="B31" s="24"/>
      <c r="C31" s="4"/>
      <c r="D31" s="85"/>
      <c r="E31" s="24"/>
      <c r="F31" s="76"/>
      <c r="G31" s="76"/>
      <c r="H31" s="76"/>
      <c r="I31" s="76"/>
      <c r="J31" s="76"/>
      <c r="K31" s="92"/>
      <c r="L31" s="89" t="str">
        <f t="shared" si="0"/>
        <v/>
      </c>
      <c r="M31" s="52"/>
      <c r="N31" s="148"/>
      <c r="O31" s="147"/>
    </row>
    <row r="32" spans="1:15" x14ac:dyDescent="0.25">
      <c r="A32" s="150"/>
      <c r="B32" s="24"/>
      <c r="C32" s="4"/>
      <c r="D32" s="85"/>
      <c r="E32" s="24"/>
      <c r="F32" s="76"/>
      <c r="G32" s="76"/>
      <c r="H32" s="76"/>
      <c r="I32" s="76"/>
      <c r="J32" s="76"/>
      <c r="K32" s="92"/>
      <c r="L32" s="89" t="str">
        <f t="shared" si="0"/>
        <v/>
      </c>
      <c r="M32" s="52"/>
      <c r="N32" s="148"/>
      <c r="O32" s="147"/>
    </row>
    <row r="33" spans="1:15" x14ac:dyDescent="0.25">
      <c r="A33" s="150"/>
      <c r="B33" s="24"/>
      <c r="C33" s="4"/>
      <c r="D33" s="85"/>
      <c r="E33" s="24"/>
      <c r="F33" s="76"/>
      <c r="G33" s="76"/>
      <c r="H33" s="76"/>
      <c r="I33" s="76"/>
      <c r="J33" s="76"/>
      <c r="K33" s="92"/>
      <c r="L33" s="89" t="str">
        <f t="shared" si="0"/>
        <v/>
      </c>
      <c r="M33" s="52"/>
      <c r="N33" s="148"/>
      <c r="O33" s="147"/>
    </row>
    <row r="34" spans="1:15" ht="15.75" thickBot="1" x14ac:dyDescent="0.3">
      <c r="A34" s="151"/>
      <c r="B34" s="25"/>
      <c r="C34" s="11"/>
      <c r="D34" s="86"/>
      <c r="E34" s="25"/>
      <c r="F34" s="77"/>
      <c r="G34" s="77"/>
      <c r="H34" s="77"/>
      <c r="I34" s="77"/>
      <c r="J34" s="77"/>
      <c r="K34" s="93"/>
      <c r="L34" s="90" t="str">
        <f t="shared" si="0"/>
        <v/>
      </c>
      <c r="M34" s="53"/>
      <c r="N34" s="148"/>
      <c r="O34" s="147"/>
    </row>
    <row r="35" spans="1:15" x14ac:dyDescent="0.25">
      <c r="A35" s="152" t="s">
        <v>26</v>
      </c>
      <c r="B35" s="28"/>
      <c r="C35" s="22"/>
      <c r="D35" s="94"/>
      <c r="E35" s="23"/>
      <c r="F35" s="75"/>
      <c r="G35" s="75"/>
      <c r="H35" s="75"/>
      <c r="I35" s="75"/>
      <c r="J35" s="75"/>
      <c r="K35" s="91"/>
      <c r="L35" s="96" t="str">
        <f t="shared" si="0"/>
        <v/>
      </c>
      <c r="M35" s="54"/>
      <c r="N35" s="143" t="s">
        <v>47</v>
      </c>
      <c r="O35" s="144"/>
    </row>
    <row r="36" spans="1:15" x14ac:dyDescent="0.25">
      <c r="A36" s="150"/>
      <c r="B36" s="24"/>
      <c r="C36" s="4"/>
      <c r="D36" s="85"/>
      <c r="E36" s="24"/>
      <c r="F36" s="76"/>
      <c r="G36" s="76"/>
      <c r="H36" s="76"/>
      <c r="I36" s="76"/>
      <c r="J36" s="76"/>
      <c r="K36" s="92"/>
      <c r="L36" s="89" t="str">
        <f t="shared" si="0"/>
        <v/>
      </c>
      <c r="M36" s="55"/>
      <c r="N36" s="145"/>
      <c r="O36" s="144"/>
    </row>
    <row r="37" spans="1:15" x14ac:dyDescent="0.25">
      <c r="A37" s="150"/>
      <c r="B37" s="24"/>
      <c r="C37" s="4"/>
      <c r="D37" s="85"/>
      <c r="E37" s="24"/>
      <c r="F37" s="76"/>
      <c r="G37" s="76"/>
      <c r="H37" s="76"/>
      <c r="I37" s="76"/>
      <c r="J37" s="76"/>
      <c r="K37" s="92"/>
      <c r="L37" s="89" t="str">
        <f t="shared" si="0"/>
        <v/>
      </c>
      <c r="M37" s="55"/>
      <c r="N37" s="145"/>
      <c r="O37" s="144"/>
    </row>
    <row r="38" spans="1:15" ht="15.75" thickBot="1" x14ac:dyDescent="0.3">
      <c r="A38" s="153"/>
      <c r="B38" s="27"/>
      <c r="C38" s="26"/>
      <c r="D38" s="95"/>
      <c r="E38" s="25"/>
      <c r="F38" s="77"/>
      <c r="G38" s="77"/>
      <c r="H38" s="77"/>
      <c r="I38" s="77"/>
      <c r="J38" s="77"/>
      <c r="K38" s="93"/>
      <c r="L38" s="97" t="str">
        <f t="shared" si="0"/>
        <v/>
      </c>
      <c r="M38" s="56"/>
      <c r="N38" s="145"/>
      <c r="O38" s="144"/>
    </row>
    <row r="39" spans="1:15" ht="15" customHeight="1" x14ac:dyDescent="0.25">
      <c r="A39" s="149" t="s">
        <v>27</v>
      </c>
      <c r="B39" s="23"/>
      <c r="C39" s="7"/>
      <c r="D39" s="84"/>
      <c r="E39" s="23"/>
      <c r="F39" s="75"/>
      <c r="G39" s="75"/>
      <c r="H39" s="75"/>
      <c r="I39" s="75"/>
      <c r="J39" s="75"/>
      <c r="K39" s="91"/>
      <c r="L39" s="88" t="str">
        <f t="shared" si="0"/>
        <v/>
      </c>
      <c r="M39" s="51"/>
      <c r="N39" s="143" t="s">
        <v>47</v>
      </c>
      <c r="O39" s="144"/>
    </row>
    <row r="40" spans="1:15" x14ac:dyDescent="0.25">
      <c r="A40" s="150"/>
      <c r="B40" s="24"/>
      <c r="C40" s="4"/>
      <c r="D40" s="85"/>
      <c r="E40" s="24"/>
      <c r="F40" s="76"/>
      <c r="G40" s="76"/>
      <c r="H40" s="76"/>
      <c r="I40" s="76"/>
      <c r="J40" s="76"/>
      <c r="K40" s="92"/>
      <c r="L40" s="89" t="str">
        <f t="shared" si="0"/>
        <v/>
      </c>
      <c r="M40" s="52"/>
      <c r="N40" s="145"/>
      <c r="O40" s="144"/>
    </row>
    <row r="41" spans="1:15" x14ac:dyDescent="0.25">
      <c r="A41" s="150"/>
      <c r="B41" s="24"/>
      <c r="C41" s="4"/>
      <c r="D41" s="85"/>
      <c r="E41" s="24"/>
      <c r="F41" s="76"/>
      <c r="G41" s="76"/>
      <c r="H41" s="76"/>
      <c r="I41" s="76"/>
      <c r="J41" s="76"/>
      <c r="K41" s="92"/>
      <c r="L41" s="89" t="str">
        <f t="shared" si="0"/>
        <v/>
      </c>
      <c r="M41" s="52"/>
      <c r="N41" s="145"/>
      <c r="O41" s="144"/>
    </row>
    <row r="42" spans="1:15" ht="15.75" thickBot="1" x14ac:dyDescent="0.3">
      <c r="A42" s="151"/>
      <c r="B42" s="25"/>
      <c r="C42" s="11"/>
      <c r="D42" s="86"/>
      <c r="E42" s="25"/>
      <c r="F42" s="77"/>
      <c r="G42" s="77"/>
      <c r="H42" s="77"/>
      <c r="I42" s="77"/>
      <c r="J42" s="77"/>
      <c r="K42" s="93"/>
      <c r="L42" s="90" t="str">
        <f t="shared" si="0"/>
        <v/>
      </c>
      <c r="M42" s="53"/>
      <c r="N42" s="145"/>
      <c r="O42" s="144"/>
    </row>
    <row r="43" spans="1:15" ht="15" customHeight="1" x14ac:dyDescent="0.25">
      <c r="A43" s="149" t="s">
        <v>30</v>
      </c>
      <c r="B43" s="23"/>
      <c r="C43" s="7"/>
      <c r="D43" s="84"/>
      <c r="E43" s="23"/>
      <c r="F43" s="75"/>
      <c r="G43" s="75"/>
      <c r="H43" s="75"/>
      <c r="I43" s="75"/>
      <c r="J43" s="75"/>
      <c r="K43" s="91"/>
      <c r="L43" s="88" t="str">
        <f t="shared" si="0"/>
        <v/>
      </c>
      <c r="M43" s="51"/>
      <c r="N43" s="143" t="s">
        <v>47</v>
      </c>
      <c r="O43" s="144"/>
    </row>
    <row r="44" spans="1:15" x14ac:dyDescent="0.25">
      <c r="A44" s="150"/>
      <c r="B44" s="24"/>
      <c r="C44" s="4"/>
      <c r="D44" s="85"/>
      <c r="E44" s="24"/>
      <c r="F44" s="76"/>
      <c r="G44" s="76"/>
      <c r="H44" s="76"/>
      <c r="I44" s="76"/>
      <c r="J44" s="76"/>
      <c r="K44" s="92"/>
      <c r="L44" s="89" t="str">
        <f t="shared" si="0"/>
        <v/>
      </c>
      <c r="M44" s="52"/>
      <c r="N44" s="145"/>
      <c r="O44" s="144"/>
    </row>
    <row r="45" spans="1:15" x14ac:dyDescent="0.25">
      <c r="A45" s="150"/>
      <c r="B45" s="24"/>
      <c r="C45" s="4"/>
      <c r="D45" s="85"/>
      <c r="E45" s="24"/>
      <c r="F45" s="76"/>
      <c r="G45" s="76"/>
      <c r="H45" s="76"/>
      <c r="I45" s="76"/>
      <c r="J45" s="76"/>
      <c r="K45" s="92"/>
      <c r="L45" s="89" t="str">
        <f t="shared" si="0"/>
        <v/>
      </c>
      <c r="M45" s="52"/>
      <c r="N45" s="145"/>
      <c r="O45" s="144"/>
    </row>
    <row r="46" spans="1:15" ht="15.75" thickBot="1" x14ac:dyDescent="0.3">
      <c r="A46" s="151"/>
      <c r="B46" s="25"/>
      <c r="C46" s="11"/>
      <c r="D46" s="86"/>
      <c r="E46" s="25"/>
      <c r="F46" s="77"/>
      <c r="G46" s="77"/>
      <c r="H46" s="77"/>
      <c r="I46" s="77"/>
      <c r="J46" s="77"/>
      <c r="K46" s="93"/>
      <c r="L46" s="90" t="str">
        <f t="shared" si="0"/>
        <v/>
      </c>
      <c r="M46" s="53"/>
      <c r="N46" s="145"/>
      <c r="O46" s="144"/>
    </row>
    <row r="47" spans="1:15" ht="15" customHeight="1" x14ac:dyDescent="0.25">
      <c r="A47" s="149" t="s">
        <v>28</v>
      </c>
      <c r="B47" s="23"/>
      <c r="C47" s="7"/>
      <c r="D47" s="84"/>
      <c r="E47" s="23"/>
      <c r="F47" s="75"/>
      <c r="G47" s="75"/>
      <c r="H47" s="75"/>
      <c r="I47" s="75"/>
      <c r="J47" s="75"/>
      <c r="K47" s="91"/>
      <c r="L47" s="88" t="str">
        <f t="shared" si="0"/>
        <v/>
      </c>
      <c r="M47" s="51"/>
      <c r="N47" s="143" t="s">
        <v>47</v>
      </c>
      <c r="O47" s="144"/>
    </row>
    <row r="48" spans="1:15" x14ac:dyDescent="0.25">
      <c r="A48" s="150"/>
      <c r="B48" s="24"/>
      <c r="C48" s="4"/>
      <c r="D48" s="85"/>
      <c r="E48" s="24"/>
      <c r="F48" s="76"/>
      <c r="G48" s="76"/>
      <c r="H48" s="76"/>
      <c r="I48" s="76"/>
      <c r="J48" s="76"/>
      <c r="K48" s="92"/>
      <c r="L48" s="89" t="str">
        <f t="shared" si="0"/>
        <v/>
      </c>
      <c r="M48" s="52"/>
      <c r="N48" s="145"/>
      <c r="O48" s="144"/>
    </row>
    <row r="49" spans="1:15" x14ac:dyDescent="0.25">
      <c r="A49" s="150"/>
      <c r="B49" s="24"/>
      <c r="C49" s="4"/>
      <c r="D49" s="85"/>
      <c r="E49" s="24"/>
      <c r="F49" s="76"/>
      <c r="G49" s="76"/>
      <c r="H49" s="76"/>
      <c r="I49" s="76"/>
      <c r="J49" s="76"/>
      <c r="K49" s="92"/>
      <c r="L49" s="89" t="str">
        <f t="shared" si="0"/>
        <v/>
      </c>
      <c r="M49" s="52"/>
      <c r="N49" s="145"/>
      <c r="O49" s="144"/>
    </row>
    <row r="50" spans="1:15" ht="15.75" thickBot="1" x14ac:dyDescent="0.3">
      <c r="A50" s="151"/>
      <c r="B50" s="25"/>
      <c r="C50" s="11"/>
      <c r="D50" s="86"/>
      <c r="E50" s="25"/>
      <c r="F50" s="77"/>
      <c r="G50" s="77"/>
      <c r="H50" s="77"/>
      <c r="I50" s="77"/>
      <c r="J50" s="77"/>
      <c r="K50" s="93"/>
      <c r="L50" s="90" t="str">
        <f t="shared" si="0"/>
        <v/>
      </c>
      <c r="M50" s="53"/>
      <c r="N50" s="145"/>
      <c r="O50" s="144"/>
    </row>
    <row r="51" spans="1:15" ht="15" customHeight="1" x14ac:dyDescent="0.25">
      <c r="A51" s="149" t="s">
        <v>29</v>
      </c>
      <c r="B51" s="23"/>
      <c r="C51" s="7"/>
      <c r="D51" s="84"/>
      <c r="E51" s="23"/>
      <c r="F51" s="75"/>
      <c r="G51" s="75"/>
      <c r="H51" s="75"/>
      <c r="I51" s="75"/>
      <c r="J51" s="75"/>
      <c r="K51" s="91"/>
      <c r="L51" s="88" t="str">
        <f t="shared" si="0"/>
        <v/>
      </c>
      <c r="M51" s="51"/>
      <c r="N51" s="143" t="s">
        <v>47</v>
      </c>
      <c r="O51" s="144"/>
    </row>
    <row r="52" spans="1:15" x14ac:dyDescent="0.25">
      <c r="A52" s="150"/>
      <c r="B52" s="24"/>
      <c r="C52" s="4"/>
      <c r="D52" s="85"/>
      <c r="E52" s="24"/>
      <c r="F52" s="76"/>
      <c r="G52" s="76"/>
      <c r="H52" s="76"/>
      <c r="I52" s="76"/>
      <c r="J52" s="76"/>
      <c r="K52" s="92"/>
      <c r="L52" s="89" t="str">
        <f t="shared" si="0"/>
        <v/>
      </c>
      <c r="M52" s="52"/>
      <c r="N52" s="145"/>
      <c r="O52" s="144"/>
    </row>
    <row r="53" spans="1:15" x14ac:dyDescent="0.25">
      <c r="A53" s="150"/>
      <c r="B53" s="24"/>
      <c r="C53" s="4"/>
      <c r="D53" s="85"/>
      <c r="E53" s="24"/>
      <c r="F53" s="76"/>
      <c r="G53" s="76"/>
      <c r="H53" s="76"/>
      <c r="I53" s="76"/>
      <c r="J53" s="76"/>
      <c r="K53" s="92"/>
      <c r="L53" s="89" t="str">
        <f t="shared" si="0"/>
        <v/>
      </c>
      <c r="M53" s="52"/>
      <c r="N53" s="145"/>
      <c r="O53" s="144"/>
    </row>
    <row r="54" spans="1:15" ht="15.75" thickBot="1" x14ac:dyDescent="0.3">
      <c r="A54" s="151"/>
      <c r="B54" s="25"/>
      <c r="C54" s="11"/>
      <c r="D54" s="86"/>
      <c r="E54" s="25"/>
      <c r="F54" s="77"/>
      <c r="G54" s="77"/>
      <c r="H54" s="77"/>
      <c r="I54" s="77"/>
      <c r="J54" s="77"/>
      <c r="K54" s="93"/>
      <c r="L54" s="90" t="str">
        <f t="shared" si="0"/>
        <v/>
      </c>
      <c r="M54" s="53"/>
      <c r="N54" s="145"/>
      <c r="O54" s="144"/>
    </row>
  </sheetData>
  <mergeCells count="16">
    <mergeCell ref="A1:M1"/>
    <mergeCell ref="N39:O42"/>
    <mergeCell ref="N43:O46"/>
    <mergeCell ref="N47:O50"/>
    <mergeCell ref="N51:O54"/>
    <mergeCell ref="A2:M2"/>
    <mergeCell ref="N10:O19"/>
    <mergeCell ref="N20:O34"/>
    <mergeCell ref="N35:O38"/>
    <mergeCell ref="A47:A50"/>
    <mergeCell ref="A51:A54"/>
    <mergeCell ref="A43:A46"/>
    <mergeCell ref="A10:A19"/>
    <mergeCell ref="A20:A34"/>
    <mergeCell ref="A35:A38"/>
    <mergeCell ref="A39:A42"/>
  </mergeCells>
  <conditionalFormatting sqref="L10:L54">
    <cfRule type="cellIs" dxfId="100" priority="57" stopIfTrue="1" operator="between">
      <formula>$B$4</formula>
      <formula>$B$4+90</formula>
    </cfRule>
    <cfRule type="cellIs" dxfId="99" priority="58" stopIfTrue="1" operator="lessThan">
      <formula>$B$4</formula>
    </cfRule>
    <cfRule type="cellIs" dxfId="98" priority="59" stopIfTrue="1" operator="greaterThan">
      <formula>$B$4</formula>
    </cfRule>
  </conditionalFormatting>
  <conditionalFormatting sqref="N10">
    <cfRule type="expression" dxfId="97" priority="55">
      <formula>$M11="A rebuter"</formula>
    </cfRule>
  </conditionalFormatting>
  <conditionalFormatting sqref="B10:E10">
    <cfRule type="expression" dxfId="96" priority="47">
      <formula>$M10="Autre"</formula>
    </cfRule>
    <cfRule type="expression" dxfId="95" priority="48">
      <formula>$M10="A rebuter"</formula>
    </cfRule>
  </conditionalFormatting>
  <conditionalFormatting sqref="B11:E54">
    <cfRule type="expression" dxfId="94" priority="45">
      <formula>$M11="Autre"</formula>
    </cfRule>
    <cfRule type="expression" dxfId="93" priority="46">
      <formula>$M11="A rebuter"</formula>
    </cfRule>
  </conditionalFormatting>
  <conditionalFormatting sqref="N35:O38">
    <cfRule type="expression" dxfId="92" priority="41">
      <formula>$M38="A rebuter"</formula>
    </cfRule>
    <cfRule type="expression" dxfId="91" priority="42">
      <formula>$M37="A rebuter"</formula>
    </cfRule>
    <cfRule type="expression" dxfId="90" priority="43">
      <formula>$M36="A rebuter"</formula>
    </cfRule>
    <cfRule type="expression" dxfId="89" priority="44">
      <formula>$M35="A rebuter"</formula>
    </cfRule>
  </conditionalFormatting>
  <conditionalFormatting sqref="N39:O42">
    <cfRule type="expression" dxfId="88" priority="37">
      <formula>$M42="A rebuter"</formula>
    </cfRule>
    <cfRule type="expression" dxfId="87" priority="38">
      <formula>$M41="A rebuter"</formula>
    </cfRule>
    <cfRule type="expression" dxfId="86" priority="39">
      <formula>$M40="A rebuter"</formula>
    </cfRule>
    <cfRule type="expression" dxfId="85" priority="40">
      <formula>$M39="A rebuter"</formula>
    </cfRule>
  </conditionalFormatting>
  <conditionalFormatting sqref="N43:O46">
    <cfRule type="expression" dxfId="84" priority="33">
      <formula>$M46="A rebuter"</formula>
    </cfRule>
    <cfRule type="expression" dxfId="83" priority="34">
      <formula>$M45="A rebuter"</formula>
    </cfRule>
    <cfRule type="expression" dxfId="82" priority="35">
      <formula>$M44="A rebuter"</formula>
    </cfRule>
    <cfRule type="expression" dxfId="81" priority="36">
      <formula>$M43="A rebuter"</formula>
    </cfRule>
  </conditionalFormatting>
  <conditionalFormatting sqref="N47:O50">
    <cfRule type="expression" dxfId="80" priority="29">
      <formula>$M50="A rebuter"</formula>
    </cfRule>
    <cfRule type="expression" dxfId="79" priority="30">
      <formula>$M49="A rebuter"</formula>
    </cfRule>
    <cfRule type="expression" dxfId="78" priority="31">
      <formula>$M48="A rebuter"</formula>
    </cfRule>
    <cfRule type="expression" dxfId="77" priority="32">
      <formula>$M47="A rebuter"</formula>
    </cfRule>
  </conditionalFormatting>
  <conditionalFormatting sqref="N51:O54">
    <cfRule type="expression" dxfId="76" priority="25">
      <formula>$M54="A rebuter"</formula>
    </cfRule>
    <cfRule type="expression" dxfId="75" priority="26">
      <formula>$M53="A rebuter"</formula>
    </cfRule>
    <cfRule type="expression" dxfId="74" priority="27">
      <formula>$M52="A rebuter"</formula>
    </cfRule>
    <cfRule type="expression" dxfId="73" priority="28">
      <formula>$M51="A rebuter"</formula>
    </cfRule>
  </conditionalFormatting>
  <conditionalFormatting sqref="N10:O19">
    <cfRule type="expression" dxfId="72" priority="16">
      <formula>$M$19="A rebuter"</formula>
    </cfRule>
    <cfRule type="expression" dxfId="71" priority="17">
      <formula>$M$18="A rebuter"</formula>
    </cfRule>
    <cfRule type="expression" dxfId="70" priority="18">
      <formula>$M$17="A rebuter"</formula>
    </cfRule>
    <cfRule type="expression" dxfId="69" priority="19">
      <formula>$M$16="A rebuter"</formula>
    </cfRule>
    <cfRule type="expression" dxfId="68" priority="20">
      <formula>$M$15="A rebuter"</formula>
    </cfRule>
    <cfRule type="expression" dxfId="67" priority="21">
      <formula>$M$14="A rebuter"</formula>
    </cfRule>
    <cfRule type="expression" dxfId="66" priority="22">
      <formula>$M$13="A rebuter"</formula>
    </cfRule>
    <cfRule type="expression" dxfId="65" priority="23">
      <formula>$M$12="A rebuter"</formula>
    </cfRule>
    <cfRule type="expression" dxfId="64" priority="24">
      <formula>$M$10="A rebuter"</formula>
    </cfRule>
  </conditionalFormatting>
  <conditionalFormatting sqref="N20:O34">
    <cfRule type="expression" dxfId="63" priority="1">
      <formula>$M$34="A rebuter"</formula>
    </cfRule>
    <cfRule type="expression" dxfId="62" priority="2">
      <formula>$M$33="A rebuter"</formula>
    </cfRule>
    <cfRule type="expression" dxfId="61" priority="3">
      <formula>$M$32="A rebuter"</formula>
    </cfRule>
    <cfRule type="expression" dxfId="60" priority="4">
      <formula>$M$31="A rebuter"</formula>
    </cfRule>
    <cfRule type="expression" dxfId="59" priority="5">
      <formula>$M$30="A rebuter"</formula>
    </cfRule>
    <cfRule type="expression" dxfId="58" priority="6">
      <formula>$M$29="A rebuter"</formula>
    </cfRule>
    <cfRule type="expression" dxfId="57" priority="7">
      <formula>$M$28="A rebuter"</formula>
    </cfRule>
    <cfRule type="expression" dxfId="56" priority="8">
      <formula>$M$27="A rebuter"</formula>
    </cfRule>
    <cfRule type="expression" dxfId="55" priority="9">
      <formula>$M$26="A rebuter"</formula>
    </cfRule>
    <cfRule type="expression" dxfId="54" priority="10">
      <formula>$M$25="A rebuter"</formula>
    </cfRule>
    <cfRule type="expression" dxfId="53" priority="11">
      <formula>$M$24="A rebuter"</formula>
    </cfRule>
    <cfRule type="expression" dxfId="52" priority="12">
      <formula>$M$23="A rebuter"</formula>
    </cfRule>
    <cfRule type="expression" dxfId="51" priority="13">
      <formula>$M$22="A rebuter"</formula>
    </cfRule>
    <cfRule type="expression" dxfId="50" priority="14">
      <formula>$M$21="A rebuter"</formula>
    </cfRule>
    <cfRule type="expression" dxfId="49" priority="15">
      <formula>$M$20="A rebuter"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'Kit Travail Hauteur'!$S$9:$S$11</xm:f>
          </x14:formula1>
          <xm:sqref>M10:M54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3"/>
  <sheetViews>
    <sheetView workbookViewId="0">
      <pane ySplit="9" topLeftCell="A10" activePane="bottomLeft" state="frozenSplit"/>
      <selection pane="bottomLeft" activeCell="G5" sqref="G5"/>
    </sheetView>
  </sheetViews>
  <sheetFormatPr baseColWidth="10" defaultRowHeight="15" x14ac:dyDescent="0.25"/>
  <cols>
    <col min="1" max="1" width="12.75" style="1" customWidth="1"/>
    <col min="2" max="2" width="15.25" style="1" customWidth="1"/>
    <col min="3" max="3" width="22.625" style="1" customWidth="1"/>
    <col min="4" max="4" width="20.75" style="1" customWidth="1"/>
    <col min="5" max="10" width="7.875" style="1" customWidth="1"/>
    <col min="11" max="11" width="11.5" style="1" customWidth="1"/>
    <col min="12" max="16384" width="11" style="1"/>
  </cols>
  <sheetData>
    <row r="1" spans="1:14" ht="26.25" x14ac:dyDescent="0.4">
      <c r="A1" s="135" t="s">
        <v>32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</row>
    <row r="2" spans="1:14" ht="30.75" customHeight="1" thickBot="1" x14ac:dyDescent="0.3">
      <c r="A2" s="136" t="s">
        <v>66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3" spans="1:14" ht="5.0999999999999996" customHeight="1" x14ac:dyDescent="0.25"/>
    <row r="4" spans="1:14" ht="15" customHeight="1" x14ac:dyDescent="0.25">
      <c r="A4" s="18" t="s">
        <v>41</v>
      </c>
      <c r="B4" s="36">
        <f ca="1">TODAY()</f>
        <v>43343</v>
      </c>
    </row>
    <row r="5" spans="1:14" x14ac:dyDescent="0.25">
      <c r="A5" s="1" t="s">
        <v>17</v>
      </c>
    </row>
    <row r="6" spans="1:14" x14ac:dyDescent="0.25">
      <c r="A6" s="1" t="s">
        <v>37</v>
      </c>
    </row>
    <row r="7" spans="1:14" x14ac:dyDescent="0.25">
      <c r="A7" s="1" t="s">
        <v>40</v>
      </c>
    </row>
    <row r="8" spans="1:14" ht="5.0999999999999996" customHeight="1" thickBot="1" x14ac:dyDescent="0.3"/>
    <row r="9" spans="1:14" ht="23.25" thickBot="1" x14ac:dyDescent="0.3">
      <c r="A9" s="19" t="s">
        <v>20</v>
      </c>
      <c r="B9" s="29" t="s">
        <v>21</v>
      </c>
      <c r="C9" s="20" t="s">
        <v>15</v>
      </c>
      <c r="D9" s="21" t="s">
        <v>22</v>
      </c>
      <c r="E9" s="29">
        <v>2017</v>
      </c>
      <c r="F9" s="20">
        <v>2018</v>
      </c>
      <c r="G9" s="20">
        <v>2019</v>
      </c>
      <c r="H9" s="20">
        <v>2020</v>
      </c>
      <c r="I9" s="20">
        <v>2021</v>
      </c>
      <c r="J9" s="20">
        <v>2022</v>
      </c>
      <c r="K9" s="21" t="s">
        <v>23</v>
      </c>
      <c r="L9" s="48" t="s">
        <v>42</v>
      </c>
    </row>
    <row r="10" spans="1:14" ht="15" customHeight="1" x14ac:dyDescent="0.25">
      <c r="A10" s="154" t="s">
        <v>33</v>
      </c>
      <c r="B10" s="23"/>
      <c r="C10" s="7"/>
      <c r="D10" s="15"/>
      <c r="E10" s="41"/>
      <c r="F10" s="32"/>
      <c r="G10" s="32"/>
      <c r="H10" s="32"/>
      <c r="I10" s="32"/>
      <c r="J10" s="32"/>
      <c r="K10" s="35" t="str">
        <f>IF($J10&lt;&gt;"",$J10+364,IF($I10&lt;&gt;"",$I10+364,IF($H10&lt;&gt;"",$H10+365,IF($G10&lt;&gt;"",$G10+364,IF($F10&lt;&gt;"",$F10+364,IF($E10&lt;&gt;"",$E10+364,""))))))</f>
        <v/>
      </c>
      <c r="L10" s="62"/>
      <c r="M10" s="157" t="s">
        <v>47</v>
      </c>
      <c r="N10" s="157"/>
    </row>
    <row r="11" spans="1:14" x14ac:dyDescent="0.25">
      <c r="A11" s="155"/>
      <c r="B11" s="24"/>
      <c r="C11" s="4"/>
      <c r="D11" s="16"/>
      <c r="E11" s="46"/>
      <c r="F11" s="33"/>
      <c r="G11" s="33"/>
      <c r="H11" s="33"/>
      <c r="I11" s="33"/>
      <c r="J11" s="33"/>
      <c r="K11" s="57" t="str">
        <f t="shared" ref="K11:K53" si="0">IF($J11&lt;&gt;"",$J11+364,IF($I11&lt;&gt;"",$I11+364,IF($H11&lt;&gt;"",$H11+365,IF($G11&lt;&gt;"",$G11+364,IF($F11&lt;&gt;"",$F11+364,IF($E11&lt;&gt;"",$E11+364,""))))))</f>
        <v/>
      </c>
      <c r="L11" s="60"/>
      <c r="M11" s="157"/>
      <c r="N11" s="157"/>
    </row>
    <row r="12" spans="1:14" x14ac:dyDescent="0.25">
      <c r="A12" s="155"/>
      <c r="B12" s="24"/>
      <c r="C12" s="4"/>
      <c r="D12" s="16"/>
      <c r="E12" s="46"/>
      <c r="F12" s="33"/>
      <c r="G12" s="33"/>
      <c r="H12" s="33"/>
      <c r="I12" s="33"/>
      <c r="J12" s="33"/>
      <c r="K12" s="57" t="str">
        <f t="shared" si="0"/>
        <v/>
      </c>
      <c r="L12" s="60"/>
      <c r="M12" s="157"/>
      <c r="N12" s="157"/>
    </row>
    <row r="13" spans="1:14" x14ac:dyDescent="0.25">
      <c r="A13" s="155"/>
      <c r="B13" s="24"/>
      <c r="C13" s="4"/>
      <c r="D13" s="16"/>
      <c r="E13" s="46"/>
      <c r="F13" s="33"/>
      <c r="G13" s="33"/>
      <c r="H13" s="33"/>
      <c r="I13" s="33"/>
      <c r="J13" s="33"/>
      <c r="K13" s="57" t="str">
        <f t="shared" si="0"/>
        <v/>
      </c>
      <c r="L13" s="60"/>
      <c r="M13" s="157"/>
      <c r="N13" s="157"/>
    </row>
    <row r="14" spans="1:14" ht="15.75" thickBot="1" x14ac:dyDescent="0.3">
      <c r="A14" s="156"/>
      <c r="B14" s="25"/>
      <c r="C14" s="11"/>
      <c r="D14" s="17"/>
      <c r="E14" s="47"/>
      <c r="F14" s="34"/>
      <c r="G14" s="34"/>
      <c r="H14" s="50"/>
      <c r="I14" s="34"/>
      <c r="J14" s="34"/>
      <c r="K14" s="58" t="str">
        <f t="shared" si="0"/>
        <v/>
      </c>
      <c r="L14" s="61"/>
      <c r="M14" s="157"/>
      <c r="N14" s="157"/>
    </row>
    <row r="15" spans="1:14" x14ac:dyDescent="0.25">
      <c r="A15" s="154" t="s">
        <v>34</v>
      </c>
      <c r="B15" s="23"/>
      <c r="C15" s="7"/>
      <c r="D15" s="15"/>
      <c r="E15" s="59"/>
      <c r="F15" s="32"/>
      <c r="G15" s="32"/>
      <c r="H15" s="32"/>
      <c r="I15" s="32"/>
      <c r="J15" s="32"/>
      <c r="K15" s="35" t="str">
        <f t="shared" si="0"/>
        <v/>
      </c>
      <c r="L15" s="62"/>
      <c r="M15" s="157" t="s">
        <v>47</v>
      </c>
      <c r="N15" s="157"/>
    </row>
    <row r="16" spans="1:14" x14ac:dyDescent="0.25">
      <c r="A16" s="155"/>
      <c r="B16" s="24"/>
      <c r="C16" s="4"/>
      <c r="D16" s="16"/>
      <c r="E16" s="43"/>
      <c r="F16" s="33"/>
      <c r="G16" s="33"/>
      <c r="H16" s="33"/>
      <c r="I16" s="33"/>
      <c r="J16" s="33"/>
      <c r="K16" s="57" t="str">
        <f t="shared" si="0"/>
        <v/>
      </c>
      <c r="L16" s="60"/>
      <c r="M16" s="157"/>
      <c r="N16" s="157"/>
    </row>
    <row r="17" spans="1:14" x14ac:dyDescent="0.25">
      <c r="A17" s="155"/>
      <c r="B17" s="24"/>
      <c r="C17" s="4"/>
      <c r="D17" s="16"/>
      <c r="E17" s="43"/>
      <c r="F17" s="33"/>
      <c r="G17" s="33"/>
      <c r="H17" s="33"/>
      <c r="I17" s="33"/>
      <c r="J17" s="33"/>
      <c r="K17" s="57" t="str">
        <f t="shared" si="0"/>
        <v/>
      </c>
      <c r="L17" s="60"/>
      <c r="M17" s="157"/>
      <c r="N17" s="157"/>
    </row>
    <row r="18" spans="1:14" x14ac:dyDescent="0.25">
      <c r="A18" s="155"/>
      <c r="B18" s="24"/>
      <c r="C18" s="4"/>
      <c r="D18" s="16"/>
      <c r="E18" s="43"/>
      <c r="F18" s="33"/>
      <c r="G18" s="33"/>
      <c r="H18" s="33"/>
      <c r="I18" s="33"/>
      <c r="J18" s="33"/>
      <c r="K18" s="57" t="str">
        <f t="shared" si="0"/>
        <v/>
      </c>
      <c r="L18" s="60"/>
      <c r="M18" s="157"/>
      <c r="N18" s="157"/>
    </row>
    <row r="19" spans="1:14" ht="15.75" thickBot="1" x14ac:dyDescent="0.3">
      <c r="A19" s="156"/>
      <c r="B19" s="25"/>
      <c r="C19" s="11"/>
      <c r="D19" s="17"/>
      <c r="E19" s="44"/>
      <c r="F19" s="34"/>
      <c r="G19" s="34"/>
      <c r="H19" s="34"/>
      <c r="I19" s="34"/>
      <c r="J19" s="34"/>
      <c r="K19" s="58" t="str">
        <f t="shared" si="0"/>
        <v/>
      </c>
      <c r="L19" s="61"/>
      <c r="M19" s="157"/>
      <c r="N19" s="157"/>
    </row>
    <row r="20" spans="1:14" ht="15" customHeight="1" x14ac:dyDescent="0.25">
      <c r="A20" s="154" t="s">
        <v>38</v>
      </c>
      <c r="B20" s="23"/>
      <c r="C20" s="7"/>
      <c r="D20" s="15"/>
      <c r="E20" s="59"/>
      <c r="F20" s="32"/>
      <c r="G20" s="32"/>
      <c r="H20" s="32"/>
      <c r="I20" s="32"/>
      <c r="J20" s="32"/>
      <c r="K20" s="35" t="str">
        <f t="shared" si="0"/>
        <v/>
      </c>
      <c r="L20" s="62"/>
      <c r="M20" s="157" t="s">
        <v>47</v>
      </c>
      <c r="N20" s="157"/>
    </row>
    <row r="21" spans="1:14" x14ac:dyDescent="0.25">
      <c r="A21" s="155"/>
      <c r="B21" s="24"/>
      <c r="C21" s="4"/>
      <c r="D21" s="16"/>
      <c r="E21" s="43"/>
      <c r="F21" s="33"/>
      <c r="G21" s="33"/>
      <c r="H21" s="33"/>
      <c r="I21" s="33"/>
      <c r="J21" s="33"/>
      <c r="K21" s="57" t="str">
        <f t="shared" si="0"/>
        <v/>
      </c>
      <c r="L21" s="60"/>
      <c r="M21" s="157"/>
      <c r="N21" s="157"/>
    </row>
    <row r="22" spans="1:14" x14ac:dyDescent="0.25">
      <c r="A22" s="155"/>
      <c r="B22" s="24"/>
      <c r="C22" s="4"/>
      <c r="D22" s="16"/>
      <c r="E22" s="46"/>
      <c r="F22" s="33"/>
      <c r="G22" s="33"/>
      <c r="H22" s="33"/>
      <c r="I22" s="33"/>
      <c r="J22" s="33"/>
      <c r="K22" s="57" t="str">
        <f t="shared" si="0"/>
        <v/>
      </c>
      <c r="L22" s="60"/>
      <c r="M22" s="157"/>
      <c r="N22" s="157"/>
    </row>
    <row r="23" spans="1:14" x14ac:dyDescent="0.25">
      <c r="A23" s="155"/>
      <c r="B23" s="24"/>
      <c r="C23" s="4"/>
      <c r="D23" s="16"/>
      <c r="E23" s="43"/>
      <c r="F23" s="33"/>
      <c r="G23" s="33"/>
      <c r="H23" s="33"/>
      <c r="I23" s="33"/>
      <c r="J23" s="33"/>
      <c r="K23" s="57" t="str">
        <f t="shared" si="0"/>
        <v/>
      </c>
      <c r="L23" s="60"/>
      <c r="M23" s="157"/>
      <c r="N23" s="157"/>
    </row>
    <row r="24" spans="1:14" x14ac:dyDescent="0.25">
      <c r="A24" s="155"/>
      <c r="B24" s="24"/>
      <c r="C24" s="4"/>
      <c r="D24" s="16"/>
      <c r="E24" s="43"/>
      <c r="F24" s="33"/>
      <c r="G24" s="33"/>
      <c r="H24" s="33"/>
      <c r="I24" s="33"/>
      <c r="J24" s="33"/>
      <c r="K24" s="57" t="str">
        <f t="shared" si="0"/>
        <v/>
      </c>
      <c r="L24" s="60"/>
      <c r="M24" s="157"/>
      <c r="N24" s="157"/>
    </row>
    <row r="25" spans="1:14" x14ac:dyDescent="0.25">
      <c r="A25" s="155"/>
      <c r="B25" s="24"/>
      <c r="C25" s="4"/>
      <c r="D25" s="16"/>
      <c r="E25" s="43"/>
      <c r="F25" s="33"/>
      <c r="G25" s="33"/>
      <c r="H25" s="33"/>
      <c r="I25" s="33"/>
      <c r="J25" s="33"/>
      <c r="K25" s="57" t="str">
        <f t="shared" si="0"/>
        <v/>
      </c>
      <c r="L25" s="60"/>
      <c r="M25" s="157"/>
      <c r="N25" s="157"/>
    </row>
    <row r="26" spans="1:14" x14ac:dyDescent="0.25">
      <c r="A26" s="155"/>
      <c r="B26" s="24"/>
      <c r="C26" s="4"/>
      <c r="D26" s="16"/>
      <c r="E26" s="43"/>
      <c r="F26" s="33"/>
      <c r="G26" s="33"/>
      <c r="H26" s="33"/>
      <c r="I26" s="33"/>
      <c r="J26" s="33"/>
      <c r="K26" s="57" t="str">
        <f t="shared" si="0"/>
        <v/>
      </c>
      <c r="L26" s="60"/>
      <c r="M26" s="157"/>
      <c r="N26" s="157"/>
    </row>
    <row r="27" spans="1:14" x14ac:dyDescent="0.25">
      <c r="A27" s="155"/>
      <c r="B27" s="24"/>
      <c r="C27" s="4"/>
      <c r="D27" s="16"/>
      <c r="E27" s="43"/>
      <c r="F27" s="33"/>
      <c r="G27" s="33"/>
      <c r="H27" s="33"/>
      <c r="I27" s="33"/>
      <c r="J27" s="33"/>
      <c r="K27" s="57" t="str">
        <f t="shared" si="0"/>
        <v/>
      </c>
      <c r="L27" s="60"/>
      <c r="M27" s="157"/>
      <c r="N27" s="157"/>
    </row>
    <row r="28" spans="1:14" x14ac:dyDescent="0.25">
      <c r="A28" s="155"/>
      <c r="B28" s="24"/>
      <c r="C28" s="4"/>
      <c r="D28" s="16"/>
      <c r="E28" s="43"/>
      <c r="F28" s="33"/>
      <c r="G28" s="33"/>
      <c r="H28" s="33"/>
      <c r="I28" s="33"/>
      <c r="J28" s="33"/>
      <c r="K28" s="57" t="str">
        <f t="shared" si="0"/>
        <v/>
      </c>
      <c r="L28" s="60"/>
      <c r="M28" s="157"/>
      <c r="N28" s="157"/>
    </row>
    <row r="29" spans="1:14" x14ac:dyDescent="0.25">
      <c r="A29" s="155"/>
      <c r="B29" s="24"/>
      <c r="C29" s="4"/>
      <c r="D29" s="16"/>
      <c r="E29" s="43"/>
      <c r="F29" s="33"/>
      <c r="G29" s="33"/>
      <c r="H29" s="33"/>
      <c r="I29" s="33"/>
      <c r="J29" s="33"/>
      <c r="K29" s="57" t="str">
        <f t="shared" si="0"/>
        <v/>
      </c>
      <c r="L29" s="60"/>
      <c r="M29" s="157"/>
      <c r="N29" s="157"/>
    </row>
    <row r="30" spans="1:14" x14ac:dyDescent="0.25">
      <c r="A30" s="155"/>
      <c r="B30" s="24"/>
      <c r="C30" s="4"/>
      <c r="D30" s="16"/>
      <c r="E30" s="43"/>
      <c r="F30" s="33"/>
      <c r="G30" s="33"/>
      <c r="H30" s="33"/>
      <c r="I30" s="33"/>
      <c r="J30" s="33"/>
      <c r="K30" s="57" t="str">
        <f t="shared" si="0"/>
        <v/>
      </c>
      <c r="L30" s="60"/>
      <c r="M30" s="157"/>
      <c r="N30" s="157"/>
    </row>
    <row r="31" spans="1:14" ht="15.75" thickBot="1" x14ac:dyDescent="0.3">
      <c r="A31" s="156"/>
      <c r="B31" s="25"/>
      <c r="C31" s="11"/>
      <c r="D31" s="17"/>
      <c r="E31" s="44"/>
      <c r="F31" s="34"/>
      <c r="G31" s="34"/>
      <c r="H31" s="34"/>
      <c r="I31" s="34"/>
      <c r="J31" s="34"/>
      <c r="K31" s="58" t="str">
        <f t="shared" si="0"/>
        <v/>
      </c>
      <c r="L31" s="61"/>
      <c r="M31" s="157"/>
      <c r="N31" s="157"/>
    </row>
    <row r="32" spans="1:14" x14ac:dyDescent="0.25">
      <c r="A32" s="154" t="s">
        <v>39</v>
      </c>
      <c r="B32" s="23"/>
      <c r="C32" s="7"/>
      <c r="D32" s="15"/>
      <c r="E32" s="59"/>
      <c r="F32" s="32"/>
      <c r="G32" s="32"/>
      <c r="H32" s="32"/>
      <c r="I32" s="32"/>
      <c r="J32" s="32"/>
      <c r="K32" s="35" t="str">
        <f t="shared" si="0"/>
        <v/>
      </c>
      <c r="L32" s="62"/>
      <c r="M32" s="157" t="s">
        <v>47</v>
      </c>
      <c r="N32" s="157"/>
    </row>
    <row r="33" spans="1:14" x14ac:dyDescent="0.25">
      <c r="A33" s="155"/>
      <c r="B33" s="24"/>
      <c r="C33" s="4"/>
      <c r="D33" s="16"/>
      <c r="E33" s="43"/>
      <c r="F33" s="33"/>
      <c r="G33" s="33"/>
      <c r="H33" s="33"/>
      <c r="I33" s="33"/>
      <c r="J33" s="33"/>
      <c r="K33" s="57" t="str">
        <f t="shared" si="0"/>
        <v/>
      </c>
      <c r="L33" s="60"/>
      <c r="M33" s="157"/>
      <c r="N33" s="157"/>
    </row>
    <row r="34" spans="1:14" x14ac:dyDescent="0.25">
      <c r="A34" s="155"/>
      <c r="B34" s="24"/>
      <c r="C34" s="4"/>
      <c r="D34" s="16"/>
      <c r="E34" s="43"/>
      <c r="F34" s="33"/>
      <c r="G34" s="33"/>
      <c r="H34" s="33"/>
      <c r="I34" s="33"/>
      <c r="J34" s="33"/>
      <c r="K34" s="57" t="str">
        <f t="shared" si="0"/>
        <v/>
      </c>
      <c r="L34" s="60"/>
      <c r="M34" s="157"/>
      <c r="N34" s="157"/>
    </row>
    <row r="35" spans="1:14" x14ac:dyDescent="0.25">
      <c r="A35" s="155"/>
      <c r="B35" s="24"/>
      <c r="C35" s="4"/>
      <c r="D35" s="16"/>
      <c r="E35" s="43"/>
      <c r="F35" s="33"/>
      <c r="G35" s="33"/>
      <c r="H35" s="33"/>
      <c r="I35" s="33"/>
      <c r="J35" s="33"/>
      <c r="K35" s="57" t="str">
        <f t="shared" si="0"/>
        <v/>
      </c>
      <c r="L35" s="60"/>
      <c r="M35" s="157"/>
      <c r="N35" s="157"/>
    </row>
    <row r="36" spans="1:14" x14ac:dyDescent="0.25">
      <c r="A36" s="155"/>
      <c r="B36" s="24"/>
      <c r="C36" s="4"/>
      <c r="D36" s="16"/>
      <c r="E36" s="43"/>
      <c r="F36" s="33"/>
      <c r="G36" s="33"/>
      <c r="H36" s="33"/>
      <c r="I36" s="33"/>
      <c r="J36" s="33"/>
      <c r="K36" s="57" t="str">
        <f t="shared" si="0"/>
        <v/>
      </c>
      <c r="L36" s="60"/>
      <c r="M36" s="157"/>
      <c r="N36" s="157"/>
    </row>
    <row r="37" spans="1:14" x14ac:dyDescent="0.25">
      <c r="A37" s="155"/>
      <c r="B37" s="24"/>
      <c r="C37" s="4"/>
      <c r="D37" s="16"/>
      <c r="E37" s="43"/>
      <c r="F37" s="33"/>
      <c r="G37" s="33"/>
      <c r="H37" s="33"/>
      <c r="I37" s="33"/>
      <c r="J37" s="33"/>
      <c r="K37" s="57" t="str">
        <f t="shared" si="0"/>
        <v/>
      </c>
      <c r="L37" s="60"/>
      <c r="M37" s="157"/>
      <c r="N37" s="157"/>
    </row>
    <row r="38" spans="1:14" x14ac:dyDescent="0.25">
      <c r="A38" s="155"/>
      <c r="B38" s="24"/>
      <c r="C38" s="4"/>
      <c r="D38" s="16"/>
      <c r="E38" s="43"/>
      <c r="F38" s="33"/>
      <c r="G38" s="33"/>
      <c r="H38" s="33"/>
      <c r="I38" s="33"/>
      <c r="J38" s="33"/>
      <c r="K38" s="57" t="str">
        <f t="shared" si="0"/>
        <v/>
      </c>
      <c r="L38" s="60"/>
      <c r="M38" s="157"/>
      <c r="N38" s="157"/>
    </row>
    <row r="39" spans="1:14" x14ac:dyDescent="0.25">
      <c r="A39" s="155"/>
      <c r="B39" s="24"/>
      <c r="C39" s="4"/>
      <c r="D39" s="16"/>
      <c r="E39" s="43"/>
      <c r="F39" s="33"/>
      <c r="G39" s="33"/>
      <c r="H39" s="33"/>
      <c r="I39" s="33"/>
      <c r="J39" s="33"/>
      <c r="K39" s="57" t="str">
        <f t="shared" si="0"/>
        <v/>
      </c>
      <c r="L39" s="60"/>
      <c r="M39" s="157"/>
      <c r="N39" s="157"/>
    </row>
    <row r="40" spans="1:14" x14ac:dyDescent="0.25">
      <c r="A40" s="155"/>
      <c r="B40" s="24"/>
      <c r="C40" s="4"/>
      <c r="D40" s="16"/>
      <c r="E40" s="43"/>
      <c r="F40" s="33"/>
      <c r="G40" s="33"/>
      <c r="H40" s="33"/>
      <c r="I40" s="33"/>
      <c r="J40" s="33"/>
      <c r="K40" s="57" t="str">
        <f t="shared" si="0"/>
        <v/>
      </c>
      <c r="L40" s="60"/>
      <c r="M40" s="157"/>
      <c r="N40" s="157"/>
    </row>
    <row r="41" spans="1:14" x14ac:dyDescent="0.25">
      <c r="A41" s="155"/>
      <c r="B41" s="24"/>
      <c r="C41" s="4"/>
      <c r="D41" s="16"/>
      <c r="E41" s="43"/>
      <c r="F41" s="33"/>
      <c r="G41" s="33"/>
      <c r="H41" s="33"/>
      <c r="I41" s="33"/>
      <c r="J41" s="33"/>
      <c r="K41" s="57" t="str">
        <f t="shared" si="0"/>
        <v/>
      </c>
      <c r="L41" s="60"/>
      <c r="M41" s="157"/>
      <c r="N41" s="157"/>
    </row>
    <row r="42" spans="1:14" x14ac:dyDescent="0.25">
      <c r="A42" s="155"/>
      <c r="B42" s="24"/>
      <c r="C42" s="4"/>
      <c r="D42" s="16"/>
      <c r="E42" s="43"/>
      <c r="F42" s="33"/>
      <c r="G42" s="33"/>
      <c r="H42" s="33"/>
      <c r="I42" s="33"/>
      <c r="J42" s="33"/>
      <c r="K42" s="57" t="str">
        <f t="shared" si="0"/>
        <v/>
      </c>
      <c r="L42" s="60"/>
      <c r="M42" s="157"/>
      <c r="N42" s="157"/>
    </row>
    <row r="43" spans="1:14" ht="15.75" thickBot="1" x14ac:dyDescent="0.3">
      <c r="A43" s="156"/>
      <c r="B43" s="25"/>
      <c r="C43" s="11"/>
      <c r="D43" s="17"/>
      <c r="E43" s="44"/>
      <c r="F43" s="34"/>
      <c r="G43" s="34"/>
      <c r="H43" s="34"/>
      <c r="I43" s="34"/>
      <c r="J43" s="34"/>
      <c r="K43" s="58" t="str">
        <f t="shared" si="0"/>
        <v/>
      </c>
      <c r="L43" s="61"/>
      <c r="M43" s="157"/>
      <c r="N43" s="157"/>
    </row>
    <row r="44" spans="1:14" x14ac:dyDescent="0.25">
      <c r="A44" s="154" t="s">
        <v>35</v>
      </c>
      <c r="B44" s="23"/>
      <c r="C44" s="7"/>
      <c r="D44" s="15"/>
      <c r="E44" s="59"/>
      <c r="F44" s="32"/>
      <c r="G44" s="32"/>
      <c r="H44" s="32"/>
      <c r="I44" s="32"/>
      <c r="J44" s="32"/>
      <c r="K44" s="35" t="str">
        <f t="shared" si="0"/>
        <v/>
      </c>
      <c r="L44" s="62"/>
      <c r="M44" s="157" t="s">
        <v>47</v>
      </c>
      <c r="N44" s="157"/>
    </row>
    <row r="45" spans="1:14" x14ac:dyDescent="0.25">
      <c r="A45" s="155"/>
      <c r="B45" s="24"/>
      <c r="C45" s="4"/>
      <c r="D45" s="16"/>
      <c r="E45" s="43"/>
      <c r="F45" s="33"/>
      <c r="G45" s="33"/>
      <c r="H45" s="33"/>
      <c r="I45" s="33"/>
      <c r="J45" s="33"/>
      <c r="K45" s="57" t="str">
        <f t="shared" si="0"/>
        <v/>
      </c>
      <c r="L45" s="60"/>
      <c r="M45" s="157"/>
      <c r="N45" s="157"/>
    </row>
    <row r="46" spans="1:14" x14ac:dyDescent="0.25">
      <c r="A46" s="155"/>
      <c r="B46" s="24"/>
      <c r="C46" s="4"/>
      <c r="D46" s="16"/>
      <c r="E46" s="43"/>
      <c r="F46" s="33"/>
      <c r="G46" s="33"/>
      <c r="H46" s="33"/>
      <c r="I46" s="33"/>
      <c r="J46" s="33"/>
      <c r="K46" s="57" t="str">
        <f t="shared" si="0"/>
        <v/>
      </c>
      <c r="L46" s="60"/>
      <c r="M46" s="157"/>
      <c r="N46" s="157"/>
    </row>
    <row r="47" spans="1:14" x14ac:dyDescent="0.25">
      <c r="A47" s="155"/>
      <c r="B47" s="24"/>
      <c r="C47" s="4"/>
      <c r="D47" s="16"/>
      <c r="E47" s="43"/>
      <c r="F47" s="33"/>
      <c r="G47" s="33"/>
      <c r="H47" s="33"/>
      <c r="I47" s="33"/>
      <c r="J47" s="33"/>
      <c r="K47" s="57" t="str">
        <f t="shared" si="0"/>
        <v/>
      </c>
      <c r="L47" s="60"/>
      <c r="M47" s="157"/>
      <c r="N47" s="157"/>
    </row>
    <row r="48" spans="1:14" ht="15.75" thickBot="1" x14ac:dyDescent="0.3">
      <c r="A48" s="156"/>
      <c r="B48" s="25"/>
      <c r="C48" s="11"/>
      <c r="D48" s="17"/>
      <c r="E48" s="44"/>
      <c r="F48" s="34"/>
      <c r="G48" s="34"/>
      <c r="H48" s="34"/>
      <c r="I48" s="34"/>
      <c r="J48" s="34"/>
      <c r="K48" s="58" t="str">
        <f t="shared" si="0"/>
        <v/>
      </c>
      <c r="L48" s="61"/>
      <c r="M48" s="157"/>
      <c r="N48" s="157"/>
    </row>
    <row r="49" spans="1:14" x14ac:dyDescent="0.25">
      <c r="A49" s="154" t="s">
        <v>36</v>
      </c>
      <c r="B49" s="23"/>
      <c r="C49" s="7"/>
      <c r="D49" s="15"/>
      <c r="E49" s="59"/>
      <c r="F49" s="32"/>
      <c r="G49" s="32"/>
      <c r="H49" s="32"/>
      <c r="I49" s="32"/>
      <c r="J49" s="32"/>
      <c r="K49" s="35" t="str">
        <f t="shared" si="0"/>
        <v/>
      </c>
      <c r="L49" s="62"/>
      <c r="M49" s="157" t="s">
        <v>47</v>
      </c>
      <c r="N49" s="157"/>
    </row>
    <row r="50" spans="1:14" x14ac:dyDescent="0.25">
      <c r="A50" s="155"/>
      <c r="B50" s="24"/>
      <c r="C50" s="4"/>
      <c r="D50" s="16"/>
      <c r="E50" s="43"/>
      <c r="F50" s="33"/>
      <c r="G50" s="33"/>
      <c r="H50" s="33"/>
      <c r="I50" s="33"/>
      <c r="J50" s="33"/>
      <c r="K50" s="57" t="str">
        <f t="shared" si="0"/>
        <v/>
      </c>
      <c r="L50" s="60"/>
      <c r="M50" s="157"/>
      <c r="N50" s="157"/>
    </row>
    <row r="51" spans="1:14" x14ac:dyDescent="0.25">
      <c r="A51" s="155"/>
      <c r="B51" s="24"/>
      <c r="C51" s="4"/>
      <c r="D51" s="16"/>
      <c r="E51" s="43"/>
      <c r="F51" s="33"/>
      <c r="G51" s="33"/>
      <c r="H51" s="33"/>
      <c r="I51" s="33"/>
      <c r="J51" s="33"/>
      <c r="K51" s="57" t="str">
        <f t="shared" si="0"/>
        <v/>
      </c>
      <c r="L51" s="60"/>
      <c r="M51" s="157"/>
      <c r="N51" s="157"/>
    </row>
    <row r="52" spans="1:14" x14ac:dyDescent="0.25">
      <c r="A52" s="155"/>
      <c r="B52" s="24"/>
      <c r="C52" s="4"/>
      <c r="D52" s="16"/>
      <c r="E52" s="43"/>
      <c r="F52" s="33"/>
      <c r="G52" s="33"/>
      <c r="H52" s="33"/>
      <c r="I52" s="33"/>
      <c r="J52" s="33"/>
      <c r="K52" s="57" t="str">
        <f t="shared" si="0"/>
        <v/>
      </c>
      <c r="L52" s="60"/>
      <c r="M52" s="157"/>
      <c r="N52" s="157"/>
    </row>
    <row r="53" spans="1:14" ht="15.75" thickBot="1" x14ac:dyDescent="0.3">
      <c r="A53" s="156"/>
      <c r="B53" s="25"/>
      <c r="C53" s="11"/>
      <c r="D53" s="17"/>
      <c r="E53" s="44"/>
      <c r="F53" s="34"/>
      <c r="G53" s="34"/>
      <c r="H53" s="34"/>
      <c r="I53" s="34"/>
      <c r="J53" s="34"/>
      <c r="K53" s="58" t="str">
        <f t="shared" si="0"/>
        <v/>
      </c>
      <c r="L53" s="61"/>
      <c r="M53" s="157"/>
      <c r="N53" s="157"/>
    </row>
  </sheetData>
  <mergeCells count="14">
    <mergeCell ref="M10:N14"/>
    <mergeCell ref="M15:N19"/>
    <mergeCell ref="M44:N48"/>
    <mergeCell ref="M49:N53"/>
    <mergeCell ref="M20:N31"/>
    <mergeCell ref="M32:N43"/>
    <mergeCell ref="A2:L2"/>
    <mergeCell ref="A1:L1"/>
    <mergeCell ref="A49:A53"/>
    <mergeCell ref="A10:A14"/>
    <mergeCell ref="A15:A19"/>
    <mergeCell ref="A44:A48"/>
    <mergeCell ref="A20:A31"/>
    <mergeCell ref="A32:A43"/>
  </mergeCells>
  <conditionalFormatting sqref="K10:K53">
    <cfRule type="cellIs" dxfId="48" priority="46" stopIfTrue="1" operator="between">
      <formula>$B$4</formula>
      <formula>$B$4+90</formula>
    </cfRule>
    <cfRule type="cellIs" dxfId="47" priority="47" stopIfTrue="1" operator="lessThan">
      <formula>$B$4</formula>
    </cfRule>
    <cfRule type="cellIs" dxfId="46" priority="48" stopIfTrue="1" operator="greaterThan">
      <formula>$B$4</formula>
    </cfRule>
  </conditionalFormatting>
  <conditionalFormatting sqref="M10">
    <cfRule type="expression" dxfId="45" priority="42">
      <formula>$L13="A rebuter"</formula>
    </cfRule>
    <cfRule type="expression" dxfId="44" priority="43">
      <formula>$L12="A rebuter"</formula>
    </cfRule>
    <cfRule type="expression" dxfId="43" priority="44">
      <formula>$L11="A rebuter"</formula>
    </cfRule>
    <cfRule type="expression" dxfId="42" priority="45">
      <formula>$L10="A rebuter"</formula>
    </cfRule>
  </conditionalFormatting>
  <conditionalFormatting sqref="M10:N14">
    <cfRule type="expression" dxfId="41" priority="41">
      <formula>$L$14="A rebuter"</formula>
    </cfRule>
  </conditionalFormatting>
  <conditionalFormatting sqref="M15">
    <cfRule type="expression" dxfId="40" priority="37">
      <formula>$L18="A rebuter"</formula>
    </cfRule>
    <cfRule type="expression" dxfId="39" priority="38">
      <formula>$L17="A rebuter"</formula>
    </cfRule>
    <cfRule type="expression" dxfId="38" priority="39">
      <formula>$L16="A rebuter"</formula>
    </cfRule>
    <cfRule type="expression" dxfId="37" priority="40">
      <formula>$L15="A rebuter"</formula>
    </cfRule>
  </conditionalFormatting>
  <conditionalFormatting sqref="M15:N19">
    <cfRule type="expression" dxfId="36" priority="36">
      <formula>$L$14="A rebuter"</formula>
    </cfRule>
  </conditionalFormatting>
  <conditionalFormatting sqref="M44">
    <cfRule type="expression" dxfId="35" priority="32">
      <formula>$L47="A rebuter"</formula>
    </cfRule>
    <cfRule type="expression" dxfId="34" priority="33">
      <formula>$L46="A rebuter"</formula>
    </cfRule>
    <cfRule type="expression" dxfId="33" priority="34">
      <formula>$L45="A rebuter"</formula>
    </cfRule>
    <cfRule type="expression" dxfId="32" priority="35">
      <formula>$L44="A rebuter"</formula>
    </cfRule>
  </conditionalFormatting>
  <conditionalFormatting sqref="M44:N48">
    <cfRule type="expression" dxfId="31" priority="31">
      <formula>$L$14="A rebuter"</formula>
    </cfRule>
  </conditionalFormatting>
  <conditionalFormatting sqref="M49">
    <cfRule type="expression" dxfId="30" priority="27">
      <formula>$L52="A rebuter"</formula>
    </cfRule>
    <cfRule type="expression" dxfId="29" priority="28">
      <formula>$L51="A rebuter"</formula>
    </cfRule>
    <cfRule type="expression" dxfId="28" priority="29">
      <formula>$L50="A rebuter"</formula>
    </cfRule>
    <cfRule type="expression" dxfId="27" priority="30">
      <formula>$L49="A rebuter"</formula>
    </cfRule>
  </conditionalFormatting>
  <conditionalFormatting sqref="M49:N53">
    <cfRule type="expression" dxfId="26" priority="26">
      <formula>$L$14="A rebuter"</formula>
    </cfRule>
  </conditionalFormatting>
  <conditionalFormatting sqref="M20">
    <cfRule type="expression" dxfId="25" priority="22">
      <formula>$L23="A rebuter"</formula>
    </cfRule>
    <cfRule type="expression" dxfId="24" priority="23">
      <formula>$L22="A rebuter"</formula>
    </cfRule>
    <cfRule type="expression" dxfId="23" priority="24">
      <formula>$L21="A rebuter"</formula>
    </cfRule>
    <cfRule type="expression" dxfId="22" priority="25">
      <formula>$L20="A rebuter"</formula>
    </cfRule>
  </conditionalFormatting>
  <conditionalFormatting sqref="M20:N31">
    <cfRule type="expression" dxfId="21" priority="13">
      <formula>$L31="A rebuter"</formula>
    </cfRule>
    <cfRule type="expression" dxfId="20" priority="14">
      <formula>$L30="A rebuter"</formula>
    </cfRule>
    <cfRule type="expression" dxfId="19" priority="15">
      <formula>$L29="A rebuter"</formula>
    </cfRule>
    <cfRule type="expression" dxfId="18" priority="16">
      <formula>$L28="A rebuter"</formula>
    </cfRule>
    <cfRule type="expression" dxfId="17" priority="17">
      <formula>$L27="A rebuter"</formula>
    </cfRule>
    <cfRule type="expression" dxfId="16" priority="18">
      <formula>$L26="A rebuter"</formula>
    </cfRule>
    <cfRule type="expression" dxfId="15" priority="19">
      <formula>$L25="A rebuter"</formula>
    </cfRule>
    <cfRule type="expression" dxfId="14" priority="20">
      <formula>$L24="A rebuter"</formula>
    </cfRule>
  </conditionalFormatting>
  <conditionalFormatting sqref="M32">
    <cfRule type="expression" dxfId="13" priority="9">
      <formula>$L35="A rebuter"</formula>
    </cfRule>
    <cfRule type="expression" dxfId="12" priority="10">
      <formula>$L34="A rebuter"</formula>
    </cfRule>
    <cfRule type="expression" dxfId="11" priority="11">
      <formula>$L33="A rebuter"</formula>
    </cfRule>
    <cfRule type="expression" dxfId="10" priority="12">
      <formula>$L32="A rebuter"</formula>
    </cfRule>
  </conditionalFormatting>
  <conditionalFormatting sqref="M32:N43">
    <cfRule type="expression" dxfId="9" priority="1">
      <formula>$L43="A rebuter"</formula>
    </cfRule>
    <cfRule type="expression" dxfId="8" priority="2">
      <formula>$L42="A rebuter"</formula>
    </cfRule>
    <cfRule type="expression" dxfId="7" priority="3">
      <formula>$L41="A rebuter"</formula>
    </cfRule>
    <cfRule type="expression" dxfId="6" priority="4">
      <formula>$L40="A rebuter"</formula>
    </cfRule>
    <cfRule type="expression" dxfId="5" priority="5">
      <formula>$L39="A rebuter"</formula>
    </cfRule>
    <cfRule type="expression" dxfId="4" priority="6">
      <formula>$L38="A rebuter"</formula>
    </cfRule>
    <cfRule type="expression" dxfId="3" priority="7">
      <formula>$L37="A rebuter"</formula>
    </cfRule>
    <cfRule type="expression" dxfId="2" priority="8">
      <formula>$L36="A rebuter"</formula>
    </cfRule>
  </conditionalFormatting>
  <pageMargins left="0.7" right="0.7" top="0.75" bottom="0.75" header="0.3" footer="0.3"/>
  <pageSetup paperSize="9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'Kit Travail Hauteur'!$S$9:$S$11</xm:f>
          </x14:formula1>
          <xm:sqref>L10:L53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pane ySplit="4" topLeftCell="A5" activePane="bottomLeft" state="frozenSplit"/>
      <selection pane="bottomLeft" activeCell="C5" sqref="C5"/>
    </sheetView>
  </sheetViews>
  <sheetFormatPr baseColWidth="10" defaultRowHeight="14.25" x14ac:dyDescent="0.2"/>
  <cols>
    <col min="1" max="1" width="16.375" style="63" customWidth="1"/>
    <col min="2" max="2" width="25.25" style="63" customWidth="1"/>
    <col min="3" max="3" width="23.5" style="63" customWidth="1"/>
    <col min="4" max="4" width="14.75" style="63" customWidth="1"/>
    <col min="5" max="16384" width="11" style="63"/>
  </cols>
  <sheetData>
    <row r="1" spans="1:13" ht="26.25" x14ac:dyDescent="0.2">
      <c r="A1" s="158" t="s">
        <v>60</v>
      </c>
      <c r="B1" s="158"/>
      <c r="C1" s="158"/>
      <c r="D1" s="158"/>
    </row>
    <row r="2" spans="1:13" ht="32.25" customHeight="1" thickBot="1" x14ac:dyDescent="0.25">
      <c r="A2" s="159" t="s">
        <v>66</v>
      </c>
      <c r="B2" s="159"/>
      <c r="C2" s="159"/>
      <c r="D2" s="159"/>
    </row>
    <row r="3" spans="1:13" ht="5.0999999999999996" customHeight="1" thickBot="1" x14ac:dyDescent="0.25">
      <c r="A3" s="66"/>
      <c r="B3" s="66"/>
      <c r="C3" s="66"/>
      <c r="D3" s="66"/>
    </row>
    <row r="4" spans="1:13" ht="15" thickBot="1" x14ac:dyDescent="0.25">
      <c r="A4" s="30" t="s">
        <v>61</v>
      </c>
      <c r="B4" s="31" t="s">
        <v>15</v>
      </c>
      <c r="C4" s="31" t="s">
        <v>63</v>
      </c>
      <c r="D4" s="6" t="s">
        <v>62</v>
      </c>
    </row>
    <row r="5" spans="1:13" ht="22.5" x14ac:dyDescent="0.2">
      <c r="A5" s="67"/>
      <c r="B5" s="68"/>
      <c r="C5" s="68"/>
      <c r="D5" s="69"/>
      <c r="M5" s="32" t="s">
        <v>11</v>
      </c>
    </row>
    <row r="6" spans="1:13" ht="22.5" x14ac:dyDescent="0.2">
      <c r="A6" s="70"/>
      <c r="B6" s="65"/>
      <c r="C6" s="65"/>
      <c r="D6" s="71"/>
      <c r="M6" s="33" t="s">
        <v>4</v>
      </c>
    </row>
    <row r="7" spans="1:13" ht="22.5" x14ac:dyDescent="0.2">
      <c r="A7" s="70"/>
      <c r="B7" s="65"/>
      <c r="C7" s="65"/>
      <c r="D7" s="71"/>
      <c r="M7" s="33" t="s">
        <v>6</v>
      </c>
    </row>
    <row r="8" spans="1:13" ht="22.5" x14ac:dyDescent="0.2">
      <c r="A8" s="70"/>
      <c r="B8" s="65"/>
      <c r="C8" s="65"/>
      <c r="D8" s="71"/>
      <c r="M8" s="33" t="s">
        <v>5</v>
      </c>
    </row>
    <row r="9" spans="1:13" ht="22.5" customHeight="1" x14ac:dyDescent="0.2">
      <c r="A9" s="70"/>
      <c r="B9" s="65"/>
      <c r="C9" s="65"/>
      <c r="D9" s="71"/>
      <c r="M9" s="33" t="s">
        <v>7</v>
      </c>
    </row>
    <row r="10" spans="1:13" ht="22.5" customHeight="1" x14ac:dyDescent="0.2">
      <c r="A10" s="70"/>
      <c r="B10" s="65"/>
      <c r="C10" s="65"/>
      <c r="D10" s="71"/>
      <c r="M10" s="33" t="s">
        <v>9</v>
      </c>
    </row>
    <row r="11" spans="1:13" ht="22.5" customHeight="1" x14ac:dyDescent="0.2">
      <c r="A11" s="70"/>
      <c r="B11" s="65"/>
      <c r="C11" s="65"/>
      <c r="D11" s="71"/>
      <c r="M11" s="64" t="s">
        <v>48</v>
      </c>
    </row>
    <row r="12" spans="1:13" ht="22.5" customHeight="1" x14ac:dyDescent="0.2">
      <c r="A12" s="70"/>
      <c r="B12" s="65"/>
      <c r="C12" s="65"/>
      <c r="D12" s="71"/>
      <c r="M12" s="64" t="s">
        <v>49</v>
      </c>
    </row>
    <row r="13" spans="1:13" ht="22.5" customHeight="1" x14ac:dyDescent="0.2">
      <c r="A13" s="70"/>
      <c r="B13" s="65"/>
      <c r="C13" s="65"/>
      <c r="D13" s="71"/>
      <c r="M13" s="64" t="s">
        <v>50</v>
      </c>
    </row>
    <row r="14" spans="1:13" ht="22.5" customHeight="1" x14ac:dyDescent="0.2">
      <c r="A14" s="70"/>
      <c r="B14" s="65"/>
      <c r="C14" s="65"/>
      <c r="D14" s="71"/>
      <c r="M14" s="64" t="s">
        <v>51</v>
      </c>
    </row>
    <row r="15" spans="1:13" ht="22.5" customHeight="1" x14ac:dyDescent="0.2">
      <c r="A15" s="70"/>
      <c r="B15" s="65"/>
      <c r="C15" s="65"/>
      <c r="D15" s="71"/>
      <c r="M15" s="64" t="s">
        <v>30</v>
      </c>
    </row>
    <row r="16" spans="1:13" ht="22.5" customHeight="1" x14ac:dyDescent="0.2">
      <c r="A16" s="70"/>
      <c r="B16" s="65"/>
      <c r="C16" s="65"/>
      <c r="D16" s="71"/>
      <c r="M16" s="64" t="s">
        <v>52</v>
      </c>
    </row>
    <row r="17" spans="1:13" ht="22.5" customHeight="1" x14ac:dyDescent="0.2">
      <c r="A17" s="70"/>
      <c r="B17" s="65"/>
      <c r="C17" s="65"/>
      <c r="D17" s="71"/>
      <c r="M17" s="64" t="s">
        <v>53</v>
      </c>
    </row>
    <row r="18" spans="1:13" ht="22.5" customHeight="1" x14ac:dyDescent="0.2">
      <c r="A18" s="70"/>
      <c r="B18" s="65"/>
      <c r="C18" s="65"/>
      <c r="D18" s="71"/>
      <c r="M18" s="64" t="s">
        <v>54</v>
      </c>
    </row>
    <row r="19" spans="1:13" ht="22.5" customHeight="1" x14ac:dyDescent="0.2">
      <c r="A19" s="70"/>
      <c r="B19" s="65"/>
      <c r="C19" s="65"/>
      <c r="D19" s="71"/>
      <c r="M19" s="64" t="s">
        <v>55</v>
      </c>
    </row>
    <row r="20" spans="1:13" ht="22.5" customHeight="1" x14ac:dyDescent="0.2">
      <c r="A20" s="70"/>
      <c r="B20" s="65"/>
      <c r="C20" s="65"/>
      <c r="D20" s="71"/>
      <c r="M20" s="64" t="s">
        <v>56</v>
      </c>
    </row>
    <row r="21" spans="1:13" ht="22.5" customHeight="1" x14ac:dyDescent="0.2">
      <c r="A21" s="70"/>
      <c r="B21" s="65"/>
      <c r="C21" s="65"/>
      <c r="D21" s="71"/>
      <c r="M21" s="64" t="s">
        <v>38</v>
      </c>
    </row>
    <row r="22" spans="1:13" ht="22.5" customHeight="1" x14ac:dyDescent="0.2">
      <c r="A22" s="70"/>
      <c r="B22" s="65"/>
      <c r="C22" s="65"/>
      <c r="D22" s="71"/>
      <c r="M22" s="64" t="s">
        <v>57</v>
      </c>
    </row>
    <row r="23" spans="1:13" ht="22.5" customHeight="1" x14ac:dyDescent="0.2">
      <c r="A23" s="70"/>
      <c r="B23" s="65"/>
      <c r="C23" s="65"/>
      <c r="D23" s="71"/>
      <c r="M23" s="64" t="s">
        <v>58</v>
      </c>
    </row>
    <row r="24" spans="1:13" ht="22.5" customHeight="1" x14ac:dyDescent="0.2">
      <c r="A24" s="70"/>
      <c r="B24" s="65"/>
      <c r="C24" s="65"/>
      <c r="D24" s="71"/>
      <c r="M24" s="64" t="s">
        <v>59</v>
      </c>
    </row>
    <row r="25" spans="1:13" ht="22.5" customHeight="1" x14ac:dyDescent="0.2">
      <c r="A25" s="70"/>
      <c r="B25" s="65"/>
      <c r="C25" s="65"/>
      <c r="D25" s="71"/>
    </row>
    <row r="26" spans="1:13" ht="22.5" customHeight="1" x14ac:dyDescent="0.2">
      <c r="A26" s="70"/>
      <c r="B26" s="65"/>
      <c r="C26" s="65"/>
      <c r="D26" s="71"/>
    </row>
    <row r="27" spans="1:13" ht="22.5" customHeight="1" x14ac:dyDescent="0.2">
      <c r="A27" s="70"/>
      <c r="B27" s="65"/>
      <c r="C27" s="65"/>
      <c r="D27" s="71"/>
    </row>
    <row r="28" spans="1:13" ht="22.5" customHeight="1" x14ac:dyDescent="0.2">
      <c r="A28" s="70"/>
      <c r="B28" s="65"/>
      <c r="C28" s="65"/>
      <c r="D28" s="71"/>
    </row>
    <row r="29" spans="1:13" ht="22.5" customHeight="1" x14ac:dyDescent="0.2">
      <c r="A29" s="70"/>
      <c r="B29" s="65"/>
      <c r="C29" s="65"/>
      <c r="D29" s="71"/>
    </row>
    <row r="30" spans="1:13" ht="22.5" customHeight="1" x14ac:dyDescent="0.2">
      <c r="A30" s="70"/>
      <c r="B30" s="65"/>
      <c r="C30" s="65"/>
      <c r="D30" s="71"/>
    </row>
    <row r="31" spans="1:13" ht="22.5" customHeight="1" thickBot="1" x14ac:dyDescent="0.25">
      <c r="A31" s="72"/>
      <c r="B31" s="73"/>
      <c r="C31" s="73"/>
      <c r="D31" s="74"/>
    </row>
  </sheetData>
  <mergeCells count="2">
    <mergeCell ref="A1:D1"/>
    <mergeCell ref="A2:D2"/>
  </mergeCells>
  <conditionalFormatting sqref="M5:M24">
    <cfRule type="expression" dxfId="1" priority="3">
      <formula>$J5="Autre"</formula>
    </cfRule>
    <cfRule type="expression" dxfId="0" priority="4">
      <formula>$J5="A rebuter"</formula>
    </cfRule>
  </conditionalFormatting>
  <dataValidations count="1">
    <dataValidation type="list" allowBlank="1" showInputMessage="1" sqref="A5:A31">
      <formula1>$M$5:$M$24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Kit Travail Hauteur</vt:lpstr>
      <vt:lpstr>Eqpt Hauteur</vt:lpstr>
      <vt:lpstr>Eqpt Divers</vt:lpstr>
      <vt:lpstr>Eqpt rebuté</vt:lpstr>
    </vt:vector>
  </TitlesOfParts>
  <Company>United Technologies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B.DUDEK</dc:creator>
  <cp:lastModifiedBy>Aurelie Montfort</cp:lastModifiedBy>
  <dcterms:created xsi:type="dcterms:W3CDTF">2018-03-02T14:09:51Z</dcterms:created>
  <dcterms:modified xsi:type="dcterms:W3CDTF">2018-08-31T09:10:29Z</dcterms:modified>
</cp:coreProperties>
</file>