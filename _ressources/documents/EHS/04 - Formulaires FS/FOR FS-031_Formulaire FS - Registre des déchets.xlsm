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chubbglobal.sharepoint.com/sites/PointSFR-SG/Shared Documents/General/2023_Màj Règles et Procédures/"/>
    </mc:Choice>
  </mc:AlternateContent>
  <xr:revisionPtr revIDLastSave="176" documentId="8_{B5C1EA6C-F171-405F-A488-7E58890FC411}" xr6:coauthVersionLast="47" xr6:coauthVersionMax="47" xr10:uidLastSave="{DFDFAB55-316C-4CE7-B167-4AA5904FA714}"/>
  <bookViews>
    <workbookView xWindow="3225" yWindow="2295" windowWidth="14670" windowHeight="8325" xr2:uid="{00000000-000D-0000-FFFF-FFFF00000000}"/>
  </bookViews>
  <sheets>
    <sheet name="Registre de suivi" sheetId="1" r:id="rId1"/>
    <sheet name="Listes Transporteurs - Install" sheetId="5" r:id="rId2"/>
    <sheet name="Liste déchets" sheetId="2" r:id="rId3"/>
    <sheet name="Analyse" sheetId="4" r:id="rId4"/>
  </sheets>
  <definedNames>
    <definedName name="_xlnm._FilterDatabase" localSheetId="0" hidden="1">'Registre de suivi'!$A$7:$P$7</definedName>
    <definedName name="_xlnm.Print_Area" localSheetId="0">'Registre de suivi'!$A$1:$P$8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N9" i="1"/>
  <c r="K9" i="1"/>
  <c r="E9" i="1"/>
  <c r="D9" i="1"/>
  <c r="B9" i="1"/>
  <c r="B8" i="1" l="1"/>
  <c r="P8" i="1"/>
  <c r="E8" i="1"/>
  <c r="D8" i="1"/>
  <c r="N8" i="1"/>
  <c r="K8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Administrator </author>
  </authors>
  <commentList>
    <comment ref="H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Pour créer un nouveau transporteur:
-Inscrire le nom du transporteur dans la cellule H2
-Cliquer sur le bouton ci-dessous "Ajouter transporteur"
Pour supprimer un transporteur:
-Aller sur l'onglet "Listes Transporteurs - Install"
-Sélectionner le transporteur à supprimer en cliquant dans la cellule correspondante
-Cliquer sur le bouton "Supprimer transporteur"</t>
        </r>
      </text>
    </comment>
    <comment ref="I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Pour créer une nouvelle installation
-Inscrire le nom de l'installation dans la cellule I2
-Cliquer sur le bouton ci-dessous "Ajouter Installation"
Pour supprimer un transporteur:
-Aller sur l'onglet "Listes Transporteurs - Install"
-Sélectionner l'installation à supprimer en cliquant dans la cellule correspondante
-Cliquer sur le bouton "Supprimer Installation"</t>
        </r>
      </text>
    </comment>
    <comment ref="J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Date cadre 10 BSD</t>
        </r>
      </text>
    </comment>
    <comment ref="M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Date cadre 11 BSD</t>
        </r>
      </text>
    </comment>
    <comment ref="O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Code cadre 11 BSD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Administrator </author>
  </authors>
  <commentList>
    <comment ref="A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Pour créer un nouveau transporteur:
-Inscrire le nom du transporteur dans la cellule H2
-Cliquer sur le bouton ci-dessous "Ajouter transporteur"
Pour supprimer un transporteur:
-Aller sur l'onglet "Listes Transporteurs - Install"
-Sélectionner le transporteur à supprimer en cliquant dans la cellule correspondante
-Cliquer sur le bouton "Supprimer transporteur"</t>
        </r>
      </text>
    </comment>
    <comment ref="C5" authorId="0" shapeId="0" xr:uid="{6220CE36-9EAF-4093-BF9B-1ADF4DE88D12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Pour créer une nouvelle installation
-Inscrire le nom de l'installation dans la cellule I2
-Cliquer sur le bouton ci-dessous "Ajouter Installation"
Pour supprimer un transporteur:
-Aller sur l'onglet "Listes Transporteurs - Install"
-Sélectionner l'installation à supprimer en cliquant dans la cellule correspondante
-Cliquer sur le bouton "Supprimer Installation"</t>
        </r>
      </text>
    </comment>
    <comment ref="C6" authorId="0" shapeId="0" xr:uid="{5A1E6F57-72C2-445A-904E-78EEA459F3BA}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Pour créer une nouvelle installation
-Inscrire le nom de l'installation dans la cellule I2
-Cliquer sur le bouton ci-dessous "Ajouter Installation"
Pour supprimer un transporteur:
-Aller sur l'onglet "Listes Transporteurs - Install"
-Sélectionner l'installation à supprimer en cliquant dans la cellule correspondante
-Cliquer sur le bouton "Supprimer Installation"</t>
        </r>
      </text>
    </comment>
  </commentList>
</comments>
</file>

<file path=xl/sharedStrings.xml><?xml version="1.0" encoding="utf-8"?>
<sst xmlns="http://schemas.openxmlformats.org/spreadsheetml/2006/main" count="197" uniqueCount="152">
  <si>
    <t>Registre de suivi des déchets</t>
  </si>
  <si>
    <t>N° BSD</t>
  </si>
  <si>
    <t>Désignation du déchet</t>
  </si>
  <si>
    <t>Code nomenclature</t>
  </si>
  <si>
    <t>Date enlèvement</t>
  </si>
  <si>
    <t>Emetteur BSD</t>
  </si>
  <si>
    <t>Transporteur</t>
  </si>
  <si>
    <t>Raison Sociale</t>
  </si>
  <si>
    <t>Installation de traitement final</t>
  </si>
  <si>
    <t>Date admission</t>
  </si>
  <si>
    <t>Date de traitement</t>
  </si>
  <si>
    <t>Code D/R</t>
  </si>
  <si>
    <t>Mode de traitement</t>
  </si>
  <si>
    <t>Nom de l'installation</t>
  </si>
  <si>
    <t>Codes D/R</t>
  </si>
  <si>
    <t>Dépôt sur ou dans le sol (par exemple, mise en décharge, etc …)</t>
  </si>
  <si>
    <t>Traitement en milieu terrestre (par exemple, biodégradation de déchets liquides ou de boues dans les sols, etc …)</t>
  </si>
  <si>
    <t>Injection en profondeur (par exemple injection des déchets pompables dans des puits, des dômes de sel ou des failles géologiques naturelles, etc …)</t>
  </si>
  <si>
    <t>Lagunage (par exemple, déversement de déchets liquides ou de boues dans des puits, des étangs ou des bassins, etc …)</t>
  </si>
  <si>
    <t>Mise en décharge spécialement aménagée (par exemple, placement dans des alvéoles étanches séparées, recouvertes et isolées les unes et les autres et de l’environnement, etc …)</t>
  </si>
  <si>
    <t>Rejet dans le milieu aquatique sauf l’immersion</t>
  </si>
  <si>
    <t>Immersion, y compris enfouissement dans le sous-sol marin</t>
  </si>
  <si>
    <t>Traitement biologique non spécifié ailleurs dans la présente liste, aboutissant à des composés ou à des mélanges qui sont éliminés selon l'un des procédés numérotés D1 à D12</t>
  </si>
  <si>
    <t>Traitement physico-chimique non spécifié ailleurs dans la présente liste, aboutissant à des composés ou à des mélanges qui sont éliminés selon l'un des procédés numérotés D1 à D12 ( par exemple, évaporation, séchage, calcination, etc …)</t>
  </si>
  <si>
    <t>Incinération à terre</t>
  </si>
  <si>
    <t>Stockage permanent (par exemple, placement de conteneurs dans une mine, etc ...)</t>
  </si>
  <si>
    <t>Regroupement préalablement à l'une des opérations numérotées D1 à D12</t>
  </si>
  <si>
    <t>Reconditionnement préalablement à l’une des opérations numérotées D1 à D13</t>
  </si>
  <si>
    <t>Stockage préalablement à l’une des opérations D1 à D14 (à l’exclusion du stockage temporaire, avant collecte, sur le site de production).</t>
  </si>
  <si>
    <t>Utilisation principale comme combustible ou autre moyen de produire de l'énergie</t>
  </si>
  <si>
    <t>Récupération ou régénération des solvants</t>
  </si>
  <si>
    <t>Recyclage ou récupération des substances organiques qui ne sont pas utilisées comme solvants (y compris les opérations de compostage et autres transformations biologiques)</t>
  </si>
  <si>
    <t>Recyclage ou récupération des métaux et des composés métalliques</t>
  </si>
  <si>
    <t>Recyclage ou récupération d’autres matières inorganiques</t>
  </si>
  <si>
    <t>Régénération des acides ou des bases</t>
  </si>
  <si>
    <t>Récupération des produits servant à capter les polluants</t>
  </si>
  <si>
    <t>Récupération des produits provenant des catalyseurs</t>
  </si>
  <si>
    <t>Régénération ou autres réemplois des huiles</t>
  </si>
  <si>
    <t>Épandage sur le sol au profit de l’agriculture ou de l’écologie</t>
  </si>
  <si>
    <t>Utilisation de déchets résiduels obtenus à partir de l'une des opérations numérotées R1 à R10</t>
  </si>
  <si>
    <t>Échange de déchets en vue de les soumettre à l'une des opérations numérotées R1 à R11</t>
  </si>
  <si>
    <t>Stockage de déchets préalablement à l’une des opérations R1 à R12 (à l’exclusion du stockage temporaire, avant collecte, sur le site de production)</t>
  </si>
  <si>
    <t>Dénomination du déchet</t>
  </si>
  <si>
    <t>16 05 04*</t>
  </si>
  <si>
    <t>Poudre d’extinction</t>
  </si>
  <si>
    <t>16 05 09</t>
  </si>
  <si>
    <t>16 10 01*</t>
  </si>
  <si>
    <t>16 06 01*</t>
  </si>
  <si>
    <t>Aérosols</t>
  </si>
  <si>
    <t>André Logistique</t>
  </si>
  <si>
    <t>Dachser</t>
  </si>
  <si>
    <t>TNT</t>
  </si>
  <si>
    <t>Libellé code traitement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</si>
  <si>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</si>
  <si>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</si>
  <si>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</si>
  <si>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</si>
  <si>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</si>
  <si>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</si>
  <si>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</si>
  <si>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</si>
  <si>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</si>
  <si>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</si>
  <si>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D12</t>
  </si>
  <si>
    <t>D13</t>
  </si>
  <si>
    <t>D14</t>
  </si>
  <si>
    <t>D15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</si>
  <si>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</si>
  <si>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</si>
  <si>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</si>
  <si>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</si>
  <si>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</si>
  <si>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</si>
  <si>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</si>
  <si>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</si>
  <si>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</si>
  <si>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</si>
  <si>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</si>
  <si>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</si>
  <si>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</si>
  <si>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Délai retour admission</t>
  </si>
  <si>
    <t>Délai retour traitement</t>
  </si>
  <si>
    <t>EFMT</t>
  </si>
  <si>
    <t>Somme de Quantité expédiée
(tonnes)</t>
  </si>
  <si>
    <t>Étiquettes de lignes</t>
  </si>
  <si>
    <t>Total général</t>
  </si>
  <si>
    <t>Famille de déchet</t>
  </si>
  <si>
    <t>Statut BSD</t>
  </si>
  <si>
    <t>Nouveau transporteur:</t>
  </si>
  <si>
    <t>Nouvelle installation:</t>
  </si>
  <si>
    <t>Pour ajouter =&gt;</t>
  </si>
  <si>
    <t>Ajout/Supression de déchet uniquement sur autorisation du service EHS !</t>
  </si>
  <si>
    <t>20 01 99</t>
  </si>
  <si>
    <t>Cartouches d'encre</t>
  </si>
  <si>
    <t>20 01 28</t>
  </si>
  <si>
    <t>20 01 40</t>
  </si>
  <si>
    <t>PAPREC</t>
  </si>
  <si>
    <r>
      <t xml:space="preserve">Pour supprimer une ligne, aller dans le menu </t>
    </r>
    <r>
      <rPr>
        <b/>
        <sz val="11"/>
        <color indexed="62"/>
        <rFont val="Calibri"/>
        <family val="2"/>
      </rPr>
      <t>"Révision"</t>
    </r>
    <r>
      <rPr>
        <sz val="11"/>
        <color indexed="62"/>
        <rFont val="Calibri"/>
        <family val="2"/>
      </rPr>
      <t xml:space="preserve">, puis faire </t>
    </r>
    <r>
      <rPr>
        <b/>
        <sz val="11"/>
        <color indexed="62"/>
        <rFont val="Calibri"/>
        <family val="2"/>
      </rPr>
      <t>"Oter la protection de la feuille"</t>
    </r>
    <r>
      <rPr>
        <sz val="11"/>
        <color indexed="62"/>
        <rFont val="Calibri"/>
        <family val="2"/>
      </rPr>
      <t xml:space="preserve"> puis supprimer la ligne</t>
    </r>
  </si>
  <si>
    <r>
      <t xml:space="preserve">Quantité expédiée
</t>
    </r>
    <r>
      <rPr>
        <b/>
        <sz val="9"/>
        <color indexed="8"/>
        <rFont val="Calibri"/>
        <family val="2"/>
      </rPr>
      <t>(tonnes)</t>
    </r>
  </si>
  <si>
    <r>
      <t xml:space="preserve">Quantité réceptionnée
</t>
    </r>
    <r>
      <rPr>
        <b/>
        <sz val="9"/>
        <color indexed="8"/>
        <rFont val="Calibri"/>
        <family val="2"/>
      </rPr>
      <t>(tonnes)</t>
    </r>
  </si>
  <si>
    <t>&lt;01/01/1905</t>
  </si>
  <si>
    <t>(vide)</t>
  </si>
  <si>
    <t>RIA</t>
  </si>
  <si>
    <t>Bois</t>
  </si>
  <si>
    <t>Métaux précieux</t>
  </si>
  <si>
    <t>Ferraille</t>
  </si>
  <si>
    <t>Cuivre</t>
  </si>
  <si>
    <t>BOUCHONS DE BOUTEILLES (PLASTIQUE)</t>
  </si>
  <si>
    <t>Carton</t>
  </si>
  <si>
    <t>Papier</t>
  </si>
  <si>
    <t>Plastique Film</t>
  </si>
  <si>
    <t>Plastique Dur</t>
  </si>
  <si>
    <t>Aluminium</t>
  </si>
  <si>
    <t>Ampoules à incandescence (à filaments)</t>
  </si>
  <si>
    <t>Déchets Industriels Banaux (DIB)</t>
  </si>
  <si>
    <t xml:space="preserve"> 20 03 99</t>
  </si>
  <si>
    <t>15 01 01</t>
  </si>
  <si>
    <t>15 01 03</t>
  </si>
  <si>
    <t>20 01 39</t>
  </si>
  <si>
    <t>15 01 02</t>
  </si>
  <si>
    <t>16 01 17</t>
  </si>
  <si>
    <t>17 04 02</t>
  </si>
  <si>
    <t>17 04 01</t>
  </si>
  <si>
    <t>Demander à PAPREC</t>
  </si>
  <si>
    <t>Déchets Non Dangereux</t>
  </si>
  <si>
    <t>Déchets Amianté</t>
  </si>
  <si>
    <t xml:space="preserve">95% d'eau + pétrole (ISANE) brulé et non brulé en GRV </t>
  </si>
  <si>
    <t>Biocide</t>
  </si>
  <si>
    <t>Bouteilles d'ARI (Alu composite, Acier ou Alu)</t>
  </si>
  <si>
    <t xml:space="preserve">Bouteilles d'extinction IEAG avec Fluides Frigorigènes </t>
  </si>
  <si>
    <t>Pyrotechnique</t>
  </si>
  <si>
    <t>Batteries</t>
  </si>
  <si>
    <t>Déchets Dangereux</t>
  </si>
  <si>
    <t>20 01 35*</t>
  </si>
  <si>
    <t>DEEE - Outillage électronique (perceuse, multimètre, pince ampèremétrique ….) - Ampoules/tubes - Les tubes (néons)
Toutes les autres lampes : à diodes, fluocompactes, à décharge, etc. car contient du Mercure</t>
  </si>
  <si>
    <t>BAES (Blocs Autonomes Eclairage Sécurité)</t>
  </si>
  <si>
    <t>Piles alcalines + Lithium</t>
  </si>
  <si>
    <t>20 01 33*</t>
  </si>
  <si>
    <t>Chiffons souillés - Autres solides souillés (COLLE, RESINE, DURCISSEUR EN POTS OU EN SEAUX)</t>
  </si>
  <si>
    <t>08 04 09*</t>
  </si>
  <si>
    <t>17 06 01*</t>
  </si>
  <si>
    <t>Additifs/Antigels/Contenu des Douches portatives</t>
  </si>
  <si>
    <t>Sparklet / Sparklet ZEON / Bouteilles de chasse et bouteilles d'extinction</t>
  </si>
  <si>
    <t>Appareils Extincteurs (Eau,Poudre,CO2,Halon) I PAE</t>
  </si>
  <si>
    <t>16 04 03*</t>
  </si>
  <si>
    <t>14 06 01*</t>
  </si>
  <si>
    <t>EcoPlanète (Romorantin)</t>
  </si>
  <si>
    <t>LSI</t>
  </si>
  <si>
    <t>ERPACC</t>
  </si>
  <si>
    <t xml:space="preserve">VERSION : </t>
  </si>
  <si>
    <t>Date de màj de la VERSION</t>
  </si>
  <si>
    <t>LES DECHETS DANGEREUX sont à enregistrer sur TRACKDECHETS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</si>
</sst>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00"/>
  </numFmts>
  <fonts count="18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sz val="9"/>
      <color indexed="8"/>
      <name val="Calibri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u/>
      <sz val="11"/>
      <color theme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 indent="1"/>
    </xf>
    <xf numFmtId="0" fontId="7" fillId="0" borderId="0" xfId="0" applyFont="1"/>
    <xf numFmtId="0" fontId="8" fillId="0" borderId="0" xfId="0" applyFont="1"/>
    <xf numFmtId="0" fontId="9" fillId="0" borderId="0" xfId="0" applyFont="1" applyAlignment="1">
      <alignment horizontal="center"/>
    </xf>
    <xf numFmtId="14" fontId="10" fillId="0" borderId="0" xfId="0" applyNumberFormat="1" applyFont="1"/>
    <xf numFmtId="14" fontId="11" fillId="0" borderId="0" xfId="0" applyNumberFormat="1" applyFont="1"/>
    <xf numFmtId="0" fontId="7" fillId="0" borderId="0" xfId="0" applyFont="1" applyAlignment="1">
      <alignment wrapText="1"/>
    </xf>
    <xf numFmtId="0" fontId="7" fillId="2" borderId="0" xfId="0" applyFont="1" applyFill="1" applyProtection="1">
      <protection locked="0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 wrapText="1"/>
    </xf>
    <xf numFmtId="0" fontId="9" fillId="5" borderId="1" xfId="0" applyFont="1" applyFill="1" applyBorder="1" applyAlignment="1">
      <alignment horizontal="center" vertical="top"/>
    </xf>
    <xf numFmtId="0" fontId="9" fillId="6" borderId="1" xfId="0" applyFont="1" applyFill="1" applyBorder="1" applyAlignment="1">
      <alignment horizontal="center" vertical="top"/>
    </xf>
    <xf numFmtId="0" fontId="9" fillId="6" borderId="1" xfId="0" applyFont="1" applyFill="1" applyBorder="1" applyAlignment="1">
      <alignment horizontal="center" vertical="top" wrapText="1"/>
    </xf>
    <xf numFmtId="0" fontId="9" fillId="7" borderId="1" xfId="0" applyFont="1" applyFill="1" applyBorder="1" applyAlignment="1">
      <alignment horizontal="center" vertical="top" wrapText="1"/>
    </xf>
    <xf numFmtId="0" fontId="9" fillId="8" borderId="1" xfId="0" applyFont="1" applyFill="1" applyBorder="1" applyAlignment="1">
      <alignment horizontal="center" vertical="top" wrapText="1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horizontal="center" vertical="top"/>
    </xf>
    <xf numFmtId="0" fontId="7" fillId="4" borderId="1" xfId="0" applyFont="1" applyFill="1" applyBorder="1" applyAlignment="1">
      <alignment vertical="top"/>
    </xf>
    <xf numFmtId="165" fontId="7" fillId="0" borderId="1" xfId="0" applyNumberFormat="1" applyFont="1" applyBorder="1" applyAlignment="1" applyProtection="1">
      <alignment horizontal="center" vertical="top"/>
      <protection locked="0"/>
    </xf>
    <xf numFmtId="164" fontId="7" fillId="0" borderId="1" xfId="0" applyNumberFormat="1" applyFont="1" applyBorder="1" applyAlignment="1" applyProtection="1">
      <alignment horizontal="center" vertical="top"/>
      <protection locked="0"/>
    </xf>
    <xf numFmtId="1" fontId="7" fillId="7" borderId="1" xfId="0" applyNumberFormat="1" applyFont="1" applyFill="1" applyBorder="1" applyAlignment="1">
      <alignment horizontal="center" vertical="top"/>
    </xf>
    <xf numFmtId="1" fontId="7" fillId="0" borderId="1" xfId="0" applyNumberFormat="1" applyFont="1" applyBorder="1" applyAlignment="1" applyProtection="1">
      <alignment horizontal="center" vertical="top"/>
      <protection locked="0"/>
    </xf>
    <xf numFmtId="1" fontId="7" fillId="8" borderId="1" xfId="0" applyNumberFormat="1" applyFont="1" applyFill="1" applyBorder="1" applyAlignment="1">
      <alignment horizontal="center" vertical="top"/>
    </xf>
    <xf numFmtId="0" fontId="7" fillId="6" borderId="1" xfId="0" applyFont="1" applyFill="1" applyBorder="1" applyAlignment="1">
      <alignment vertical="top"/>
    </xf>
    <xf numFmtId="0" fontId="7" fillId="9" borderId="0" xfId="0" applyFont="1" applyFill="1"/>
    <xf numFmtId="0" fontId="9" fillId="0" borderId="0" xfId="0" applyFont="1"/>
    <xf numFmtId="0" fontId="12" fillId="0" borderId="0" xfId="0" applyFont="1" applyFill="1" applyBorder="1" applyAlignment="1"/>
    <xf numFmtId="0" fontId="7" fillId="3" borderId="0" xfId="0" applyFont="1" applyFill="1" applyAlignment="1">
      <alignment horizontal="left"/>
    </xf>
    <xf numFmtId="0" fontId="13" fillId="0" borderId="0" xfId="0" applyFont="1"/>
    <xf numFmtId="0" fontId="7" fillId="7" borderId="0" xfId="0" applyFont="1" applyFill="1"/>
    <xf numFmtId="0" fontId="14" fillId="0" borderId="0" xfId="0" applyFont="1"/>
    <xf numFmtId="0" fontId="15" fillId="0" borderId="0" xfId="0" applyFont="1" applyAlignment="1">
      <alignment horizontal="right" vertical="center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11" borderId="0" xfId="0" applyFont="1" applyFill="1" applyAlignment="1">
      <alignment vertical="center"/>
    </xf>
    <xf numFmtId="0" fontId="7" fillId="11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1" fillId="11" borderId="0" xfId="0" applyFont="1" applyFill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vertical="center"/>
    </xf>
    <xf numFmtId="0" fontId="7" fillId="7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" fillId="11" borderId="0" xfId="0" applyFont="1" applyFill="1" applyAlignment="1">
      <alignment horizontal="left" vertical="center" wrapText="1"/>
    </xf>
    <xf numFmtId="0" fontId="1" fillId="3" borderId="0" xfId="0" applyFont="1" applyFill="1" applyProtection="1">
      <protection locked="0"/>
    </xf>
    <xf numFmtId="14" fontId="7" fillId="0" borderId="0" xfId="0" applyNumberFormat="1" applyFont="1" applyAlignment="1">
      <alignment horizontal="left"/>
    </xf>
    <xf numFmtId="0" fontId="17" fillId="0" borderId="0" xfId="1" applyAlignment="1">
      <alignment wrapText="1"/>
    </xf>
    <xf numFmtId="0" fontId="7" fillId="2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7" fillId="0" borderId="0" xfId="0" applyFont="1" applyAlignment="1">
      <alignment horizontal="left" vertical="center"/>
    </xf>
    <xf numFmtId="0" fontId="12" fillId="10" borderId="2" xfId="0" applyFont="1" applyFill="1" applyBorder="1" applyAlignment="1">
      <alignment horizontal="center"/>
    </xf>
    <xf numFmtId="0" fontId="12" fillId="10" borderId="3" xfId="0" applyFont="1" applyFill="1" applyBorder="1" applyAlignment="1">
      <alignment horizontal="center"/>
    </xf>
    <xf numFmtId="0" fontId="12" fillId="10" borderId="4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6" fillId="0" borderId="5" xfId="0" applyFont="1" applyBorder="1" applyAlignment="1">
      <alignment horizontal="left" wrapText="1"/>
    </xf>
  </cellXfs>
  <cellStyles count="2">
    <cellStyle name="Lien hypertexte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 FS 031 Registre des déchets SGD.xlsm]Analyse!Tableau croisé dynamique1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Qté de déchets expédiés (tonnes)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Analyse!$A$2:$A$4</c:f>
              <c:multiLvlStrCache>
                <c:ptCount val="1"/>
                <c:lvl>
                  <c:pt idx="0">
                    <c:v>(vide)</c:v>
                  </c:pt>
                </c:lvl>
                <c:lvl>
                  <c:pt idx="0">
                    <c:v>&lt;01/01/1905</c:v>
                  </c:pt>
                </c:lvl>
              </c:multiLvlStrCache>
            </c:multiLvlStrRef>
          </c:cat>
          <c:val>
            <c:numRef>
              <c:f>Analyse!$B$2:$B$4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D4-459C-92DD-8D0C3A57E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164176"/>
        <c:axId val="218157120"/>
      </c:barChart>
      <c:catAx>
        <c:axId val="21816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8157120"/>
        <c:crosses val="autoZero"/>
        <c:auto val="0"/>
        <c:lblAlgn val="ctr"/>
        <c:lblOffset val="100"/>
        <c:noMultiLvlLbl val="0"/>
      </c:catAx>
      <c:valAx>
        <c:axId val="21815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64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trackdechets.beta.gouv.fr/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6</xdr:row>
      <xdr:rowOff>200025</xdr:rowOff>
    </xdr:from>
    <xdr:to>
      <xdr:col>0</xdr:col>
      <xdr:colOff>561974</xdr:colOff>
      <xdr:row>6</xdr:row>
      <xdr:rowOff>476251</xdr:rowOff>
    </xdr:to>
    <xdr:sp macro="[0]!ajout_bsd1" textlink="">
      <xdr:nvSpPr>
        <xdr:cNvPr id="2" name="Pla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1533525"/>
          <a:ext cx="495299" cy="276226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2400" b="1"/>
            <a:t>+ </a:t>
          </a:r>
        </a:p>
      </xdr:txBody>
    </xdr:sp>
    <xdr:clientData fLocksWithSheet="0"/>
  </xdr:twoCellAnchor>
  <xdr:twoCellAnchor>
    <xdr:from>
      <xdr:col>7</xdr:col>
      <xdr:colOff>0</xdr:colOff>
      <xdr:row>4</xdr:row>
      <xdr:rowOff>22413</xdr:rowOff>
    </xdr:from>
    <xdr:to>
      <xdr:col>7</xdr:col>
      <xdr:colOff>1613647</xdr:colOff>
      <xdr:row>4</xdr:row>
      <xdr:rowOff>358589</xdr:rowOff>
    </xdr:to>
    <xdr:sp macro="[0]!ajout_transporteur" textlink="">
      <xdr:nvSpPr>
        <xdr:cNvPr id="5" name="Pla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824882" y="425825"/>
          <a:ext cx="1613647" cy="33617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Ajouter Transporteur</a:t>
          </a:r>
        </a:p>
      </xdr:txBody>
    </xdr:sp>
    <xdr:clientData/>
  </xdr:twoCellAnchor>
  <xdr:twoCellAnchor>
    <xdr:from>
      <xdr:col>8</xdr:col>
      <xdr:colOff>116648</xdr:colOff>
      <xdr:row>4</xdr:row>
      <xdr:rowOff>20035</xdr:rowOff>
    </xdr:from>
    <xdr:to>
      <xdr:col>8</xdr:col>
      <xdr:colOff>1730295</xdr:colOff>
      <xdr:row>4</xdr:row>
      <xdr:rowOff>356211</xdr:rowOff>
    </xdr:to>
    <xdr:sp macro="[0]!Ajout_Install" textlink="">
      <xdr:nvSpPr>
        <xdr:cNvPr id="6" name="Pla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22961" y="424848"/>
          <a:ext cx="1613647" cy="336176"/>
        </a:xfrm>
        <a:prstGeom prst="bevel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Ajouter Installation</a:t>
          </a:r>
        </a:p>
      </xdr:txBody>
    </xdr:sp>
    <xdr:clientData/>
  </xdr:twoCellAnchor>
  <xdr:twoCellAnchor editAs="oneCell">
    <xdr:from>
      <xdr:col>2</xdr:col>
      <xdr:colOff>1309688</xdr:colOff>
      <xdr:row>1</xdr:row>
      <xdr:rowOff>142876</xdr:rowOff>
    </xdr:from>
    <xdr:to>
      <xdr:col>2</xdr:col>
      <xdr:colOff>3214450</xdr:colOff>
      <xdr:row>1</xdr:row>
      <xdr:rowOff>1076209</xdr:rowOff>
    </xdr:to>
    <xdr:pic>
      <xdr:nvPicPr>
        <xdr:cNvPr id="3" name="Imag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F62FF9-491E-3C3C-2F9D-DA3D86E7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81376" y="702470"/>
          <a:ext cx="1904762" cy="93333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0</xdr:row>
      <xdr:rowOff>83343</xdr:rowOff>
    </xdr:from>
    <xdr:to>
      <xdr:col>2</xdr:col>
      <xdr:colOff>2004592</xdr:colOff>
      <xdr:row>0</xdr:row>
      <xdr:rowOff>535781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0DE1152-26D4-4E7E-A2F1-30B619B7E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3343"/>
          <a:ext cx="4076280" cy="4524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1</xdr:col>
      <xdr:colOff>9525</xdr:colOff>
      <xdr:row>0</xdr:row>
      <xdr:rowOff>333375</xdr:rowOff>
    </xdr:to>
    <xdr:sp macro="[0]!supprimer_transporteur" textlink="">
      <xdr:nvSpPr>
        <xdr:cNvPr id="2" name="Pla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430375" y="19050"/>
          <a:ext cx="2600325" cy="31432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Supprimer transporteur</a:t>
          </a:r>
        </a:p>
      </xdr:txBody>
    </xdr:sp>
    <xdr:clientData/>
  </xdr:twoCellAnchor>
  <xdr:twoCellAnchor>
    <xdr:from>
      <xdr:col>2</xdr:col>
      <xdr:colOff>19049</xdr:colOff>
      <xdr:row>0</xdr:row>
      <xdr:rowOff>19050</xdr:rowOff>
    </xdr:from>
    <xdr:to>
      <xdr:col>2</xdr:col>
      <xdr:colOff>2085974</xdr:colOff>
      <xdr:row>0</xdr:row>
      <xdr:rowOff>333375</xdr:rowOff>
    </xdr:to>
    <xdr:sp macro="[0]!supprimer_Installation" textlink="">
      <xdr:nvSpPr>
        <xdr:cNvPr id="3" name="Pla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878424" y="19050"/>
          <a:ext cx="2066925" cy="31432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Supprimer Installation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38100</xdr:rowOff>
    </xdr:from>
    <xdr:to>
      <xdr:col>3</xdr:col>
      <xdr:colOff>1771650</xdr:colOff>
      <xdr:row>0</xdr:row>
      <xdr:rowOff>514350</xdr:rowOff>
    </xdr:to>
    <xdr:sp macro="[0]!Ajout_Déche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838825" y="38100"/>
          <a:ext cx="1714500" cy="47625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Ajouter nouveau déchet</a:t>
          </a:r>
        </a:p>
      </xdr:txBody>
    </xdr:sp>
    <xdr:clientData/>
  </xdr:twoCellAnchor>
  <xdr:twoCellAnchor>
    <xdr:from>
      <xdr:col>3</xdr:col>
      <xdr:colOff>1847850</xdr:colOff>
      <xdr:row>0</xdr:row>
      <xdr:rowOff>38100</xdr:rowOff>
    </xdr:from>
    <xdr:to>
      <xdr:col>3</xdr:col>
      <xdr:colOff>4800600</xdr:colOff>
      <xdr:row>0</xdr:row>
      <xdr:rowOff>514350</xdr:rowOff>
    </xdr:to>
    <xdr:sp macro="[0]!supprimer_Déchet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629525" y="38100"/>
          <a:ext cx="2952750" cy="47625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Supprimer déchet</a:t>
          </a:r>
        </a:p>
        <a:p>
          <a:pPr algn="ctr"/>
          <a:r>
            <a:rPr lang="en-US" sz="800"/>
            <a:t>(sélectionner</a:t>
          </a:r>
          <a:r>
            <a:rPr lang="en-US" sz="800" baseline="0"/>
            <a:t> simultanément les 3 colonnes)</a:t>
          </a:r>
          <a:endParaRPr lang="en-US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</xdr:row>
      <xdr:rowOff>19050</xdr:rowOff>
    </xdr:from>
    <xdr:to>
      <xdr:col>7</xdr:col>
      <xdr:colOff>800100</xdr:colOff>
      <xdr:row>16</xdr:row>
      <xdr:rowOff>47625</xdr:rowOff>
    </xdr:to>
    <xdr:graphicFrame macro="">
      <xdr:nvGraphicFramePr>
        <xdr:cNvPr id="9223" name="Graphique 1">
          <a:extLst>
            <a:ext uri="{FF2B5EF4-FFF2-40B4-BE49-F238E27FC236}">
              <a16:creationId xmlns:a16="http://schemas.microsoft.com/office/drawing/2014/main" id="{00000000-0008-0000-0300-000007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relie Montfort" refreshedDate="43263.650658796294" createdVersion="4" refreshedVersion="4" minRefreshableVersion="3" recordCount="1" xr:uid="{00000000-000A-0000-FFFF-FFFF0B000000}">
  <cacheSource type="worksheet">
    <worksheetSource ref="A7:P8" sheet="Registre de suivi"/>
  </cacheSource>
  <cacheFields count="17">
    <cacheField name="N° BSD" numFmtId="0">
      <sharedItems containsNonDate="0" containsString="0" containsBlank="1"/>
    </cacheField>
    <cacheField name="Statut BSD" numFmtId="0">
      <sharedItems/>
    </cacheField>
    <cacheField name="Désignation du déchet" numFmtId="0">
      <sharedItems containsNonDate="0" containsString="0" containsBlank="1"/>
    </cacheField>
    <cacheField name="Code nomenclature" numFmtId="0">
      <sharedItems/>
    </cacheField>
    <cacheField name="Famille de déchet" numFmtId="0">
      <sharedItems/>
    </cacheField>
    <cacheField name="Quantité expédiée_x000a_(tonnes)" numFmtId="0">
      <sharedItems containsNonDate="0" containsString="0" containsBlank="1"/>
    </cacheField>
    <cacheField name="Date enlèvement" numFmtId="0">
      <sharedItems containsNonDate="0" containsDate="1" containsString="0" containsBlank="1" count="1">
        <m/>
      </sharedItems>
      <fieldGroup par="16" base="6">
        <rangePr groupBy="months" startDate="1905-01-01T00:00:00" endDate="1905-01-01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1/01/1905"/>
        </groupItems>
      </fieldGroup>
    </cacheField>
    <cacheField name="Raison Sociale" numFmtId="0">
      <sharedItems containsNonDate="0" containsString="0" containsBlank="1"/>
    </cacheField>
    <cacheField name="Nom de l'installation" numFmtId="0">
      <sharedItems containsNonDate="0" containsString="0" containsBlank="1"/>
    </cacheField>
    <cacheField name="Date admission" numFmtId="0">
      <sharedItems containsNonDate="0" containsString="0" containsBlank="1"/>
    </cacheField>
    <cacheField name="Délai retour admission" numFmtId="0">
      <sharedItems/>
    </cacheField>
    <cacheField name="Quantité réceptionnée_x000a_(tonnes)" numFmtId="0">
      <sharedItems containsNonDate="0" containsString="0" containsBlank="1"/>
    </cacheField>
    <cacheField name="Date de traitement" numFmtId="0">
      <sharedItems containsNonDate="0" containsString="0" containsBlank="1"/>
    </cacheField>
    <cacheField name="Délai retour traitement" numFmtId="0">
      <sharedItems/>
    </cacheField>
    <cacheField name="Code D/R" numFmtId="0">
      <sharedItems containsNonDate="0" containsString="0" containsBlank="1"/>
    </cacheField>
    <cacheField name="Mode de traitement" numFmtId="0">
      <sharedItems/>
    </cacheField>
    <cacheField name="Années" numFmtId="0" databaseField="0">
      <fieldGroup base="6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s v="A expédier"/>
    <m/>
    <s v=""/>
    <s v=""/>
    <m/>
    <x v="0"/>
    <m/>
    <m/>
    <m/>
    <s v=""/>
    <m/>
    <m/>
    <s v=""/>
    <m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eau croisé dynamique1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chartFormat="1">
  <location ref="A1:B4" firstHeaderRow="1" firstDataRow="1" firstDataCol="1"/>
  <pivotFields count="17">
    <pivotField showAll="0"/>
    <pivotField showAll="0" defaultSubtotal="0"/>
    <pivotField showAll="0"/>
    <pivotField showAll="0"/>
    <pivotField showAll="0" defaultSubtotal="0"/>
    <pivotField dataField="1"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numFmtId="1" showAll="0"/>
    <pivotField showAll="0"/>
    <pivotField showAll="0"/>
    <pivotField numFmtId="1" showAll="0"/>
    <pivotField showAll="0"/>
    <pivotField showAll="0"/>
    <pivotField axis="axisRow" showAll="0" defaultSubtotal="0">
      <items count="3">
        <item x="0"/>
        <item x="1"/>
        <item x="2"/>
      </items>
    </pivotField>
  </pivotFields>
  <rowFields count="2">
    <field x="16"/>
    <field x="6"/>
  </rowFields>
  <rowItems count="3">
    <i>
      <x/>
    </i>
    <i r="1">
      <x/>
    </i>
    <i t="grand">
      <x/>
    </i>
  </rowItems>
  <colItems count="1">
    <i/>
  </colItems>
  <dataFields count="1">
    <dataField name="Somme de Quantité expédiée_x000a_(tonnes)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ackdechets.beta.gouv.fr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00B050"/>
  </sheetPr>
  <dimension ref="A1:P156"/>
  <sheetViews>
    <sheetView tabSelected="1" zoomScale="80" zoomScaleNormal="80" workbookViewId="0">
      <selection activeCell="H2" sqref="H2"/>
    </sheetView>
  </sheetViews>
  <sheetFormatPr baseColWidth="10" defaultRowHeight="15" x14ac:dyDescent="0.25"/>
  <cols>
    <col min="1" max="2" width="13.625" style="5" customWidth="1"/>
    <col min="3" max="3" width="62.875" style="5" customWidth="1"/>
    <col min="4" max="5" width="13.75" style="5" customWidth="1"/>
    <col min="6" max="6" width="12.5" style="5" customWidth="1"/>
    <col min="7" max="7" width="11.625" style="5" customWidth="1"/>
    <col min="8" max="8" width="21.25" style="5" customWidth="1"/>
    <col min="9" max="9" width="24.5" style="5" bestFit="1" customWidth="1"/>
    <col min="10" max="11" width="11.625" style="5" customWidth="1"/>
    <col min="12" max="12" width="12.875" style="5" customWidth="1"/>
    <col min="13" max="14" width="11.625" style="5" customWidth="1"/>
    <col min="15" max="15" width="6.375" style="5" customWidth="1"/>
    <col min="16" max="16" width="58.375" style="5" customWidth="1"/>
    <col min="17" max="16384" width="11" style="5"/>
  </cols>
  <sheetData>
    <row r="1" spans="1:16" ht="44.25" customHeight="1" x14ac:dyDescent="0.25">
      <c r="B1" s="6"/>
      <c r="C1" s="38" t="s">
        <v>0</v>
      </c>
      <c r="D1" s="46" t="s">
        <v>149</v>
      </c>
      <c r="E1" s="57">
        <v>2</v>
      </c>
      <c r="F1" s="41" t="s">
        <v>150</v>
      </c>
      <c r="G1" s="53">
        <v>45162</v>
      </c>
      <c r="H1" s="7" t="s">
        <v>88</v>
      </c>
      <c r="I1" s="7" t="s">
        <v>89</v>
      </c>
    </row>
    <row r="2" spans="1:16" ht="113.25" customHeight="1" x14ac:dyDescent="0.25">
      <c r="A2" s="8">
        <f ca="1">TODAY()+C24</f>
        <v>45166</v>
      </c>
      <c r="B2" s="9"/>
      <c r="C2" s="54" t="s">
        <v>151</v>
      </c>
      <c r="H2" s="55"/>
      <c r="I2" s="56" t="s">
        <v>96</v>
      </c>
      <c r="J2" s="12"/>
      <c r="K2" s="12"/>
      <c r="L2" s="12"/>
    </row>
    <row r="3" spans="1:16" ht="0.95" customHeight="1" x14ac:dyDescent="0.25">
      <c r="A3" s="9"/>
      <c r="B3" s="9"/>
      <c r="C3" s="13"/>
      <c r="I3" s="12"/>
      <c r="J3" s="12"/>
      <c r="K3" s="12"/>
      <c r="L3" s="12"/>
    </row>
    <row r="4" spans="1:16" ht="0.95" customHeight="1" x14ac:dyDescent="0.25">
      <c r="A4" s="9"/>
      <c r="B4" s="9"/>
      <c r="C4" s="13"/>
      <c r="I4" s="12"/>
      <c r="J4" s="12"/>
      <c r="K4" s="12"/>
      <c r="L4" s="12"/>
    </row>
    <row r="5" spans="1:16" ht="30.75" customHeight="1" x14ac:dyDescent="0.25">
      <c r="A5" s="64" t="s">
        <v>97</v>
      </c>
      <c r="B5" s="64"/>
      <c r="C5" s="64"/>
      <c r="I5" s="12"/>
      <c r="J5" s="12"/>
      <c r="K5" s="12"/>
      <c r="L5" s="12"/>
    </row>
    <row r="6" spans="1:16" x14ac:dyDescent="0.25">
      <c r="A6" s="58" t="s">
        <v>5</v>
      </c>
      <c r="B6" s="59"/>
      <c r="C6" s="59"/>
      <c r="D6" s="59"/>
      <c r="E6" s="59"/>
      <c r="F6" s="59"/>
      <c r="G6" s="60"/>
      <c r="H6" s="14" t="s">
        <v>6</v>
      </c>
      <c r="I6" s="61" t="s">
        <v>8</v>
      </c>
      <c r="J6" s="62"/>
      <c r="K6" s="62"/>
      <c r="L6" s="62"/>
      <c r="M6" s="62"/>
      <c r="N6" s="62"/>
      <c r="O6" s="62"/>
      <c r="P6" s="63"/>
    </row>
    <row r="7" spans="1:16" ht="42" x14ac:dyDescent="0.25">
      <c r="A7" s="15" t="s">
        <v>1</v>
      </c>
      <c r="B7" s="15" t="s">
        <v>87</v>
      </c>
      <c r="C7" s="15" t="s">
        <v>2</v>
      </c>
      <c r="D7" s="16" t="s">
        <v>3</v>
      </c>
      <c r="E7" s="16" t="s">
        <v>86</v>
      </c>
      <c r="F7" s="16" t="s">
        <v>98</v>
      </c>
      <c r="G7" s="16" t="s">
        <v>4</v>
      </c>
      <c r="H7" s="17" t="s">
        <v>7</v>
      </c>
      <c r="I7" s="18" t="s">
        <v>13</v>
      </c>
      <c r="J7" s="19" t="s">
        <v>9</v>
      </c>
      <c r="K7" s="20" t="s">
        <v>80</v>
      </c>
      <c r="L7" s="19" t="s">
        <v>99</v>
      </c>
      <c r="M7" s="19" t="s">
        <v>10</v>
      </c>
      <c r="N7" s="21" t="s">
        <v>81</v>
      </c>
      <c r="O7" s="19" t="s">
        <v>11</v>
      </c>
      <c r="P7" s="18" t="s">
        <v>12</v>
      </c>
    </row>
    <row r="8" spans="1:16" hidden="1" x14ac:dyDescent="0.25">
      <c r="A8" s="22"/>
      <c r="B8" s="23" t="str">
        <f>IF(AND(ISBLANK(G8)=FALSE,ISBLANK(J8)=FALSE,ISBLANK(M8)=FALSE),"Traité",IF(AND(ISBLANK(G8)=FALSE,ISBLANK(J8)=FALSE,ISBLANK(M8)=TRUE),"Reçu",IF(AND(ISBLANK(G8)=FALSE,ISBLANK(J8)=TRUE,ISBLANK(M8)=TRUE),"Expédié",IF(AND(ISBLANK(G8)=TRUE,ISBLANK(J8)=TRUE,ISBLANK(M8)=TRUE),"A expédier"))))</f>
        <v>A expédier</v>
      </c>
      <c r="C8" s="22"/>
      <c r="D8" s="24" t="str">
        <f>IF($C8="","",VLOOKUP($C8,'Liste déchets'!$D$6:$F$21,2,FALSE))</f>
        <v/>
      </c>
      <c r="E8" s="24" t="str">
        <f>IF($C8="","",VLOOKUP($C8,'Liste déchets'!$D$6:$F$21,3,FALSE))</f>
        <v/>
      </c>
      <c r="F8" s="25"/>
      <c r="G8" s="26"/>
      <c r="H8" s="22"/>
      <c r="I8" s="22"/>
      <c r="J8" s="26"/>
      <c r="K8" s="27" t="str">
        <f>IF(G8="","",IF(J8="",$A$2-G8,J8-G8))</f>
        <v/>
      </c>
      <c r="L8" s="28"/>
      <c r="M8" s="26"/>
      <c r="N8" s="29" t="str">
        <f>IF(G8="","",IF(M8="",$A$2-G8,M8-G8))</f>
        <v/>
      </c>
      <c r="O8" s="22"/>
      <c r="P8" s="30" t="e">
        <f>VLOOKUP(O8,'Liste déchets'!$A$6:$B$32,2,FALSE)</f>
        <v>#N/A</v>
      </c>
    </row>
    <row r="9" spans="1:16" x14ac:dyDescent="0.25">
      <c r="A9" s="22"/>
      <c r="B9" s="23" t="str">
        <f>IF(AND(ISBLANK(G9)=FALSE,ISBLANK(J9)=FALSE,ISBLANK(M9)=FALSE),"Traité",IF(AND(ISBLANK(G9)=FALSE,ISBLANK(J9)=FALSE,ISBLANK(M9)=TRUE),"Reçu",IF(AND(ISBLANK(G9)=FALSE,ISBLANK(J9)=TRUE,ISBLANK(M9)=TRUE),"Expédié",IF(AND(ISBLANK(G9)=TRUE,ISBLANK(J9)=TRUE,ISBLANK(M9)=TRUE),"A expédier"))))</f>
        <v>A expédier</v>
      </c>
      <c r="C9" s="22"/>
      <c r="D9" s="24" t="str">
        <f>IF($C9="","",VLOOKUP($C9,'Liste déchets'!$D$6:$F$21,2,FALSE))</f>
        <v/>
      </c>
      <c r="E9" s="24" t="str">
        <f>IF($C9="","",VLOOKUP($C9,'Liste déchets'!$D$6:$F$21,3,FALSE))</f>
        <v/>
      </c>
      <c r="F9" s="25"/>
      <c r="G9" s="26"/>
      <c r="H9" s="22"/>
      <c r="I9" s="22"/>
      <c r="J9" s="26"/>
      <c r="K9" s="27" t="str">
        <f>IF(G9="","",IF(J9="",$A$2-G9,J9-G9))</f>
        <v/>
      </c>
      <c r="L9" s="28"/>
      <c r="M9" s="26"/>
      <c r="N9" s="29" t="str">
        <f>IF(G9="","",IF(M9="",$A$2-G9,M9-G9))</f>
        <v/>
      </c>
      <c r="O9" s="22"/>
      <c r="P9" s="30" t="e">
        <f>VLOOKUP(O9,'Liste déchets'!$A$6:$B$32,2,FALSE)</f>
        <v>#N/A</v>
      </c>
    </row>
    <row r="10" spans="1:16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1:16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1:16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7" spans="1:16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</row>
    <row r="18" spans="1:1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</row>
    <row r="19" spans="1:1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</row>
    <row r="20" spans="1:16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</row>
    <row r="21" spans="1:16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</row>
    <row r="22" spans="1:16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</row>
    <row r="23" spans="1:16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1:16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1:16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</row>
    <row r="26" spans="1:16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1:16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</row>
    <row r="28" spans="1:16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29" spans="1:16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</row>
    <row r="30" spans="1:16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</row>
    <row r="31" spans="1:16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</row>
    <row r="32" spans="1:16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</row>
    <row r="33" spans="1:16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</row>
    <row r="34" spans="1:16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</row>
    <row r="35" spans="1:16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</row>
    <row r="36" spans="1:16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</row>
    <row r="37" spans="1:16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</row>
    <row r="38" spans="1:16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</row>
    <row r="39" spans="1:16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</row>
    <row r="40" spans="1:16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</row>
    <row r="41" spans="1:16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</row>
    <row r="42" spans="1:16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</row>
    <row r="43" spans="1:16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</row>
    <row r="44" spans="1:16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</row>
    <row r="45" spans="1:16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</row>
    <row r="46" spans="1:16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</row>
    <row r="47" spans="1:16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</row>
    <row r="48" spans="1:16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</row>
    <row r="49" spans="1:16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</row>
    <row r="50" spans="1:16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</row>
    <row r="51" spans="1:16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</row>
    <row r="52" spans="1:16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</row>
    <row r="53" spans="1:16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</row>
    <row r="54" spans="1:16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</row>
    <row r="55" spans="1:16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</row>
    <row r="56" spans="1:16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7" spans="1:16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</row>
    <row r="58" spans="1:16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</row>
    <row r="59" spans="1:16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</row>
    <row r="60" spans="1:16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</row>
    <row r="61" spans="1:16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</row>
    <row r="62" spans="1:16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</row>
    <row r="63" spans="1:16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</row>
    <row r="64" spans="1:16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</row>
    <row r="65" spans="1:16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</row>
    <row r="66" spans="1:16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</row>
    <row r="67" spans="1:16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</row>
    <row r="68" spans="1:16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</row>
    <row r="69" spans="1:16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</row>
    <row r="70" spans="1:16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</row>
    <row r="71" spans="1:16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</row>
    <row r="72" spans="1:16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</row>
    <row r="73" spans="1:16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</row>
    <row r="74" spans="1:16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</row>
    <row r="75" spans="1:16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</row>
    <row r="76" spans="1:16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</row>
    <row r="80" spans="1:16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</row>
    <row r="81" spans="1:16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</row>
    <row r="82" spans="1:16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</row>
    <row r="83" spans="1:16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</row>
    <row r="84" spans="1:16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</row>
    <row r="85" spans="1:16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</row>
    <row r="86" spans="1:16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</row>
    <row r="87" spans="1:16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</row>
    <row r="88" spans="1:16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</row>
    <row r="89" spans="1:16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</row>
    <row r="90" spans="1:16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</row>
    <row r="91" spans="1:16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</row>
    <row r="92" spans="1:16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</row>
    <row r="93" spans="1:16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</row>
    <row r="94" spans="1:16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</row>
    <row r="95" spans="1:16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</row>
    <row r="96" spans="1:16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</row>
    <row r="97" spans="1:16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</row>
    <row r="98" spans="1:16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</row>
    <row r="99" spans="1:16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</row>
    <row r="100" spans="1:16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</row>
    <row r="101" spans="1:16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</row>
    <row r="102" spans="1:16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</row>
    <row r="103" spans="1:16" x14ac:dyDescent="0.2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</row>
    <row r="104" spans="1:16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</row>
    <row r="105" spans="1:16" x14ac:dyDescent="0.2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</row>
    <row r="106" spans="1:16" x14ac:dyDescent="0.2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</row>
    <row r="107" spans="1:16" x14ac:dyDescent="0.2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</row>
    <row r="108" spans="1:16" x14ac:dyDescent="0.2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</row>
    <row r="109" spans="1:16" x14ac:dyDescent="0.2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</row>
    <row r="110" spans="1:16" x14ac:dyDescent="0.2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</row>
    <row r="111" spans="1:16" x14ac:dyDescent="0.2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</row>
    <row r="112" spans="1:16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</row>
    <row r="113" spans="1:16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</row>
    <row r="114" spans="1:16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</row>
    <row r="115" spans="1:16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</row>
    <row r="116" spans="1:16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</row>
    <row r="117" spans="1:16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</row>
    <row r="118" spans="1:16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</row>
    <row r="119" spans="1:16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</row>
    <row r="120" spans="1:16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</row>
    <row r="121" spans="1:16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</row>
    <row r="122" spans="1:16" x14ac:dyDescent="0.2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</row>
    <row r="123" spans="1:16" x14ac:dyDescent="0.2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</row>
    <row r="124" spans="1:16" x14ac:dyDescent="0.2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</row>
    <row r="125" spans="1:16" x14ac:dyDescent="0.2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</row>
    <row r="126" spans="1:16" x14ac:dyDescent="0.2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</row>
    <row r="127" spans="1:16" x14ac:dyDescent="0.2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</row>
    <row r="128" spans="1:16" x14ac:dyDescent="0.2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</row>
    <row r="129" spans="1:16" x14ac:dyDescent="0.2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</row>
    <row r="130" spans="1:16" x14ac:dyDescent="0.2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</row>
    <row r="131" spans="1:16" x14ac:dyDescent="0.2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</row>
    <row r="132" spans="1:16" x14ac:dyDescent="0.2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</row>
    <row r="133" spans="1:16" x14ac:dyDescent="0.2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</row>
    <row r="134" spans="1:16" x14ac:dyDescent="0.2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</row>
    <row r="135" spans="1:16" x14ac:dyDescent="0.2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</row>
    <row r="136" spans="1:16" x14ac:dyDescent="0.2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</row>
    <row r="137" spans="1:16" x14ac:dyDescent="0.2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</row>
    <row r="138" spans="1:16" x14ac:dyDescent="0.2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</row>
    <row r="139" spans="1:16" x14ac:dyDescent="0.2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</row>
    <row r="140" spans="1:16" x14ac:dyDescent="0.2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</row>
    <row r="141" spans="1:16" x14ac:dyDescent="0.2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</row>
    <row r="142" spans="1:16" x14ac:dyDescent="0.2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</row>
    <row r="143" spans="1:16" x14ac:dyDescent="0.2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</row>
    <row r="144" spans="1:16" x14ac:dyDescent="0.2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</row>
    <row r="145" spans="1:16" x14ac:dyDescent="0.2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</row>
    <row r="146" spans="1:16" x14ac:dyDescent="0.2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</row>
    <row r="147" spans="1:16" x14ac:dyDescent="0.2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</row>
    <row r="148" spans="1:16" x14ac:dyDescent="0.2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</row>
    <row r="149" spans="1:16" x14ac:dyDescent="0.2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</row>
    <row r="150" spans="1:16" x14ac:dyDescent="0.2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</row>
    <row r="151" spans="1:16" x14ac:dyDescent="0.2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</row>
    <row r="152" spans="1:16" x14ac:dyDescent="0.2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</row>
    <row r="153" spans="1:16" x14ac:dyDescent="0.2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</row>
    <row r="154" spans="1:16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</row>
    <row r="155" spans="1:16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</row>
    <row r="156" spans="1:16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</row>
  </sheetData>
  <sheetProtection sheet="1" objects="1" scenarios="1" insertRows="0" deleteRows="0" selectLockedCells="1" sort="0" autoFilter="0"/>
  <autoFilter ref="A7:P7" xr:uid="{00000000-0009-0000-0000-000000000000}"/>
  <mergeCells count="3">
    <mergeCell ref="A6:G6"/>
    <mergeCell ref="I6:P6"/>
    <mergeCell ref="A5:C5"/>
  </mergeCells>
  <conditionalFormatting sqref="K8:K9">
    <cfRule type="cellIs" dxfId="4" priority="234" operator="greaterThan">
      <formula>30</formula>
    </cfRule>
  </conditionalFormatting>
  <conditionalFormatting sqref="B8:B9">
    <cfRule type="cellIs" dxfId="3" priority="207" operator="equal">
      <formula>"A expédier"</formula>
    </cfRule>
    <cfRule type="cellIs" dxfId="2" priority="208" operator="equal">
      <formula>"Expédié"</formula>
    </cfRule>
    <cfRule type="cellIs" dxfId="1" priority="209" operator="equal">
      <formula>"Reçu"</formula>
    </cfRule>
    <cfRule type="cellIs" dxfId="0" priority="210" operator="equal">
      <formula>"Traité"</formula>
    </cfRule>
  </conditionalFormatting>
  <dataValidations count="3">
    <dataValidation allowBlank="1" showInputMessage="1" showErrorMessage="1" promptTitle="Principe de numérotation" prompt="-4 premières lettres de l'agence_x000a_-2 derniers chiffres de l'année_x000a_-Tiret de séparation entre année et n° d'ordre_x000a_-3 chiffres pour le n° d'ordre_x000a__x000a_Exemple pour le 3ème BSD de l'année 2015 à Toulouse:_x000a_TOUL15-000" sqref="A8:A9" xr:uid="{00000000-0002-0000-0000-000000000000}"/>
    <dataValidation type="decimal" operator="greaterThan" allowBlank="1" showInputMessage="1" showErrorMessage="1" errorTitle="Erreur de saisie" error="Veuillez saisir une quantité en tonnes" promptTitle="Règlementation ADR" prompt="Si la quantité expédiée est &gt;1000kg, consulter le book déchets pour application des mesures relatives au transport des matières dangereuses" sqref="F8:F9" xr:uid="{00000000-0002-0000-0000-000001000000}">
      <formula1>0</formula1>
    </dataValidation>
    <dataValidation type="date" operator="greaterThan" allowBlank="1" showInputMessage="1" showErrorMessage="1" sqref="G8:G9 M8:M9 J8:J9" xr:uid="{00000000-0002-0000-0000-000002000000}">
      <formula1>41640</formula1>
    </dataValidation>
  </dataValidations>
  <hyperlinks>
    <hyperlink ref="C2" r:id="rId1" xr:uid="{4E5633D8-0D95-429B-A4DC-0211496778AC}"/>
  </hyperlinks>
  <pageMargins left="0.7" right="0.7" top="0.75" bottom="0.75" header="0.3" footer="0.3"/>
  <pageSetup paperSize="8" orientation="landscape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EC9E9B-A917-4F95-9242-D1487E079D41}">
          <x14:formula1>
            <xm:f>'Liste déchets'!$D$6:$D$35</xm:f>
          </x14:formula1>
          <xm:sqref>C8:C9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C7"/>
  <sheetViews>
    <sheetView workbookViewId="0">
      <pane ySplit="2" topLeftCell="A3" activePane="bottomLeft" state="frozen"/>
      <selection pane="bottomLeft" activeCell="C9" sqref="C9"/>
    </sheetView>
  </sheetViews>
  <sheetFormatPr baseColWidth="10" defaultRowHeight="15" x14ac:dyDescent="0.25"/>
  <cols>
    <col min="1" max="1" width="34.5" style="5" bestFit="1" customWidth="1"/>
    <col min="2" max="2" width="11" style="5"/>
    <col min="3" max="3" width="27.375" style="5" bestFit="1" customWidth="1"/>
    <col min="4" max="16384" width="11" style="5"/>
  </cols>
  <sheetData>
    <row r="1" spans="1:3" ht="30" customHeight="1" x14ac:dyDescent="0.25"/>
    <row r="2" spans="1:3" x14ac:dyDescent="0.25">
      <c r="A2" s="32" t="s">
        <v>6</v>
      </c>
      <c r="C2" s="32" t="s">
        <v>8</v>
      </c>
    </row>
    <row r="3" spans="1:3" x14ac:dyDescent="0.25">
      <c r="A3" s="5" t="s">
        <v>49</v>
      </c>
      <c r="B3" s="33"/>
      <c r="C3" s="34" t="s">
        <v>82</v>
      </c>
    </row>
    <row r="4" spans="1:3" x14ac:dyDescent="0.25">
      <c r="A4" s="5" t="s">
        <v>50</v>
      </c>
      <c r="C4" s="39" t="s">
        <v>146</v>
      </c>
    </row>
    <row r="5" spans="1:3" x14ac:dyDescent="0.25">
      <c r="A5" s="11" t="s">
        <v>96</v>
      </c>
      <c r="C5" s="52" t="s">
        <v>148</v>
      </c>
    </row>
    <row r="6" spans="1:3" x14ac:dyDescent="0.25">
      <c r="A6" s="5" t="s">
        <v>51</v>
      </c>
      <c r="C6" s="52" t="s">
        <v>96</v>
      </c>
    </row>
    <row r="7" spans="1:3" x14ac:dyDescent="0.25">
      <c r="C7" s="39" t="s">
        <v>147</v>
      </c>
    </row>
  </sheetData>
  <sortState xmlns:xlrd2="http://schemas.microsoft.com/office/spreadsheetml/2017/richdata2" ref="C4:C6">
    <sortCondition ref="C3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I36"/>
  <sheetViews>
    <sheetView workbookViewId="0">
      <pane ySplit="5" topLeftCell="A22" activePane="bottomLeft" state="frozen"/>
      <selection pane="bottomLeft" activeCell="D11" sqref="D11:F12"/>
    </sheetView>
  </sheetViews>
  <sheetFormatPr baseColWidth="10" defaultRowHeight="14.25" x14ac:dyDescent="0.2"/>
  <cols>
    <col min="1" max="1" width="10" bestFit="1" customWidth="1"/>
    <col min="2" max="2" width="54.875" bestFit="1" customWidth="1"/>
    <col min="3" max="3" width="14.75" customWidth="1"/>
    <col min="4" max="4" width="65.25" bestFit="1" customWidth="1"/>
    <col min="5" max="5" width="18.375" style="47" bestFit="1" customWidth="1"/>
    <col min="6" max="6" width="18.375" style="47" customWidth="1"/>
  </cols>
  <sheetData>
    <row r="1" spans="1:9" ht="43.5" customHeight="1" x14ac:dyDescent="0.2"/>
    <row r="2" spans="1:9" ht="30" customHeight="1" x14ac:dyDescent="0.25">
      <c r="A2" s="5"/>
      <c r="B2" s="5"/>
      <c r="C2" s="5"/>
      <c r="D2" s="35" t="s">
        <v>42</v>
      </c>
      <c r="E2" s="48" t="s">
        <v>3</v>
      </c>
      <c r="F2" s="48" t="s">
        <v>86</v>
      </c>
    </row>
    <row r="3" spans="1:9" ht="30" customHeight="1" x14ac:dyDescent="0.25">
      <c r="A3" s="5"/>
      <c r="B3" s="5"/>
      <c r="C3" s="5" t="s">
        <v>90</v>
      </c>
      <c r="D3" s="36"/>
      <c r="E3" s="49"/>
      <c r="F3" s="49"/>
    </row>
    <row r="4" spans="1:9" ht="30" customHeight="1" x14ac:dyDescent="0.25">
      <c r="A4" s="5"/>
      <c r="B4" s="5"/>
      <c r="C4" s="5"/>
      <c r="D4" s="37" t="s">
        <v>91</v>
      </c>
      <c r="E4" s="44"/>
      <c r="F4" s="44"/>
    </row>
    <row r="5" spans="1:9" ht="15" x14ac:dyDescent="0.25">
      <c r="A5" s="32" t="s">
        <v>14</v>
      </c>
      <c r="B5" s="32" t="s">
        <v>52</v>
      </c>
      <c r="C5" s="32"/>
      <c r="D5" s="32" t="s">
        <v>42</v>
      </c>
      <c r="E5" s="50" t="s">
        <v>3</v>
      </c>
      <c r="F5" s="50" t="s">
        <v>86</v>
      </c>
    </row>
    <row r="6" spans="1:9" ht="15" x14ac:dyDescent="0.25">
      <c r="A6" s="5" t="s">
        <v>53</v>
      </c>
      <c r="B6" s="10" t="s">
        <v>15</v>
      </c>
      <c r="C6" s="5"/>
      <c r="D6" s="42" t="s">
        <v>131</v>
      </c>
      <c r="E6" s="44" t="s">
        <v>47</v>
      </c>
      <c r="F6" s="46" t="s">
        <v>132</v>
      </c>
    </row>
    <row r="7" spans="1:9" ht="30" x14ac:dyDescent="0.25">
      <c r="A7" s="5" t="s">
        <v>54</v>
      </c>
      <c r="B7" s="10" t="s">
        <v>16</v>
      </c>
      <c r="C7" s="5"/>
      <c r="D7" s="42" t="s">
        <v>141</v>
      </c>
      <c r="E7" s="44" t="s">
        <v>46</v>
      </c>
      <c r="F7" s="46" t="s">
        <v>132</v>
      </c>
    </row>
    <row r="8" spans="1:9" ht="45" x14ac:dyDescent="0.25">
      <c r="A8" s="5" t="s">
        <v>55</v>
      </c>
      <c r="B8" s="10" t="s">
        <v>17</v>
      </c>
      <c r="C8" s="5"/>
      <c r="D8" s="43" t="s">
        <v>48</v>
      </c>
      <c r="E8" s="44" t="s">
        <v>43</v>
      </c>
      <c r="F8" s="46" t="s">
        <v>132</v>
      </c>
    </row>
    <row r="9" spans="1:9" ht="30" x14ac:dyDescent="0.25">
      <c r="A9" s="5" t="s">
        <v>56</v>
      </c>
      <c r="B9" s="10" t="s">
        <v>18</v>
      </c>
      <c r="C9" s="5"/>
      <c r="D9" s="42" t="s">
        <v>135</v>
      </c>
      <c r="E9" s="46" t="s">
        <v>133</v>
      </c>
      <c r="F9" s="46" t="s">
        <v>132</v>
      </c>
    </row>
    <row r="10" spans="1:9" ht="45" x14ac:dyDescent="0.25">
      <c r="A10" s="5" t="s">
        <v>57</v>
      </c>
      <c r="B10" s="10" t="s">
        <v>19</v>
      </c>
      <c r="C10" s="5"/>
      <c r="D10" s="42" t="s">
        <v>143</v>
      </c>
      <c r="E10" s="46" t="s">
        <v>43</v>
      </c>
      <c r="F10" s="46" t="s">
        <v>132</v>
      </c>
    </row>
    <row r="11" spans="1:9" ht="60" x14ac:dyDescent="0.25">
      <c r="A11" s="5" t="s">
        <v>58</v>
      </c>
      <c r="B11" s="10" t="s">
        <v>20</v>
      </c>
      <c r="C11" s="5"/>
      <c r="D11" s="45" t="s">
        <v>134</v>
      </c>
      <c r="E11" s="46" t="s">
        <v>133</v>
      </c>
      <c r="F11" s="46" t="s">
        <v>132</v>
      </c>
      <c r="I11" s="40"/>
    </row>
    <row r="12" spans="1:9" ht="15" x14ac:dyDescent="0.25">
      <c r="A12" s="5" t="s">
        <v>59</v>
      </c>
      <c r="B12" s="10" t="s">
        <v>21</v>
      </c>
      <c r="C12" s="5"/>
      <c r="D12" s="45" t="s">
        <v>127</v>
      </c>
      <c r="E12" s="46" t="s">
        <v>46</v>
      </c>
      <c r="F12" s="46" t="s">
        <v>132</v>
      </c>
    </row>
    <row r="13" spans="1:9" ht="45" x14ac:dyDescent="0.25">
      <c r="A13" s="5" t="s">
        <v>60</v>
      </c>
      <c r="B13" s="10" t="s">
        <v>22</v>
      </c>
      <c r="C13" s="5"/>
      <c r="D13" s="45" t="s">
        <v>128</v>
      </c>
      <c r="E13" s="46" t="s">
        <v>123</v>
      </c>
      <c r="F13" s="46" t="s">
        <v>132</v>
      </c>
    </row>
    <row r="14" spans="1:9" ht="60" x14ac:dyDescent="0.25">
      <c r="A14" s="5" t="s">
        <v>61</v>
      </c>
      <c r="B14" s="10" t="s">
        <v>23</v>
      </c>
      <c r="C14" s="5"/>
      <c r="D14" s="45" t="s">
        <v>129</v>
      </c>
      <c r="E14" s="46" t="s">
        <v>145</v>
      </c>
      <c r="F14" s="46" t="s">
        <v>132</v>
      </c>
    </row>
    <row r="15" spans="1:9" ht="15" x14ac:dyDescent="0.25">
      <c r="A15" s="5" t="s">
        <v>62</v>
      </c>
      <c r="B15" s="10" t="s">
        <v>24</v>
      </c>
      <c r="C15" s="5"/>
      <c r="D15" s="45" t="s">
        <v>130</v>
      </c>
      <c r="E15" s="46" t="s">
        <v>144</v>
      </c>
      <c r="F15" s="46" t="s">
        <v>132</v>
      </c>
    </row>
    <row r="16" spans="1:9" ht="30" x14ac:dyDescent="0.25">
      <c r="A16" s="5" t="s">
        <v>63</v>
      </c>
      <c r="B16" s="10" t="s">
        <v>25</v>
      </c>
      <c r="C16" s="5"/>
      <c r="D16" s="43" t="s">
        <v>125</v>
      </c>
      <c r="E16" s="46" t="s">
        <v>140</v>
      </c>
      <c r="F16" s="46" t="s">
        <v>132</v>
      </c>
    </row>
    <row r="17" spans="1:9" ht="30" x14ac:dyDescent="0.25">
      <c r="A17" s="5" t="s">
        <v>64</v>
      </c>
      <c r="B17" s="10" t="s">
        <v>26</v>
      </c>
      <c r="C17" s="5"/>
      <c r="D17" s="43" t="s">
        <v>126</v>
      </c>
      <c r="E17" s="46" t="s">
        <v>46</v>
      </c>
      <c r="F17" s="46" t="s">
        <v>132</v>
      </c>
    </row>
    <row r="18" spans="1:9" ht="30" x14ac:dyDescent="0.25">
      <c r="A18" s="5" t="s">
        <v>65</v>
      </c>
      <c r="B18" s="10" t="s">
        <v>27</v>
      </c>
      <c r="C18" s="5"/>
      <c r="D18" s="51" t="s">
        <v>138</v>
      </c>
      <c r="E18" s="46" t="s">
        <v>139</v>
      </c>
      <c r="F18" s="46" t="s">
        <v>132</v>
      </c>
    </row>
    <row r="19" spans="1:9" ht="45" x14ac:dyDescent="0.25">
      <c r="A19" s="5" t="s">
        <v>66</v>
      </c>
      <c r="B19" s="10" t="s">
        <v>28</v>
      </c>
      <c r="C19" s="5"/>
      <c r="D19" s="42" t="s">
        <v>136</v>
      </c>
      <c r="E19" s="46" t="s">
        <v>137</v>
      </c>
      <c r="F19" s="46" t="s">
        <v>132</v>
      </c>
    </row>
    <row r="20" spans="1:9" ht="30" x14ac:dyDescent="0.25">
      <c r="A20" s="5" t="s">
        <v>67</v>
      </c>
      <c r="B20" s="10" t="s">
        <v>29</v>
      </c>
      <c r="C20" s="5"/>
      <c r="D20" s="43" t="s">
        <v>44</v>
      </c>
      <c r="E20" s="44" t="s">
        <v>45</v>
      </c>
      <c r="F20" s="46" t="s">
        <v>132</v>
      </c>
    </row>
    <row r="21" spans="1:9" ht="15" x14ac:dyDescent="0.25">
      <c r="A21" s="5" t="s">
        <v>68</v>
      </c>
      <c r="B21" s="10" t="s">
        <v>30</v>
      </c>
      <c r="C21" s="5"/>
      <c r="D21" s="42" t="s">
        <v>142</v>
      </c>
      <c r="E21" s="44" t="s">
        <v>43</v>
      </c>
      <c r="F21" s="46" t="s">
        <v>132</v>
      </c>
    </row>
    <row r="22" spans="1:9" ht="45" x14ac:dyDescent="0.25">
      <c r="A22" s="5" t="s">
        <v>69</v>
      </c>
      <c r="B22" s="10" t="s">
        <v>31</v>
      </c>
      <c r="C22" s="5"/>
      <c r="D22" s="43" t="s">
        <v>102</v>
      </c>
      <c r="E22" s="44" t="s">
        <v>115</v>
      </c>
      <c r="F22" s="46" t="s">
        <v>124</v>
      </c>
    </row>
    <row r="23" spans="1:9" ht="15" x14ac:dyDescent="0.25">
      <c r="A23" s="5" t="s">
        <v>70</v>
      </c>
      <c r="B23" s="10" t="s">
        <v>32</v>
      </c>
      <c r="C23" s="5"/>
      <c r="D23" s="43" t="s">
        <v>114</v>
      </c>
      <c r="E23" s="44" t="s">
        <v>92</v>
      </c>
      <c r="F23" s="46" t="s">
        <v>124</v>
      </c>
    </row>
    <row r="24" spans="1:9" ht="15" x14ac:dyDescent="0.25">
      <c r="A24" s="5" t="s">
        <v>71</v>
      </c>
      <c r="B24" s="10" t="s">
        <v>33</v>
      </c>
      <c r="C24" s="5"/>
      <c r="D24" s="43" t="s">
        <v>109</v>
      </c>
      <c r="E24" s="44" t="s">
        <v>116</v>
      </c>
      <c r="F24" s="46" t="s">
        <v>124</v>
      </c>
    </row>
    <row r="25" spans="1:9" ht="15" x14ac:dyDescent="0.25">
      <c r="A25" s="5" t="s">
        <v>72</v>
      </c>
      <c r="B25" s="10" t="s">
        <v>34</v>
      </c>
      <c r="C25" s="5"/>
      <c r="D25" s="43" t="s">
        <v>108</v>
      </c>
      <c r="E25" s="44" t="s">
        <v>116</v>
      </c>
      <c r="F25" s="46" t="s">
        <v>124</v>
      </c>
      <c r="I25" s="40"/>
    </row>
    <row r="26" spans="1:9" ht="15" x14ac:dyDescent="0.25">
      <c r="A26" s="5" t="s">
        <v>73</v>
      </c>
      <c r="B26" s="10" t="s">
        <v>35</v>
      </c>
      <c r="C26" s="5"/>
      <c r="D26" s="43" t="s">
        <v>103</v>
      </c>
      <c r="E26" s="44" t="s">
        <v>117</v>
      </c>
      <c r="F26" s="46" t="s">
        <v>124</v>
      </c>
    </row>
    <row r="27" spans="1:9" ht="15" x14ac:dyDescent="0.25">
      <c r="A27" s="5" t="s">
        <v>74</v>
      </c>
      <c r="B27" s="10" t="s">
        <v>36</v>
      </c>
      <c r="C27" s="5"/>
      <c r="D27" s="43" t="s">
        <v>111</v>
      </c>
      <c r="E27" s="44" t="s">
        <v>118</v>
      </c>
      <c r="F27" s="46" t="s">
        <v>124</v>
      </c>
    </row>
    <row r="28" spans="1:9" ht="15" x14ac:dyDescent="0.25">
      <c r="A28" s="5" t="s">
        <v>75</v>
      </c>
      <c r="B28" s="10" t="s">
        <v>37</v>
      </c>
      <c r="C28" s="5"/>
      <c r="D28" s="43" t="s">
        <v>110</v>
      </c>
      <c r="E28" s="44" t="s">
        <v>119</v>
      </c>
      <c r="F28" s="46" t="s">
        <v>124</v>
      </c>
    </row>
    <row r="29" spans="1:9" ht="15" x14ac:dyDescent="0.25">
      <c r="A29" s="5" t="s">
        <v>76</v>
      </c>
      <c r="B29" s="10" t="s">
        <v>38</v>
      </c>
      <c r="C29" s="5"/>
      <c r="D29" s="43" t="s">
        <v>93</v>
      </c>
      <c r="E29" s="44" t="s">
        <v>94</v>
      </c>
      <c r="F29" s="46" t="s">
        <v>124</v>
      </c>
    </row>
    <row r="30" spans="1:9" ht="30" x14ac:dyDescent="0.25">
      <c r="A30" s="5" t="s">
        <v>77</v>
      </c>
      <c r="B30" s="10" t="s">
        <v>39</v>
      </c>
      <c r="C30" s="5"/>
      <c r="D30" s="43" t="s">
        <v>104</v>
      </c>
      <c r="E30" s="44" t="s">
        <v>95</v>
      </c>
      <c r="F30" s="46" t="s">
        <v>124</v>
      </c>
    </row>
    <row r="31" spans="1:9" ht="30" x14ac:dyDescent="0.25">
      <c r="A31" s="5" t="s">
        <v>78</v>
      </c>
      <c r="B31" s="10" t="s">
        <v>40</v>
      </c>
      <c r="C31" s="5"/>
      <c r="D31" s="43" t="s">
        <v>105</v>
      </c>
      <c r="E31" s="44" t="s">
        <v>120</v>
      </c>
      <c r="F31" s="46" t="s">
        <v>124</v>
      </c>
    </row>
    <row r="32" spans="1:9" ht="45" x14ac:dyDescent="0.25">
      <c r="A32" s="5" t="s">
        <v>79</v>
      </c>
      <c r="B32" s="10" t="s">
        <v>41</v>
      </c>
      <c r="C32" s="5"/>
      <c r="D32" s="43" t="s">
        <v>112</v>
      </c>
      <c r="E32" s="44" t="s">
        <v>121</v>
      </c>
      <c r="F32" s="46" t="s">
        <v>124</v>
      </c>
    </row>
    <row r="33" spans="4:6" ht="15" x14ac:dyDescent="0.2">
      <c r="D33" s="43" t="s">
        <v>106</v>
      </c>
      <c r="E33" s="44" t="s">
        <v>122</v>
      </c>
      <c r="F33" s="46" t="s">
        <v>124</v>
      </c>
    </row>
    <row r="34" spans="4:6" ht="15" x14ac:dyDescent="0.2">
      <c r="D34" s="43" t="s">
        <v>113</v>
      </c>
      <c r="E34" s="44" t="s">
        <v>123</v>
      </c>
      <c r="F34" s="46" t="s">
        <v>124</v>
      </c>
    </row>
    <row r="35" spans="4:6" ht="15" x14ac:dyDescent="0.2">
      <c r="D35" s="43" t="s">
        <v>107</v>
      </c>
      <c r="E35" s="44" t="s">
        <v>118</v>
      </c>
      <c r="F35" s="46" t="s">
        <v>124</v>
      </c>
    </row>
    <row r="36" spans="4:6" ht="13.5" customHeight="1" x14ac:dyDescent="0.2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B4"/>
  <sheetViews>
    <sheetView workbookViewId="0">
      <selection activeCell="B39" sqref="B39"/>
    </sheetView>
  </sheetViews>
  <sheetFormatPr baseColWidth="10" defaultRowHeight="14.25" x14ac:dyDescent="0.2"/>
  <cols>
    <col min="1" max="1" width="20.75" customWidth="1"/>
    <col min="2" max="2" width="34.875" bestFit="1" customWidth="1"/>
  </cols>
  <sheetData>
    <row r="1" spans="1:2" x14ac:dyDescent="0.2">
      <c r="A1" s="2" t="s">
        <v>84</v>
      </c>
      <c r="B1" t="s">
        <v>83</v>
      </c>
    </row>
    <row r="2" spans="1:2" x14ac:dyDescent="0.2">
      <c r="A2" s="3" t="s">
        <v>100</v>
      </c>
      <c r="B2" s="1"/>
    </row>
    <row r="3" spans="1:2" x14ac:dyDescent="0.2">
      <c r="A3" s="4" t="s">
        <v>101</v>
      </c>
      <c r="B3" s="1"/>
    </row>
    <row r="4" spans="1:2" x14ac:dyDescent="0.2">
      <c r="A4" s="3" t="s">
        <v>85</v>
      </c>
      <c r="B4" s="1"/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f01652b-2804-432b-a929-7142549b4ccb">
      <Terms xmlns="http://schemas.microsoft.com/office/infopath/2007/PartnerControls"/>
    </lcf76f155ced4ddcb4097134ff3c332f>
    <TaxCatchAll xmlns="5ca74ee1-336a-4c0a-9b47-8403515742a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F5F79FD40890418D173EADE56663CE" ma:contentTypeVersion="8" ma:contentTypeDescription="Create a new document." ma:contentTypeScope="" ma:versionID="711174d3abfe96b9317f2ee34af78507">
  <xsd:schema xmlns:xsd="http://www.w3.org/2001/XMLSchema" xmlns:xs="http://www.w3.org/2001/XMLSchema" xmlns:p="http://schemas.microsoft.com/office/2006/metadata/properties" xmlns:ns2="81d48b0f-3fcf-46b2-af19-5818eea7af79" xmlns:ns3="cf01652b-2804-432b-a929-7142549b4ccb" xmlns:ns4="5ca74ee1-336a-4c0a-9b47-8403515742a9" targetNamespace="http://schemas.microsoft.com/office/2006/metadata/properties" ma:root="true" ma:fieldsID="4e3d2c3828194d655179f9158d4ec7da" ns2:_="" ns3:_="" ns4:_="">
    <xsd:import namespace="81d48b0f-3fcf-46b2-af19-5818eea7af79"/>
    <xsd:import namespace="cf01652b-2804-432b-a929-7142549b4ccb"/>
    <xsd:import namespace="5ca74ee1-336a-4c0a-9b47-8403515742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lcf76f155ced4ddcb4097134ff3c332f" minOccurs="0"/>
                <xsd:element ref="ns4:TaxCatchAll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48b0f-3fcf-46b2-af19-5818eea7af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01652b-2804-432b-a929-7142549b4cc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492c26d-c709-4b13-843e-cf74e54785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a74ee1-336a-4c0a-9b47-8403515742a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0ff34835-9d0d-4e3b-80b2-37de30d0244c}" ma:internalName="TaxCatchAll" ma:showField="CatchAllData" ma:web="5ca74ee1-336a-4c0a-9b47-8403515742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D6BB0C-6C6A-4BC1-87DF-5355DDC269B5}">
  <ds:schemaRefs>
    <ds:schemaRef ds:uri="http://schemas.microsoft.com/office/2006/metadata/properties"/>
    <ds:schemaRef ds:uri="http://schemas.microsoft.com/office/infopath/2007/PartnerControls"/>
    <ds:schemaRef ds:uri="cf01652b-2804-432b-a929-7142549b4ccb"/>
    <ds:schemaRef ds:uri="5ca74ee1-336a-4c0a-9b47-8403515742a9"/>
  </ds:schemaRefs>
</ds:datastoreItem>
</file>

<file path=customXml/itemProps2.xml><?xml version="1.0" encoding="utf-8"?>
<ds:datastoreItem xmlns:ds="http://schemas.openxmlformats.org/officeDocument/2006/customXml" ds:itemID="{39AC1114-6564-4E6F-BEE4-FC033FB8CB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48b0f-3fcf-46b2-af19-5818eea7af79"/>
    <ds:schemaRef ds:uri="cf01652b-2804-432b-a929-7142549b4ccb"/>
    <ds:schemaRef ds:uri="5ca74ee1-336a-4c0a-9b47-840351574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097A1D-F199-4210-9797-7CA942B101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Registre de suivi</vt:lpstr>
      <vt:lpstr>Listes Transporteurs - Install</vt:lpstr>
      <vt:lpstr>Liste déchets</vt:lpstr>
      <vt:lpstr>Analyse</vt:lpstr>
      <vt:lpstr>'Registre de suivi'!Zone_d_impression</vt:lpstr>
    </vt:vector>
  </TitlesOfParts>
  <Company>United Technologies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GALAND, Stephanie</cp:lastModifiedBy>
  <cp:lastPrinted>2015-04-16T13:09:07Z</cp:lastPrinted>
  <dcterms:created xsi:type="dcterms:W3CDTF">2015-03-02T14:51:28Z</dcterms:created>
  <dcterms:modified xsi:type="dcterms:W3CDTF">2023-08-28T08:44:15Z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2023-08-22T18:01:38Z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47995fc2-1f56-47ce-9137-a87caef4be74</vt:lpwstr>
  </property>
  <property fmtid="{D5CDD505-2E9C-101B-9397-08002B2CF9AE}" pid="7" name="MSIP_Label_defa4170-0d19-0005-0004-bc88714345d2_ActionId">
    <vt:lpwstr>d7666411-a746-4dc5-8a9c-02be27e2da69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0x01010027F5F79FD40890418D173EADE56663CE</vt:lpwstr>
  </property>
  <property fmtid="{D5CDD505-2E9C-101B-9397-08002B2CF9AE}" pid="10" name="MediaServiceImageTags">
    <vt:lpwstr/>
  </property>
</Properties>
</file>