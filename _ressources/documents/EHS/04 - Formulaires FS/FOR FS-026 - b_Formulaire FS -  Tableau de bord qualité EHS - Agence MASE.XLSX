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defaultThemeVersion="124226"/>
  <mc:AlternateContent xmlns:mc="http://schemas.openxmlformats.org/markup-compatibility/2006">
    <mc:Choice Requires="x15">
      <x15ac:absPath xmlns:x15ac="http://schemas.microsoft.com/office/spreadsheetml/2010/11/ac" url="C:\Users\benoit.marthoud\Desktop\"/>
    </mc:Choice>
  </mc:AlternateContent>
  <bookViews>
    <workbookView xWindow="14385" yWindow="390" windowWidth="6105" windowHeight="7380" tabRatio="849" firstSheet="1" activeTab="2"/>
  </bookViews>
  <sheets>
    <sheet name="Synthèses et indicateurs EHS" sheetId="24" r:id="rId1"/>
    <sheet name="Objectifs annuels" sheetId="25" r:id="rId2"/>
    <sheet name="Gestion EHS" sheetId="26" r:id="rId3"/>
    <sheet name="Suivi des actions Qualite-EHS" sheetId="2" r:id="rId4"/>
    <sheet name="Suivi des AT" sheetId="9" r:id="rId5"/>
    <sheet name="Suivi des Sinistres Auto" sheetId="15" r:id="rId6"/>
    <sheet name="Contrôles réglementaires" sheetId="14" r:id="rId7"/>
    <sheet name="Gestion nouveaux" sheetId="22" r:id="rId8"/>
    <sheet name="Gestion Sous-traitants" sheetId="6" r:id="rId9"/>
    <sheet name="Audit Eqpt Pression" sheetId="21" r:id="rId10"/>
    <sheet name="Indicateurs Qualité" sheetId="11" r:id="rId11"/>
    <sheet name="Calcul qualite (ne pas toucher)" sheetId="13" state="hidden" r:id="rId12"/>
    <sheet name="Données (ne pas toucher)" sheetId="3" r:id="rId13"/>
    <sheet name="Calcul base" sheetId="12" state="hidden" r:id="rId14"/>
    <sheet name="Feuil1" sheetId="19" r:id="rId15"/>
  </sheets>
  <externalReferences>
    <externalReference r:id="rId16"/>
  </externalReferences>
  <definedNames>
    <definedName name="_xlnm._FilterDatabase" localSheetId="9" hidden="1">'Audit Eqpt Pression'!$A$5:$J$5</definedName>
    <definedName name="_xlnm._FilterDatabase" localSheetId="6" hidden="1">'Contrôles réglementaires'!$A$3:$N$93</definedName>
    <definedName name="_xlnm._FilterDatabase" localSheetId="2" hidden="1">'Gestion EHS'!$A$8:$BL$100</definedName>
    <definedName name="_xlnm._FilterDatabase" localSheetId="7" hidden="1">'Gestion nouveaux'!$A$2:$N$2</definedName>
    <definedName name="_xlnm._FilterDatabase" localSheetId="8" hidden="1">'Gestion Sous-traitants'!#REF!</definedName>
    <definedName name="_xlnm._FilterDatabase" localSheetId="3" hidden="1">'Suivi des actions Qualite-EHS'!$B$6:$Y$6</definedName>
    <definedName name="_xlnm._FilterDatabase" localSheetId="4" hidden="1">'Suivi des AT'!$A$7:$J$7</definedName>
    <definedName name="_xlnm._FilterDatabase" localSheetId="5" hidden="1">'Suivi des Sinistres Auto'!$A$6:$P$6</definedName>
  </definedNames>
  <calcPr calcId="152511"/>
</workbook>
</file>

<file path=xl/calcChain.xml><?xml version="1.0" encoding="utf-8"?>
<calcChain xmlns="http://schemas.openxmlformats.org/spreadsheetml/2006/main">
  <c r="AD15" i="26" l="1"/>
  <c r="AD45" i="26"/>
  <c r="AD37" i="26"/>
  <c r="AD39" i="26"/>
  <c r="AD16" i="26" l="1"/>
  <c r="R7" i="2" l="1"/>
  <c r="S7" i="2" s="1"/>
  <c r="R8" i="2"/>
  <c r="S8" i="2" s="1"/>
  <c r="R9" i="2"/>
  <c r="S9" i="2" s="1"/>
  <c r="R10" i="2"/>
  <c r="S10" i="2" s="1"/>
  <c r="Q7" i="2"/>
  <c r="Q8" i="2"/>
  <c r="Q9" i="2"/>
  <c r="Q10" i="2"/>
  <c r="AD82" i="26" l="1"/>
  <c r="AD62" i="26"/>
  <c r="AT13" i="26" l="1"/>
  <c r="AD91" i="26" l="1"/>
  <c r="AD92" i="26"/>
  <c r="AD93" i="26"/>
  <c r="AD94" i="26"/>
  <c r="AD95" i="26"/>
  <c r="W95" i="26"/>
  <c r="AD90" i="26"/>
  <c r="AD84" i="26"/>
  <c r="AD85" i="26"/>
  <c r="AD86" i="26"/>
  <c r="AD87" i="26"/>
  <c r="AD83" i="26"/>
  <c r="AD56" i="26"/>
  <c r="AD58" i="26"/>
  <c r="AD63" i="26"/>
  <c r="B4" i="2" l="1"/>
  <c r="J31" i="24" s="1"/>
  <c r="S18" i="2"/>
  <c r="S22" i="2"/>
  <c r="S26" i="2"/>
  <c r="S30"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S33" i="2" s="1"/>
  <c r="R32" i="2"/>
  <c r="S32" i="2" s="1"/>
  <c r="R31" i="2"/>
  <c r="S31" i="2" s="1"/>
  <c r="R30" i="2"/>
  <c r="R29" i="2"/>
  <c r="S29" i="2" s="1"/>
  <c r="R28" i="2"/>
  <c r="S28" i="2" s="1"/>
  <c r="R27" i="2"/>
  <c r="S27" i="2" s="1"/>
  <c r="R26" i="2"/>
  <c r="R25" i="2"/>
  <c r="S25" i="2" s="1"/>
  <c r="R24" i="2"/>
  <c r="S24" i="2" s="1"/>
  <c r="R23" i="2"/>
  <c r="S23" i="2" s="1"/>
  <c r="R22" i="2"/>
  <c r="R21" i="2"/>
  <c r="S21" i="2" s="1"/>
  <c r="R20" i="2"/>
  <c r="S20" i="2" s="1"/>
  <c r="R19" i="2"/>
  <c r="S19" i="2" s="1"/>
  <c r="R18" i="2"/>
  <c r="R17" i="2"/>
  <c r="S17" i="2" s="1"/>
  <c r="R16" i="2"/>
  <c r="S16" i="2" s="1"/>
  <c r="R15" i="2"/>
  <c r="S15" i="2" s="1"/>
  <c r="R14" i="2"/>
  <c r="S14" i="2" s="1"/>
  <c r="R13" i="2"/>
  <c r="S13" i="2" s="1"/>
  <c r="R12" i="2"/>
  <c r="S12" i="2" s="1"/>
  <c r="R11" i="2"/>
  <c r="S11" i="2" s="1"/>
  <c r="AD100" i="26"/>
  <c r="W100" i="26"/>
  <c r="AD99" i="26"/>
  <c r="W99" i="26"/>
  <c r="AD98" i="26"/>
  <c r="W98" i="26"/>
  <c r="AD97" i="26"/>
  <c r="W97" i="26"/>
  <c r="AD96" i="26"/>
  <c r="W96" i="26"/>
  <c r="AD89" i="26"/>
  <c r="AD88" i="26"/>
  <c r="AD81" i="26"/>
  <c r="AD80" i="26"/>
  <c r="AD79" i="26"/>
  <c r="AD78" i="26"/>
  <c r="AD77" i="26"/>
  <c r="AD76" i="26"/>
  <c r="AD75" i="26"/>
  <c r="AD74" i="26"/>
  <c r="AD72" i="26"/>
  <c r="AD71" i="26"/>
  <c r="AD70" i="26"/>
  <c r="AD69" i="26"/>
  <c r="AD68" i="26"/>
  <c r="AD67" i="26"/>
  <c r="AD66" i="26"/>
  <c r="AD65" i="26"/>
  <c r="AD61" i="26"/>
  <c r="AD60" i="26"/>
  <c r="AD59" i="26"/>
  <c r="AD57" i="26"/>
  <c r="AD55" i="26"/>
  <c r="AD54" i="26"/>
  <c r="AD53" i="26"/>
  <c r="AD52" i="26"/>
  <c r="AD51" i="26"/>
  <c r="AD50" i="26"/>
  <c r="AD49" i="26"/>
  <c r="AD48" i="26"/>
  <c r="AD47" i="26"/>
  <c r="AD46" i="26"/>
  <c r="AD44" i="26"/>
  <c r="AD43" i="26"/>
  <c r="AD42" i="26"/>
  <c r="AD41" i="26"/>
  <c r="AD40" i="26"/>
  <c r="AD38" i="26"/>
  <c r="AD36" i="26"/>
  <c r="AD34" i="26"/>
  <c r="AD33" i="26"/>
  <c r="AD32" i="26"/>
  <c r="AD31" i="26"/>
  <c r="AD30" i="26"/>
  <c r="AD29" i="26"/>
  <c r="AD28" i="26"/>
  <c r="AD27" i="26"/>
  <c r="AD26" i="26"/>
  <c r="AD25" i="26"/>
  <c r="AD24" i="26"/>
  <c r="AD23" i="26"/>
  <c r="AD22" i="26"/>
  <c r="AD21" i="26"/>
  <c r="AD20" i="26"/>
  <c r="AD19" i="26"/>
  <c r="AD17" i="26"/>
  <c r="AD14" i="26"/>
  <c r="AW13" i="26"/>
  <c r="AV13" i="26"/>
  <c r="AU13" i="26"/>
  <c r="E7" i="26"/>
  <c r="BE7" i="26" s="1"/>
  <c r="B7" i="26"/>
  <c r="AW6" i="26"/>
  <c r="AW7" i="26" s="1"/>
  <c r="AR6" i="26"/>
  <c r="AQ7" i="26" s="1"/>
  <c r="AL6" i="26"/>
  <c r="AL7" i="26" s="1"/>
  <c r="AF6" i="26"/>
  <c r="Y6" i="26"/>
  <c r="O6" i="26"/>
  <c r="AL2" i="26" l="1"/>
  <c r="M23" i="24"/>
  <c r="D4" i="2"/>
  <c r="BG7" i="26"/>
  <c r="AC6" i="26"/>
  <c r="AF7" i="26" s="1"/>
  <c r="L6" i="26"/>
  <c r="O7" i="26" s="1"/>
  <c r="E23" i="24" s="1"/>
  <c r="V6" i="26"/>
  <c r="Y7" i="26" s="1"/>
  <c r="I23" i="24" s="1"/>
  <c r="C4" i="2"/>
  <c r="N31" i="24" s="1"/>
  <c r="BC7" i="26"/>
  <c r="BA7" i="26"/>
  <c r="AF2" i="26" l="1"/>
  <c r="Q23" i="24"/>
  <c r="X23" i="24"/>
  <c r="E2" i="25"/>
  <c r="B38" i="25"/>
  <c r="B29" i="25"/>
  <c r="B20" i="25"/>
  <c r="B11" i="25"/>
  <c r="I6" i="22" l="1"/>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5" i="22"/>
  <c r="C4" i="6" l="1"/>
  <c r="N4" i="2"/>
  <c r="G4" i="2"/>
  <c r="R30" i="24" s="1"/>
  <c r="F31" i="24" l="1"/>
  <c r="Z7" i="22" l="1"/>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G9" i="9" l="1"/>
  <c r="G10" i="9"/>
  <c r="G11" i="9"/>
  <c r="G12" i="9"/>
  <c r="G13" i="9"/>
  <c r="G14" i="9"/>
  <c r="G15" i="9"/>
  <c r="G16" i="9"/>
  <c r="G17" i="9"/>
  <c r="G18" i="9"/>
  <c r="G19" i="9"/>
  <c r="G8" i="9"/>
  <c r="L35" i="22" l="1"/>
  <c r="B35" i="22"/>
  <c r="AA34" i="22"/>
  <c r="AA33" i="22"/>
  <c r="AA32" i="22"/>
  <c r="AA31" i="22"/>
  <c r="AA30" i="22"/>
  <c r="AA29" i="22"/>
  <c r="AA28" i="22"/>
  <c r="AA27" i="22"/>
  <c r="AA26" i="22"/>
  <c r="AA25" i="22"/>
  <c r="AA24" i="22"/>
  <c r="AA23" i="22"/>
  <c r="AA22" i="22"/>
  <c r="AA21" i="22"/>
  <c r="AA20" i="22"/>
  <c r="AA19" i="22"/>
  <c r="AA18" i="22"/>
  <c r="AA17" i="22"/>
  <c r="AA16" i="22"/>
  <c r="AA15" i="22"/>
  <c r="AA14" i="22"/>
  <c r="AA13" i="22"/>
  <c r="AA12" i="22"/>
  <c r="AA11" i="22"/>
  <c r="AA10" i="22"/>
  <c r="AA9" i="22"/>
  <c r="AA8" i="22"/>
  <c r="AA7" i="22"/>
  <c r="Z6" i="22"/>
  <c r="AA6" i="22" s="1"/>
  <c r="Z5" i="22"/>
  <c r="AA5" i="22" s="1"/>
  <c r="G18" i="21"/>
  <c r="A4" i="9" l="1"/>
  <c r="I3" i="9" s="1"/>
  <c r="B7" i="24" l="1"/>
  <c r="I11" i="9"/>
  <c r="I12" i="9"/>
  <c r="I13" i="9"/>
  <c r="I14" i="9"/>
  <c r="I15" i="9"/>
  <c r="I16" i="9"/>
  <c r="I17" i="9"/>
  <c r="I18" i="9"/>
  <c r="I19" i="9"/>
  <c r="I10" i="9"/>
  <c r="I9" i="9"/>
  <c r="I8" i="9"/>
  <c r="L5" i="14" l="1"/>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4" i="14"/>
  <c r="E2" i="2"/>
  <c r="B2" i="14"/>
  <c r="F33" i="15"/>
  <c r="F34" i="15" s="1"/>
  <c r="A33" i="15"/>
  <c r="G21" i="6"/>
  <c r="E15" i="13"/>
  <c r="L18" i="11"/>
  <c r="M3" i="13"/>
  <c r="M11" i="13"/>
  <c r="I3" i="13"/>
  <c r="M4" i="13"/>
  <c r="M2" i="13"/>
  <c r="M5" i="13"/>
  <c r="M6" i="13"/>
  <c r="M8" i="13"/>
  <c r="M7" i="13"/>
  <c r="M9" i="13"/>
  <c r="M10" i="13"/>
  <c r="M13" i="13"/>
  <c r="M14" i="13"/>
  <c r="M15" i="13"/>
  <c r="M16" i="13"/>
  <c r="M17" i="13"/>
  <c r="M18" i="13"/>
  <c r="M19" i="13"/>
  <c r="M20" i="13"/>
  <c r="M21" i="13"/>
  <c r="M22" i="13"/>
  <c r="M23" i="13"/>
  <c r="M12" i="13"/>
  <c r="M24" i="13"/>
  <c r="M25" i="13"/>
  <c r="M26" i="13"/>
  <c r="M27" i="13"/>
  <c r="M28" i="13"/>
  <c r="E12" i="13"/>
  <c r="E13" i="13"/>
  <c r="E14" i="13"/>
  <c r="E11" i="13"/>
  <c r="C3" i="13" a="1"/>
  <c r="C3" i="13" s="1"/>
  <c r="C2" i="13" a="1"/>
  <c r="C2" i="13" s="1"/>
  <c r="I10" i="13"/>
  <c r="I9" i="13"/>
  <c r="I11" i="13"/>
  <c r="I7" i="13"/>
  <c r="I8" i="13"/>
  <c r="I28" i="13"/>
  <c r="I27" i="13"/>
  <c r="I6" i="13"/>
  <c r="I26" i="13"/>
  <c r="I25" i="13"/>
  <c r="I24" i="13"/>
  <c r="I12" i="13"/>
  <c r="I23" i="13"/>
  <c r="I22" i="13"/>
  <c r="I21" i="13"/>
  <c r="I20" i="13"/>
  <c r="I19" i="13"/>
  <c r="I18" i="13"/>
  <c r="I17" i="13"/>
  <c r="I16" i="13"/>
  <c r="I2" i="13"/>
  <c r="I5" i="13"/>
  <c r="I4" i="13"/>
  <c r="I14" i="13"/>
  <c r="I15" i="13"/>
  <c r="I13" i="13"/>
  <c r="G2" i="12"/>
  <c r="H2" i="12" s="1"/>
  <c r="G3" i="12"/>
  <c r="H3" i="12" s="1"/>
  <c r="G4" i="12"/>
  <c r="H4" i="12" s="1"/>
  <c r="G5" i="12"/>
  <c r="H5" i="12" s="1"/>
  <c r="G6" i="12"/>
  <c r="H6" i="12" s="1"/>
  <c r="G7" i="12"/>
  <c r="H7" i="12" s="1"/>
  <c r="G8" i="12"/>
  <c r="H8" i="12" s="1"/>
  <c r="G9" i="12"/>
  <c r="H9" i="12" s="1"/>
  <c r="G10" i="12"/>
  <c r="H10" i="12" s="1"/>
  <c r="G11" i="12"/>
  <c r="H11" i="12" s="1"/>
  <c r="G12" i="12"/>
  <c r="H12" i="12" s="1"/>
  <c r="G13" i="12"/>
  <c r="H13" i="12" s="1"/>
  <c r="G14" i="12"/>
  <c r="H14" i="12" s="1"/>
  <c r="G15" i="12"/>
  <c r="H15" i="12" s="1"/>
  <c r="G16" i="12"/>
  <c r="H16" i="12" s="1"/>
  <c r="G17" i="12"/>
  <c r="H17" i="12" s="1"/>
  <c r="G18" i="12"/>
  <c r="H18" i="12" s="1"/>
  <c r="G19" i="12"/>
  <c r="H19" i="12" s="1"/>
  <c r="G20" i="12"/>
  <c r="H20" i="12" s="1"/>
  <c r="G21" i="12"/>
  <c r="H21" i="12" s="1"/>
  <c r="G22" i="12"/>
  <c r="H22" i="12" s="1"/>
  <c r="G23" i="12"/>
  <c r="H23" i="12" s="1"/>
  <c r="G24" i="12"/>
  <c r="H24" i="12" s="1"/>
  <c r="G25" i="12"/>
  <c r="H25" i="12" s="1"/>
  <c r="G26" i="12"/>
  <c r="H26" i="12" s="1"/>
  <c r="G27" i="12"/>
  <c r="G28" i="12"/>
  <c r="G29" i="12"/>
  <c r="G1" i="12"/>
  <c r="H1" i="12" s="1"/>
  <c r="E6" i="12"/>
  <c r="E5" i="12"/>
  <c r="E4" i="12"/>
  <c r="E3" i="12"/>
  <c r="E1" i="12"/>
  <c r="B2" i="12"/>
  <c r="B1" i="12"/>
  <c r="A1" i="11"/>
  <c r="C2" i="11"/>
  <c r="J21" i="12" l="1"/>
  <c r="I21" i="12"/>
  <c r="I18" i="12"/>
  <c r="I5" i="12"/>
  <c r="J5" i="12"/>
  <c r="J2" i="12"/>
  <c r="I15" i="12"/>
  <c r="J15" i="12"/>
  <c r="J12" i="12"/>
  <c r="I7" i="12"/>
  <c r="J7" i="12"/>
  <c r="I4" i="12"/>
  <c r="J25" i="12"/>
  <c r="I25" i="12"/>
  <c r="I22" i="12"/>
  <c r="I17" i="12"/>
  <c r="J17" i="12"/>
  <c r="J14" i="12"/>
  <c r="I9" i="12"/>
  <c r="J9" i="12"/>
  <c r="I6" i="12"/>
  <c r="I10" i="12"/>
  <c r="I20" i="12"/>
  <c r="J8" i="12"/>
  <c r="I8" i="12"/>
  <c r="J24" i="12"/>
  <c r="I1" i="12"/>
  <c r="J1" i="12"/>
  <c r="I26" i="12"/>
  <c r="I13" i="12"/>
  <c r="J13" i="12"/>
  <c r="J10" i="12"/>
  <c r="J23" i="12"/>
  <c r="I23" i="12"/>
  <c r="J20" i="12"/>
  <c r="I24" i="12"/>
  <c r="I19" i="12"/>
  <c r="J19" i="12"/>
  <c r="I16" i="12"/>
  <c r="I11" i="12"/>
  <c r="J11" i="12"/>
  <c r="J3" i="12"/>
  <c r="I3" i="12"/>
  <c r="I12" i="12"/>
  <c r="J22" i="12"/>
  <c r="I2" i="12"/>
  <c r="J26" i="12"/>
  <c r="I14" i="12"/>
  <c r="J6" i="12"/>
  <c r="J4" i="12"/>
  <c r="J18" i="12"/>
  <c r="J16" i="12"/>
  <c r="E2" i="12" l="1"/>
  <c r="F3" i="13" a="1"/>
  <c r="F3" i="13" s="1"/>
  <c r="P10" i="11" s="1"/>
  <c r="F25" i="13" l="1" a="1"/>
  <c r="F25" i="13" s="1"/>
  <c r="K9" i="13" a="1"/>
  <c r="K9" i="13" s="1"/>
  <c r="F4" i="13" a="1"/>
  <c r="F4" i="13" s="1"/>
  <c r="S10" i="11" s="1"/>
  <c r="F12" i="13" a="1"/>
  <c r="F12" i="13" s="1"/>
  <c r="F19" i="13" a="1"/>
  <c r="F19" i="13" s="1"/>
  <c r="F15" i="13" a="1"/>
  <c r="F15" i="13" s="1"/>
  <c r="K12" i="13" a="1"/>
  <c r="K12" i="13" s="1"/>
  <c r="K11" i="13" a="1"/>
  <c r="K11" i="13" s="1"/>
  <c r="F14" i="13" a="1"/>
  <c r="F14" i="13" s="1"/>
  <c r="K5" i="13" a="1"/>
  <c r="K5" i="13" s="1"/>
  <c r="K14" i="13" a="1"/>
  <c r="K14" i="13" s="1"/>
  <c r="K10" i="13" a="1"/>
  <c r="K10" i="13" s="1"/>
  <c r="K4" i="13" a="1"/>
  <c r="K4" i="13" s="1"/>
  <c r="F18" i="13" a="1"/>
  <c r="F18" i="13" s="1"/>
  <c r="Z18" i="11" s="1"/>
  <c r="K17" i="13" a="1"/>
  <c r="K17" i="13" s="1"/>
  <c r="K8" i="13" a="1"/>
  <c r="K8" i="13" s="1"/>
  <c r="K18" i="13" a="1"/>
  <c r="K18" i="13" s="1"/>
  <c r="F7" i="13" a="1"/>
  <c r="F7" i="13" s="1"/>
  <c r="P7" i="11" s="1"/>
  <c r="K20" i="13" a="1"/>
  <c r="K20" i="13" s="1"/>
  <c r="K13" i="13" a="1"/>
  <c r="K13" i="13" s="1"/>
  <c r="F13" i="13" a="1"/>
  <c r="F13" i="13" s="1"/>
  <c r="K25" i="13" a="1"/>
  <c r="K25" i="13" s="1"/>
  <c r="K24" i="13" a="1"/>
  <c r="K24" i="13" s="1"/>
  <c r="F5" i="13" a="1"/>
  <c r="F5" i="13" s="1"/>
  <c r="S7" i="11" s="1"/>
  <c r="K23" i="13" a="1"/>
  <c r="K23" i="13" s="1"/>
  <c r="K21" i="13" a="1"/>
  <c r="K21" i="13" s="1"/>
  <c r="K22" i="13" a="1"/>
  <c r="K22" i="13" s="1"/>
  <c r="K27" i="13" a="1"/>
  <c r="K27" i="13" s="1"/>
  <c r="K6" i="13" a="1"/>
  <c r="K6" i="13" s="1"/>
  <c r="F26" i="13" a="1"/>
  <c r="F26" i="13" s="1"/>
  <c r="K16" i="13" a="1"/>
  <c r="K16" i="13" s="1"/>
  <c r="F2" i="13" a="1"/>
  <c r="F2" i="13" s="1"/>
  <c r="M7" i="11" s="1"/>
  <c r="K19" i="13" a="1"/>
  <c r="K19" i="13" s="1"/>
  <c r="F11" i="13" a="1"/>
  <c r="F11" i="13" s="1"/>
  <c r="K7" i="13" a="1"/>
  <c r="K7" i="13" s="1"/>
  <c r="K15" i="13" a="1"/>
  <c r="K15" i="13" s="1"/>
  <c r="K3" i="13" a="1"/>
  <c r="K3" i="13" s="1"/>
  <c r="K28" i="13" a="1"/>
  <c r="K28" i="13" s="1"/>
  <c r="F6" i="13" a="1"/>
  <c r="F6" i="13" s="1"/>
  <c r="M10" i="11" s="1"/>
  <c r="K2" i="13" a="1"/>
  <c r="K2" i="13" s="1"/>
  <c r="K26" i="13" a="1"/>
  <c r="K26" i="13" s="1"/>
  <c r="F21" i="13" l="1"/>
  <c r="F23" i="13"/>
  <c r="F20" i="13"/>
  <c r="F22" i="13"/>
  <c r="F24" i="13"/>
  <c r="H8" i="13"/>
  <c r="H4" i="13"/>
  <c r="H18" i="13"/>
  <c r="J11" i="13"/>
  <c r="L11" i="13" s="1"/>
  <c r="J3" i="13"/>
  <c r="L3" i="13" s="1"/>
  <c r="H7" i="13"/>
  <c r="H16" i="13"/>
  <c r="J6" i="13"/>
  <c r="L6" i="13" s="1"/>
  <c r="J5" i="13"/>
  <c r="L5" i="13" s="1"/>
  <c r="J10" i="13"/>
  <c r="L10" i="13" s="1"/>
  <c r="H24" i="13"/>
  <c r="H12" i="13"/>
  <c r="J27" i="13"/>
  <c r="L27" i="13" s="1"/>
  <c r="J28" i="13"/>
  <c r="L28" i="13" s="1"/>
  <c r="H28" i="13"/>
  <c r="J4" i="13"/>
  <c r="L4" i="13" s="1"/>
  <c r="J18" i="13"/>
  <c r="L18" i="13" s="1"/>
  <c r="H11" i="13"/>
  <c r="H3" i="13"/>
  <c r="J7" i="13"/>
  <c r="L7" i="13" s="1"/>
  <c r="J16" i="13"/>
  <c r="L16" i="13" s="1"/>
  <c r="H6" i="13"/>
  <c r="H5" i="13"/>
  <c r="H10" i="13"/>
  <c r="J17" i="13"/>
  <c r="L17" i="13" s="1"/>
  <c r="J12" i="13"/>
  <c r="L12" i="13" s="1"/>
  <c r="H27" i="13"/>
  <c r="H26" i="13"/>
  <c r="J26" i="13"/>
  <c r="L26" i="13" s="1"/>
  <c r="J22" i="13"/>
  <c r="L22" i="13" s="1"/>
  <c r="H23" i="13"/>
  <c r="J9" i="13"/>
  <c r="L9" i="13" s="1"/>
  <c r="J25" i="13"/>
  <c r="L25" i="13" s="1"/>
  <c r="H14" i="13"/>
  <c r="J15" i="13"/>
  <c r="L15" i="13" s="1"/>
  <c r="H19" i="13"/>
  <c r="H20" i="13"/>
  <c r="H13" i="13"/>
  <c r="H21" i="13"/>
  <c r="H17" i="13"/>
  <c r="J2" i="13"/>
  <c r="L2" i="13" s="1"/>
  <c r="H2" i="13"/>
  <c r="H22" i="13"/>
  <c r="J23" i="13"/>
  <c r="L23" i="13" s="1"/>
  <c r="H9" i="13"/>
  <c r="H25" i="13"/>
  <c r="J14" i="13"/>
  <c r="L14" i="13" s="1"/>
  <c r="H15" i="13"/>
  <c r="J19" i="13"/>
  <c r="L19" i="13" s="1"/>
  <c r="J20" i="13"/>
  <c r="L20" i="13" s="1"/>
  <c r="J13" i="13"/>
  <c r="L13" i="13" s="1"/>
  <c r="J21" i="13"/>
  <c r="L21" i="13" s="1"/>
  <c r="J24" i="13"/>
  <c r="L24" i="13" s="1"/>
  <c r="J8" i="13"/>
  <c r="L8" i="13" s="1"/>
</calcChain>
</file>

<file path=xl/comments1.xml><?xml version="1.0" encoding="utf-8"?>
<comments xmlns="http://schemas.openxmlformats.org/spreadsheetml/2006/main">
  <authors>
    <author>Nicolas Rauschenbach</author>
    <author>B.DUDEK</author>
    <author xml:space="preserve">Administrator </author>
  </authors>
  <commentList>
    <comment ref="AT9" authorId="0" shapeId="0">
      <text>
        <r>
          <rPr>
            <sz val="9"/>
            <color indexed="81"/>
            <rFont val="Tahoma"/>
            <family val="2"/>
          </rPr>
          <t xml:space="preserve">formulaire à utiliser disponible sur la GED -
</t>
        </r>
        <r>
          <rPr>
            <b/>
            <sz val="9"/>
            <color indexed="81"/>
            <rFont val="Tahoma"/>
            <family val="2"/>
          </rPr>
          <t>FOR FS 022</t>
        </r>
        <r>
          <rPr>
            <sz val="9"/>
            <color indexed="81"/>
            <rFont val="Tahoma"/>
            <family val="2"/>
          </rPr>
          <t xml:space="preserve"> Audit Extinction Automatique. </t>
        </r>
      </text>
    </comment>
    <comment ref="AT10" authorId="1" shapeId="0">
      <text>
        <r>
          <rPr>
            <sz val="9"/>
            <color indexed="81"/>
            <rFont val="Tahoma"/>
            <family val="2"/>
          </rPr>
          <t>Nom du manager</t>
        </r>
      </text>
    </comment>
    <comment ref="AU10" authorId="0" shapeId="0">
      <text>
        <r>
          <rPr>
            <b/>
            <sz val="9"/>
            <color indexed="81"/>
            <rFont val="Tahoma"/>
            <family val="2"/>
          </rPr>
          <t>Nom du manager</t>
        </r>
      </text>
    </comment>
    <comment ref="AV10" authorId="0" shapeId="0">
      <text>
        <r>
          <rPr>
            <b/>
            <sz val="9"/>
            <color indexed="81"/>
            <rFont val="Tahoma"/>
            <family val="2"/>
          </rPr>
          <t>Nom du manager</t>
        </r>
      </text>
    </comment>
    <comment ref="AW10" authorId="0" shapeId="0">
      <text>
        <r>
          <rPr>
            <b/>
            <sz val="9"/>
            <color indexed="81"/>
            <rFont val="Tahoma"/>
            <family val="2"/>
          </rPr>
          <t>Nom du manager</t>
        </r>
      </text>
    </comment>
    <comment ref="BI11" authorId="1" shapeId="0">
      <text>
        <r>
          <rPr>
            <sz val="9"/>
            <color indexed="81"/>
            <rFont val="Tahoma"/>
            <family val="2"/>
          </rPr>
          <t>Date du comité</t>
        </r>
      </text>
    </comment>
    <comment ref="BJ11" authorId="1" shapeId="0">
      <text>
        <r>
          <rPr>
            <sz val="9"/>
            <color indexed="81"/>
            <rFont val="Tahoma"/>
            <family val="2"/>
          </rPr>
          <t>Date du comité</t>
        </r>
      </text>
    </comment>
    <comment ref="BK11" authorId="1" shapeId="0">
      <text>
        <r>
          <rPr>
            <sz val="9"/>
            <color indexed="81"/>
            <rFont val="Tahoma"/>
            <family val="2"/>
          </rPr>
          <t>Date du comité</t>
        </r>
      </text>
    </comment>
    <comment ref="BL11" authorId="1" shapeId="0">
      <text>
        <r>
          <rPr>
            <sz val="9"/>
            <color indexed="81"/>
            <rFont val="Tahoma"/>
            <family val="2"/>
          </rPr>
          <t>Date du comité</t>
        </r>
      </text>
    </comment>
    <comment ref="BA12" authorId="2" shapeId="0">
      <text>
        <r>
          <rPr>
            <sz val="9"/>
            <color indexed="81"/>
            <rFont val="Tahoma"/>
            <family val="2"/>
          </rPr>
          <t>insérer date de parution de la causerie trimestrielle</t>
        </r>
      </text>
    </comment>
    <comment ref="BC12" authorId="2" shapeId="0">
      <text>
        <r>
          <rPr>
            <sz val="9"/>
            <color indexed="81"/>
            <rFont val="Tahoma"/>
            <family val="2"/>
          </rPr>
          <t>insérer date de parution de la causerie trimestrielle</t>
        </r>
      </text>
    </comment>
    <comment ref="BE12" authorId="2" shapeId="0">
      <text>
        <r>
          <rPr>
            <sz val="9"/>
            <color indexed="81"/>
            <rFont val="Tahoma"/>
            <family val="2"/>
          </rPr>
          <t>insérer date de parution de la causerie trimestrielle</t>
        </r>
      </text>
    </comment>
    <comment ref="BG12" authorId="2" shapeId="0">
      <text>
        <r>
          <rPr>
            <sz val="9"/>
            <color indexed="81"/>
            <rFont val="Tahoma"/>
            <family val="2"/>
          </rPr>
          <t>insérer date de parution de la causerie trimestrielle</t>
        </r>
      </text>
    </comment>
  </commentList>
</comments>
</file>

<file path=xl/comments2.xml><?xml version="1.0" encoding="utf-8"?>
<comments xmlns="http://schemas.openxmlformats.org/spreadsheetml/2006/main">
  <authors>
    <author xml:space="preserve">Administrator </author>
  </authors>
  <commentList>
    <comment ref="L3" authorId="0" shapeId="0">
      <text>
        <r>
          <rPr>
            <sz val="9"/>
            <color indexed="81"/>
            <rFont val="Tahoma"/>
            <family val="2"/>
          </rPr>
          <t>Rouge: échéance dépassée
Orange : échéance dans moins de 3 mois
Vert: échéance &gt;3 mois</t>
        </r>
      </text>
    </comment>
  </commentList>
</comments>
</file>

<file path=xl/comments3.xml><?xml version="1.0" encoding="utf-8"?>
<comments xmlns="http://schemas.openxmlformats.org/spreadsheetml/2006/main">
  <authors>
    <author>BD</author>
    <author>Nicolas Rauschenbach</author>
  </authors>
  <commentList>
    <comment ref="G2" authorId="0" shapeId="0">
      <text>
        <r>
          <rPr>
            <sz val="8"/>
            <color indexed="81"/>
            <rFont val="Tahoma"/>
            <family val="2"/>
          </rPr>
          <t xml:space="preserve">Uniquement pour les intérimaires - Fichier dispo sur le serveur EHS / Commun / Formation / Accueil
</t>
        </r>
      </text>
    </comment>
    <comment ref="H2" authorId="1" shapeId="0">
      <text>
        <r>
          <rPr>
            <b/>
            <sz val="9"/>
            <color indexed="81"/>
            <rFont val="Tahoma"/>
            <family val="2"/>
          </rPr>
          <t>Dans le dossier - Intériamaires compris</t>
        </r>
      </text>
    </comment>
  </commentList>
</comments>
</file>

<file path=xl/sharedStrings.xml><?xml version="1.0" encoding="utf-8"?>
<sst xmlns="http://schemas.openxmlformats.org/spreadsheetml/2006/main" count="930" uniqueCount="468">
  <si>
    <t>Source</t>
  </si>
  <si>
    <t>Délai</t>
  </si>
  <si>
    <t>Réalisé</t>
  </si>
  <si>
    <t>Agence</t>
  </si>
  <si>
    <t>Date</t>
  </si>
  <si>
    <t>Cause</t>
  </si>
  <si>
    <t>Action</t>
  </si>
  <si>
    <t>Responsable d'action</t>
  </si>
  <si>
    <t>?</t>
  </si>
  <si>
    <t>% Avancement</t>
  </si>
  <si>
    <t>Oui</t>
  </si>
  <si>
    <t>Non</t>
  </si>
  <si>
    <t>AC</t>
  </si>
  <si>
    <t>AP</t>
  </si>
  <si>
    <t>Matériel</t>
  </si>
  <si>
    <t>Matière</t>
  </si>
  <si>
    <t>Main d'œuvre</t>
  </si>
  <si>
    <t>Management</t>
  </si>
  <si>
    <t>Milieu</t>
  </si>
  <si>
    <t>Méthodes</t>
  </si>
  <si>
    <t>Avancement des actions</t>
  </si>
  <si>
    <t>Date de mise à jour :</t>
  </si>
  <si>
    <t>Service</t>
  </si>
  <si>
    <t>Fonction</t>
  </si>
  <si>
    <t>Nom</t>
  </si>
  <si>
    <t>Prénom</t>
  </si>
  <si>
    <t>Par</t>
  </si>
  <si>
    <t>Date réalisation</t>
  </si>
  <si>
    <t>Commentaires</t>
  </si>
  <si>
    <t>Effectif</t>
  </si>
  <si>
    <t>Visite terrain</t>
  </si>
  <si>
    <t>Incendie</t>
  </si>
  <si>
    <t>Désenfumage</t>
  </si>
  <si>
    <t>Levage</t>
  </si>
  <si>
    <t>N°</t>
  </si>
  <si>
    <t xml:space="preserve">Date </t>
  </si>
  <si>
    <t>Statut</t>
  </si>
  <si>
    <t>Fiche de recensement des besoins</t>
  </si>
  <si>
    <t>%</t>
  </si>
  <si>
    <t>Par qui</t>
  </si>
  <si>
    <t>Date :</t>
  </si>
  <si>
    <t>MILIEU - liées à l'environnement de travail</t>
  </si>
  <si>
    <t>METHODE - liées à la manière de travailler</t>
  </si>
  <si>
    <t>MATIERE - liées à la proprité physique du matériau</t>
  </si>
  <si>
    <t>MATERIEL - liées à l'outillage</t>
  </si>
  <si>
    <t>MANAGEMENT - liées aux transferts d'infos et consignes</t>
  </si>
  <si>
    <t>Heure</t>
  </si>
  <si>
    <t>Date analyse des causes</t>
  </si>
  <si>
    <t>MAIN D'ŒUVRE - liées au comportement du personnel</t>
  </si>
  <si>
    <t>REPARTITION DES ACTIONS QUALITE AGENCE (6M)</t>
  </si>
  <si>
    <t>rang</t>
  </si>
  <si>
    <t>Nombre d'actions définies</t>
  </si>
  <si>
    <t>Taux d'actions définies</t>
  </si>
  <si>
    <r>
      <rPr>
        <b/>
        <sz val="18"/>
        <color indexed="10"/>
        <rFont val="Calibri"/>
        <family val="2"/>
      </rPr>
      <t xml:space="preserve">Plan d'action QUALITE - SECURITE - ENVIRONNEMENT </t>
    </r>
    <r>
      <rPr>
        <b/>
        <sz val="18"/>
        <color indexed="8"/>
        <rFont val="Calibri"/>
        <family val="2"/>
      </rPr>
      <t xml:space="preserve">
Suivi des Actions Correctives (AC) et des Actions Préventives (AP)</t>
    </r>
  </si>
  <si>
    <t>Taux d'avancement</t>
  </si>
  <si>
    <t>Taux Soldé/Nb de dysfonctionnements</t>
  </si>
  <si>
    <t>Taux de vérification d'efficacité/ Soldés</t>
  </si>
  <si>
    <t>Taux de vérification d'efficacité/ Total</t>
  </si>
  <si>
    <t>nb de solde</t>
  </si>
  <si>
    <t>nb efficace non vide</t>
  </si>
  <si>
    <t>nb</t>
  </si>
  <si>
    <t>Origine</t>
  </si>
  <si>
    <t>Répartition par Processus</t>
  </si>
  <si>
    <t>Vente</t>
  </si>
  <si>
    <t>Installation</t>
  </si>
  <si>
    <t>Management/ Pilotage</t>
  </si>
  <si>
    <t>Service/ Installation</t>
  </si>
  <si>
    <t>Support (RH, HA, Matériel..)</t>
  </si>
  <si>
    <t>REPARTITIONS PAR PROCESSUS</t>
  </si>
  <si>
    <t>AVANCEMENT DE LA MISE EN ŒUVRE DES ACTIONS QUALITE</t>
  </si>
  <si>
    <t>Nombre total de dysfonctionnement / Amélioration du plan</t>
  </si>
  <si>
    <t xml:space="preserve">REPARTITION DES ACTIONS PAR ORIGINE </t>
  </si>
  <si>
    <t>Nom de l'Affaire</t>
  </si>
  <si>
    <t>Divers</t>
  </si>
  <si>
    <t>Q1</t>
  </si>
  <si>
    <t>Q2</t>
  </si>
  <si>
    <t>Q3</t>
  </si>
  <si>
    <t>Q4</t>
  </si>
  <si>
    <t>Société sous-traitante</t>
  </si>
  <si>
    <t>Actions à solder ?</t>
  </si>
  <si>
    <t>Suivi des Inspections et des communications EHS</t>
  </si>
  <si>
    <t>Activité</t>
  </si>
  <si>
    <t>Situation dangereuse
Presqu'accident</t>
  </si>
  <si>
    <t>Suivi des Sinistres Automobiles</t>
  </si>
  <si>
    <t>Genre collision</t>
  </si>
  <si>
    <t>Type collision</t>
  </si>
  <si>
    <t>Responsabilité ?</t>
  </si>
  <si>
    <t>Date de parution</t>
  </si>
  <si>
    <t>CAUSERIES EHS</t>
  </si>
  <si>
    <t>ACTIONS</t>
  </si>
  <si>
    <t>A solder</t>
  </si>
  <si>
    <t>Objectif</t>
  </si>
  <si>
    <t>Suivi des Accidents du Travail</t>
  </si>
  <si>
    <t>Priorité</t>
  </si>
  <si>
    <t>Date de réalisation</t>
  </si>
  <si>
    <t>S1</t>
  </si>
  <si>
    <t>S2</t>
  </si>
  <si>
    <t>Visite désenfumage</t>
  </si>
  <si>
    <t>Nombre total de SD Sécurité ou Environnement / Presqu'AT</t>
  </si>
  <si>
    <t>Planning</t>
  </si>
  <si>
    <t>Localisation</t>
  </si>
  <si>
    <t>Statut/Commentaire de l'avancement</t>
  </si>
  <si>
    <t>Type d'AT</t>
  </si>
  <si>
    <t>Nombre de jours d'arrêt</t>
  </si>
  <si>
    <t>Date de retour</t>
  </si>
  <si>
    <t>Taux de réalisation</t>
  </si>
  <si>
    <t>Type de vérification</t>
  </si>
  <si>
    <t>Objet de la vérification</t>
  </si>
  <si>
    <t>Elément cible</t>
  </si>
  <si>
    <t>Applicable au site</t>
  </si>
  <si>
    <t>Périodicité (année)</t>
  </si>
  <si>
    <t>Date de dernière réalisation</t>
  </si>
  <si>
    <t>Nombre d'observations</t>
  </si>
  <si>
    <t>Nombre d'observations levées</t>
  </si>
  <si>
    <t>Nombre d'observations à lever</t>
  </si>
  <si>
    <t>Date planif prochain contrôle</t>
  </si>
  <si>
    <t>Date échéance prochaine réalisation</t>
  </si>
  <si>
    <t>Rapport n°</t>
  </si>
  <si>
    <t>Contrôles réglementaires Agence, magasin et dépôts</t>
  </si>
  <si>
    <t>Equipement de Protection Individuelle</t>
  </si>
  <si>
    <t>PIR</t>
  </si>
  <si>
    <t>Echafaudages</t>
  </si>
  <si>
    <t>EPI Anti-Chute</t>
  </si>
  <si>
    <t>Gilet de Sauvetage</t>
  </si>
  <si>
    <t>PTI</t>
  </si>
  <si>
    <t>Travail en hauteur</t>
  </si>
  <si>
    <t>Equipement Individuel</t>
  </si>
  <si>
    <t>Installations Electriques</t>
  </si>
  <si>
    <t>Contrôle de l'installation complète</t>
  </si>
  <si>
    <t>Magasin</t>
  </si>
  <si>
    <t>Dépôt Annexe</t>
  </si>
  <si>
    <t>Extincteurs</t>
  </si>
  <si>
    <t>BAES</t>
  </si>
  <si>
    <t>Colonnes Sèches</t>
  </si>
  <si>
    <t>Poteaux Incendie</t>
  </si>
  <si>
    <t>Alarme Incendie</t>
  </si>
  <si>
    <t>Exercice d'Evacuation</t>
  </si>
  <si>
    <t>Chariots Elévateurs</t>
  </si>
  <si>
    <t>Gerbeurs</t>
  </si>
  <si>
    <t>Tables élévatrices</t>
  </si>
  <si>
    <t>Accessoires de levage</t>
  </si>
  <si>
    <t>Registres Réglementaires</t>
  </si>
  <si>
    <t>Document Unique</t>
  </si>
  <si>
    <t>Affichage Obligatoire</t>
  </si>
  <si>
    <t>Alerte sur Dangers Graves et Imminents</t>
  </si>
  <si>
    <t>Alerte Santé Publique et Environnement</t>
  </si>
  <si>
    <t>Hygiène</t>
  </si>
  <si>
    <t>Etat de Conformité Amiante (DTA)</t>
  </si>
  <si>
    <t>Filtre distributeurs boissons et fontaines à eau</t>
  </si>
  <si>
    <t>Portes et Portails</t>
  </si>
  <si>
    <t>Portails automatiques ou semi-automatiques</t>
  </si>
  <si>
    <t>Quai</t>
  </si>
  <si>
    <t>Niveleur de quai</t>
  </si>
  <si>
    <t>Bloqueurs de roues</t>
  </si>
  <si>
    <t>Système anti-intrusion</t>
  </si>
  <si>
    <t>Climatisation</t>
  </si>
  <si>
    <t>Défibrillateur</t>
  </si>
  <si>
    <t>Contrôle ionique</t>
  </si>
  <si>
    <t>Protocole de Sécurité Transport</t>
  </si>
  <si>
    <t>Environnement</t>
  </si>
  <si>
    <t>Compacteur déchets</t>
  </si>
  <si>
    <t>Mesures de bruit technicien</t>
  </si>
  <si>
    <t>Afichage EHS</t>
  </si>
  <si>
    <t>Registre déchets</t>
  </si>
  <si>
    <t>Lave-œil</t>
  </si>
  <si>
    <t>Détecteurs gaz aérothermes</t>
  </si>
  <si>
    <t>Détecteurs multi-gaz</t>
  </si>
  <si>
    <t>Transpalettes Electriques</t>
  </si>
  <si>
    <t>Affichage EHS</t>
  </si>
  <si>
    <t>Equipement Collectif</t>
  </si>
  <si>
    <t>Echelles/Escabeau</t>
  </si>
  <si>
    <t>Thermographie Infra-rouge + Q18</t>
  </si>
  <si>
    <t>Pression</t>
  </si>
  <si>
    <t>Compresseurs</t>
  </si>
  <si>
    <t>Banc de recharge</t>
  </si>
  <si>
    <t>Compresseur</t>
  </si>
  <si>
    <t>Administratif</t>
  </si>
  <si>
    <t>Effectif agence ?</t>
  </si>
  <si>
    <r>
      <rPr>
        <b/>
        <sz val="8"/>
        <color indexed="8"/>
        <rFont val="Calibri"/>
        <family val="2"/>
      </rPr>
      <t>Priorité HAUTE</t>
    </r>
    <r>
      <rPr>
        <sz val="8"/>
        <color indexed="8"/>
        <rFont val="Calibri"/>
        <family val="2"/>
      </rPr>
      <t xml:space="preserve"> = actions liées à AT, réglementation et règles cardinales
Les actions doivent être mises en place au maximum </t>
    </r>
    <r>
      <rPr>
        <b/>
        <sz val="8"/>
        <color indexed="8"/>
        <rFont val="Calibri"/>
        <family val="2"/>
      </rPr>
      <t>de 30 jours</t>
    </r>
    <r>
      <rPr>
        <sz val="8"/>
        <color indexed="8"/>
        <rFont val="Calibri"/>
        <family val="2"/>
      </rPr>
      <t xml:space="preserve">
</t>
    </r>
    <r>
      <rPr>
        <b/>
        <sz val="8"/>
        <color indexed="8"/>
        <rFont val="Calibri"/>
        <family val="2"/>
      </rPr>
      <t>Priorité AUTRES</t>
    </r>
    <r>
      <rPr>
        <sz val="8"/>
        <color indexed="8"/>
        <rFont val="Calibri"/>
        <family val="2"/>
      </rPr>
      <t xml:space="preserve"> = Actions mises en place </t>
    </r>
    <r>
      <rPr>
        <b/>
        <sz val="8"/>
        <color indexed="8"/>
        <rFont val="Calibri"/>
        <family val="2"/>
      </rPr>
      <t>dans les 9 mois</t>
    </r>
    <r>
      <rPr>
        <sz val="8"/>
        <color indexed="8"/>
        <rFont val="Calibri"/>
        <family val="2"/>
      </rPr>
      <t xml:space="preserve">
</t>
    </r>
    <r>
      <rPr>
        <b/>
        <sz val="8"/>
        <color indexed="8"/>
        <rFont val="Calibri"/>
        <family val="2"/>
      </rPr>
      <t/>
    </r>
  </si>
  <si>
    <t>Evaluation conséquence</t>
  </si>
  <si>
    <t>Visite médicale de reprise</t>
  </si>
  <si>
    <t>visite de reprise faite</t>
  </si>
  <si>
    <t>Tableau à remplir dès la rédaction d'un constat amiable</t>
  </si>
  <si>
    <t>Nombre de jours depuis son arrivée</t>
  </si>
  <si>
    <t xml:space="preserve">Base EHS </t>
  </si>
  <si>
    <t>date du départ  du collaborateur</t>
  </si>
  <si>
    <r>
      <t xml:space="preserve">Qualité et EHS : 
Dysfonctionnement / Anomalie </t>
    </r>
    <r>
      <rPr>
        <sz val="10"/>
        <color indexed="9"/>
        <rFont val="Calibri"/>
        <family val="2"/>
      </rPr>
      <t xml:space="preserve">
Amélioration</t>
    </r>
    <r>
      <rPr>
        <b/>
        <sz val="10"/>
        <color indexed="9"/>
        <rFont val="Calibri"/>
        <family val="2"/>
      </rPr>
      <t xml:space="preserve"> </t>
    </r>
  </si>
  <si>
    <t>Inspection par N+1</t>
  </si>
  <si>
    <t>Visite Equipements sous pression</t>
  </si>
  <si>
    <t>INSPECTIONS</t>
  </si>
  <si>
    <t>Date du dernier AT :</t>
  </si>
  <si>
    <t>Nb de jours sans AT</t>
  </si>
  <si>
    <t>Suivi des audits des installations extinction automatique</t>
  </si>
  <si>
    <t>Type de gaz</t>
  </si>
  <si>
    <t>Nombre de bouteilles</t>
  </si>
  <si>
    <t>Présence sous-traitants</t>
  </si>
  <si>
    <t>Nom du sous-traitant</t>
  </si>
  <si>
    <t>Nom du technicien</t>
  </si>
  <si>
    <t>Nom
Prénom</t>
  </si>
  <si>
    <t>1er jour</t>
  </si>
  <si>
    <t>&lt;30j</t>
  </si>
  <si>
    <t>Technicien</t>
  </si>
  <si>
    <t>&lt;30j ou &lt;90j</t>
  </si>
  <si>
    <t>&lt;90j</t>
  </si>
  <si>
    <t>Suivi de l'accueil - Modules à réaliser</t>
  </si>
  <si>
    <t>Tronc Commun</t>
  </si>
  <si>
    <t>Travaux en Hauteur
Echelles et escabeaux</t>
  </si>
  <si>
    <t>Travaux en Hauteur
Nacelle</t>
  </si>
  <si>
    <t>Risque Electrique</t>
  </si>
  <si>
    <t>Port des EPI</t>
  </si>
  <si>
    <t>Organisation EHS</t>
  </si>
  <si>
    <t>Risque Routier</t>
  </si>
  <si>
    <t>Equipement sous Pression</t>
  </si>
  <si>
    <t>Espaces Confinés</t>
  </si>
  <si>
    <t>Analyse des risques</t>
  </si>
  <si>
    <t>Fondamentaux Sécurité</t>
  </si>
  <si>
    <t>Gestes et Postures</t>
  </si>
  <si>
    <t>Organisation des stocks</t>
  </si>
  <si>
    <t>&lt;6mois</t>
  </si>
  <si>
    <t>Date de la visite terrain par manager</t>
  </si>
  <si>
    <t>Suivi de l'accueil des nouveaux arrivants</t>
  </si>
  <si>
    <t>Type d'activité</t>
  </si>
  <si>
    <r>
      <t xml:space="preserve">Decription 
</t>
    </r>
    <r>
      <rPr>
        <sz val="8"/>
        <color theme="0"/>
        <rFont val="Calibri"/>
        <family val="2"/>
        <scheme val="minor"/>
      </rPr>
      <t>(Chantier Désenfumage, chantier BAES, chantier Extincteur, chantier RIA, électricité…)</t>
    </r>
  </si>
  <si>
    <t>Niveau 1</t>
  </si>
  <si>
    <t>Niveau 2</t>
  </si>
  <si>
    <t>Niveau 3</t>
  </si>
  <si>
    <t>Travaux Dangereux (Travaux en hauteur à plus de 3m, raccordements électriques, extinction automatique, espaces confinés, poteaux incendie)</t>
  </si>
  <si>
    <t>Travaux hors travaux dangereux (tirage de câbles sans raccordement électrique, visite de maintenance, pose d'extincteurs, pose de RIA…)</t>
  </si>
  <si>
    <t>Prestataires intervenant en agence (nettoyage bâtiments, contrôles périodiques…)</t>
  </si>
  <si>
    <t>Type d'agence :</t>
  </si>
  <si>
    <t>Installation (Chantier)</t>
  </si>
  <si>
    <t>éch. Dépassées</t>
  </si>
  <si>
    <t>SD remontée par</t>
  </si>
  <si>
    <t>Audits de service</t>
  </si>
  <si>
    <t>Date d'arrivée</t>
  </si>
  <si>
    <t xml:space="preserve">Commentaires et/ou liste des actions </t>
  </si>
  <si>
    <t>Date de l'accident</t>
  </si>
  <si>
    <t>Agence installant/réalisant des maintenances d''extinction automatique ?</t>
  </si>
  <si>
    <t>% avancement</t>
  </si>
  <si>
    <t xml:space="preserve">Agence de </t>
  </si>
  <si>
    <t xml:space="preserve">jours sans Accidents du Travail </t>
  </si>
  <si>
    <t>Visites terrains</t>
  </si>
  <si>
    <t>Insp. Réalisées</t>
  </si>
  <si>
    <t>Agence installant/réalisant des maintenances de désenfumage ?</t>
  </si>
  <si>
    <t>Causerie Q1</t>
  </si>
  <si>
    <t>Causerie Q2</t>
  </si>
  <si>
    <t>Causerie Q3</t>
  </si>
  <si>
    <t>Causerie Q4</t>
  </si>
  <si>
    <t>Accident</t>
  </si>
  <si>
    <t>Accident bénin</t>
  </si>
  <si>
    <t>Accueil EHS</t>
  </si>
  <si>
    <t>APSAD</t>
  </si>
  <si>
    <t>Audit de management</t>
  </si>
  <si>
    <t>Audit externe</t>
  </si>
  <si>
    <t>Audit interne</t>
  </si>
  <si>
    <t>Autre audit</t>
  </si>
  <si>
    <t>Causerie</t>
  </si>
  <si>
    <t>CE/DP</t>
  </si>
  <si>
    <t>CHSCT</t>
  </si>
  <si>
    <t>Client / Plainte</t>
  </si>
  <si>
    <t>Comité EHS agence</t>
  </si>
  <si>
    <t>Comité EHS national</t>
  </si>
  <si>
    <t>Comité EHS régional</t>
  </si>
  <si>
    <t>Evaluation des risques</t>
  </si>
  <si>
    <t>Exercices</t>
  </si>
  <si>
    <t>Formation</t>
  </si>
  <si>
    <t>Information groupe</t>
  </si>
  <si>
    <t>Inspection mensuelle</t>
  </si>
  <si>
    <t>MFA/réclamation client</t>
  </si>
  <si>
    <t>Plan de prévention / FAR</t>
  </si>
  <si>
    <t>Presqu'accident</t>
  </si>
  <si>
    <t>Réglementaire</t>
  </si>
  <si>
    <t>Remontée terrain</t>
  </si>
  <si>
    <t>Reunion interne</t>
  </si>
  <si>
    <t>Revue de Direction</t>
  </si>
  <si>
    <t>Vérification périodique</t>
  </si>
  <si>
    <t>Visite EHS/Qualité</t>
  </si>
  <si>
    <t>Déchets</t>
  </si>
  <si>
    <t>Document</t>
  </si>
  <si>
    <t>Electrique</t>
  </si>
  <si>
    <t>EPI</t>
  </si>
  <si>
    <t>Hauteur</t>
  </si>
  <si>
    <t>Indicateur</t>
  </si>
  <si>
    <t>Outillages</t>
  </si>
  <si>
    <t>Produit chimique</t>
  </si>
  <si>
    <t>Véhicule</t>
  </si>
  <si>
    <t>Risque électrique</t>
  </si>
  <si>
    <t>Espaces confinés</t>
  </si>
  <si>
    <t>Charges suspendues</t>
  </si>
  <si>
    <t>Chariots élevateurs</t>
  </si>
  <si>
    <t>Risque routier</t>
  </si>
  <si>
    <t>Machines</t>
  </si>
  <si>
    <t>Engins</t>
  </si>
  <si>
    <t>Chute de plain-pied</t>
  </si>
  <si>
    <t>Amiante</t>
  </si>
  <si>
    <t>Documentaire</t>
  </si>
  <si>
    <t>Energies dangereuses</t>
  </si>
  <si>
    <t>Produits chimiques</t>
  </si>
  <si>
    <t>Réservoirs sous pression</t>
  </si>
  <si>
    <t>Stockage</t>
  </si>
  <si>
    <t>Inspections périodiques</t>
  </si>
  <si>
    <t>5S</t>
  </si>
  <si>
    <t>Sous-Traitance</t>
  </si>
  <si>
    <t>Domaine
Type de risque</t>
  </si>
  <si>
    <t>1 - Bénin</t>
  </si>
  <si>
    <t>2 - AT sans Arrêt</t>
  </si>
  <si>
    <t>3 - AT avec Arrêt</t>
  </si>
  <si>
    <t>4 - Irréversible ou mortelle</t>
  </si>
  <si>
    <t>1 - Mauvais tri déchets</t>
  </si>
  <si>
    <t>2 - Renversement produit</t>
  </si>
  <si>
    <t>3 - Percussion accidentelle de réservoirs fluorés</t>
  </si>
  <si>
    <t>4 - Incendie</t>
  </si>
  <si>
    <t>Haute</t>
  </si>
  <si>
    <t>Autre</t>
  </si>
  <si>
    <t>Nombre total d'actions</t>
  </si>
  <si>
    <r>
      <rPr>
        <b/>
        <sz val="16"/>
        <color theme="1"/>
        <rFont val="Calibri"/>
        <family val="2"/>
        <scheme val="minor"/>
      </rPr>
      <t>Suivi des actions</t>
    </r>
    <r>
      <rPr>
        <sz val="11"/>
        <color theme="1"/>
        <rFont val="Calibri"/>
        <family val="2"/>
        <scheme val="minor"/>
      </rPr>
      <t xml:space="preserve">
</t>
    </r>
    <r>
      <rPr>
        <i/>
        <sz val="8"/>
        <color theme="1"/>
        <rFont val="Calibri"/>
        <family val="2"/>
        <scheme val="minor"/>
      </rPr>
      <t>(Issues des visites terrains, des audits, des comités EHS…)</t>
    </r>
  </si>
  <si>
    <t>Nombre de Situations Dangereuses remontées</t>
  </si>
  <si>
    <t>CDI</t>
  </si>
  <si>
    <t>CDD</t>
  </si>
  <si>
    <t>Intérim</t>
  </si>
  <si>
    <t>Stagiaire</t>
  </si>
  <si>
    <t>Contrat Pro</t>
  </si>
  <si>
    <t>Fait</t>
  </si>
  <si>
    <t>Victime</t>
  </si>
  <si>
    <t>ATAA</t>
  </si>
  <si>
    <t>ATSA</t>
  </si>
  <si>
    <t>PS</t>
  </si>
  <si>
    <t>ATJAA</t>
  </si>
  <si>
    <t>ATJSA</t>
  </si>
  <si>
    <t>Circulation</t>
  </si>
  <si>
    <t>Choc arrière</t>
  </si>
  <si>
    <t>Manœuvre</t>
  </si>
  <si>
    <t>Choc avant</t>
  </si>
  <si>
    <t>Stationnement</t>
  </si>
  <si>
    <t>Choc avec animal</t>
  </si>
  <si>
    <t>Non rempli</t>
  </si>
  <si>
    <t>Choc contre obstacle fixe</t>
  </si>
  <si>
    <t>NA</t>
  </si>
  <si>
    <t>Choc côté</t>
  </si>
  <si>
    <t>Choc en croisant</t>
  </si>
  <si>
    <t>Choc en dépassement</t>
  </si>
  <si>
    <t>Chute d'objet</t>
  </si>
  <si>
    <t>Collision en chaine</t>
  </si>
  <si>
    <t>Perte de contrôle</t>
  </si>
  <si>
    <t>Piéton</t>
  </si>
  <si>
    <t>Sans tiers identifié</t>
  </si>
  <si>
    <t>Services</t>
  </si>
  <si>
    <t>8 audits niveau 1
2 audits niveau 2
Audits niveau 3 si pas assez de niveau 1 ou niveau 2</t>
  </si>
  <si>
    <t>3 audits niveau 1
1 audit niveau 2
Audits niveau 3 si pas assez de niveau 1 ou niveau 2</t>
  </si>
  <si>
    <t>Visites terrain</t>
  </si>
  <si>
    <t>Inspections EPI</t>
  </si>
  <si>
    <t>Auto-inspections</t>
  </si>
  <si>
    <t>Inspections véhicule</t>
  </si>
  <si>
    <t>Nombre d'actions dépassées</t>
  </si>
  <si>
    <t>Nb d'actions</t>
  </si>
  <si>
    <t>Actions dépassées</t>
  </si>
  <si>
    <t>Date maximale de réalisation de la visite</t>
  </si>
  <si>
    <t>Date effective de réalisation</t>
  </si>
  <si>
    <t>Gestionnaire de stocks</t>
  </si>
  <si>
    <t>Directeur d'Agence</t>
  </si>
  <si>
    <t>Encadrant</t>
  </si>
  <si>
    <t>Commercial</t>
  </si>
  <si>
    <t xml:space="preserve">Agence : </t>
  </si>
  <si>
    <r>
      <rPr>
        <b/>
        <sz val="11"/>
        <color indexed="8"/>
        <rFont val="Calibri"/>
        <family val="2"/>
      </rPr>
      <t>Directeur d'Agence</t>
    </r>
    <r>
      <rPr>
        <sz val="11"/>
        <color theme="1"/>
        <rFont val="Calibri"/>
        <family val="2"/>
        <scheme val="minor"/>
      </rPr>
      <t xml:space="preserve"> : </t>
    </r>
  </si>
  <si>
    <t xml:space="preserve">Avancement global : </t>
  </si>
  <si>
    <t>Objectifs et Actions</t>
  </si>
  <si>
    <t>Responsable</t>
  </si>
  <si>
    <t>Acteurs</t>
  </si>
  <si>
    <t>Moyens</t>
  </si>
  <si>
    <t>Exigences</t>
  </si>
  <si>
    <t>Efficacité attendue</t>
  </si>
  <si>
    <t>Période</t>
  </si>
  <si>
    <t>% d'avancement</t>
  </si>
  <si>
    <t>Objectifs Management</t>
  </si>
  <si>
    <t>Objectifs Environnement</t>
  </si>
  <si>
    <t>Objectifs Hygiène/Santé</t>
  </si>
  <si>
    <t>Objectifs Sécurité</t>
  </si>
  <si>
    <t>Indicateurs</t>
  </si>
  <si>
    <t>De résultat</t>
  </si>
  <si>
    <t>De surveillance</t>
  </si>
  <si>
    <t>Objectifs annuels 2019</t>
  </si>
  <si>
    <r>
      <rPr>
        <b/>
        <sz val="11"/>
        <color indexed="8"/>
        <rFont val="Calibri"/>
        <family val="2"/>
      </rPr>
      <t>Date de mise à jour</t>
    </r>
    <r>
      <rPr>
        <sz val="11"/>
        <color theme="1"/>
        <rFont val="Calibri"/>
        <family val="2"/>
        <scheme val="minor"/>
      </rPr>
      <t xml:space="preserve"> : </t>
    </r>
  </si>
  <si>
    <t>Avancement Management</t>
  </si>
  <si>
    <t>Avancement Environnement</t>
  </si>
  <si>
    <t>Avancement Hygiène/Santé</t>
  </si>
  <si>
    <t>Avancement Sécurité</t>
  </si>
  <si>
    <r>
      <t xml:space="preserve">Pour les situations dangereuses, indiquer la conséquence potentielle :
- </t>
    </r>
    <r>
      <rPr>
        <b/>
        <u/>
        <sz val="8"/>
        <color indexed="53"/>
        <rFont val="Calibri"/>
        <family val="2"/>
      </rPr>
      <t>Sécurité</t>
    </r>
    <r>
      <rPr>
        <sz val="8"/>
        <color indexed="8"/>
        <rFont val="Calibri"/>
        <family val="2"/>
      </rPr>
      <t xml:space="preserve"> :  1 (bénin) ; 2 (AT sans arrêt) ; 3 (AT avec arrêt) ; 4 (Irréversible ou mortelle)
- </t>
    </r>
    <r>
      <rPr>
        <b/>
        <u/>
        <sz val="8"/>
        <color indexed="17"/>
        <rFont val="Calibri"/>
        <family val="2"/>
      </rPr>
      <t>Environnement</t>
    </r>
    <r>
      <rPr>
        <sz val="8"/>
        <color indexed="8"/>
        <rFont val="Calibri"/>
        <family val="2"/>
      </rPr>
      <t xml:space="preserve"> :  1 (mauvais tri déchets) ; 2 (Renversement produit) ; 3 (Percussion accidentelle de réservoirs fluorés) ; 4 (incendie dans local d'activité)
Selon les circonstances et la gravité potentielle de la situation dangereuse, une analyse détaillée de l'événement peut être décidée en comité EHS. A minima, une analyse est réalisée à partir du niveau 2</t>
    </r>
  </si>
  <si>
    <t>Catégorisation de l'action</t>
  </si>
  <si>
    <t>Thème</t>
  </si>
  <si>
    <t>Type d'action</t>
  </si>
  <si>
    <t>Principe de prévention associé</t>
  </si>
  <si>
    <t>Vérification et Efficacité de l'action</t>
  </si>
  <si>
    <t>Date de vérification</t>
  </si>
  <si>
    <t>Non récurrence</t>
  </si>
  <si>
    <t>Respect de la réglementation</t>
  </si>
  <si>
    <t>Non transfert du risque</t>
  </si>
  <si>
    <t>Nb actions</t>
  </si>
  <si>
    <t>Sans délai</t>
  </si>
  <si>
    <t>Nombre d'actions sans échéance</t>
  </si>
  <si>
    <t>Env</t>
  </si>
  <si>
    <t>Q Installation</t>
  </si>
  <si>
    <t>Q Management</t>
  </si>
  <si>
    <t>Q Service / Maintenance</t>
  </si>
  <si>
    <t>Q Support(RH, materiel ..)</t>
  </si>
  <si>
    <t>Q Vente</t>
  </si>
  <si>
    <t>Santé</t>
  </si>
  <si>
    <t>Séc</t>
  </si>
  <si>
    <t>Pilotage</t>
  </si>
  <si>
    <t>1 - Eviter le risque</t>
  </si>
  <si>
    <t>2 - Evaluer le risque</t>
  </si>
  <si>
    <t>3 - Combattre les risques à la source</t>
  </si>
  <si>
    <t>4 - Adapter le travail</t>
  </si>
  <si>
    <t>5 - Tenir compte de l'évolution de la technique</t>
  </si>
  <si>
    <t>6 - Remplacer ce qui est dangereux</t>
  </si>
  <si>
    <t>7 - Planifier la prévention</t>
  </si>
  <si>
    <t>8 - Prendre des mesures de prev coll (EPC) avant ind (EPI)</t>
  </si>
  <si>
    <t>9 - Donner les instructions</t>
  </si>
  <si>
    <t>QUALITE
Analyse 6M</t>
  </si>
  <si>
    <t>Fonctions</t>
  </si>
  <si>
    <t>Animateur APV</t>
  </si>
  <si>
    <t>Animateur Région</t>
  </si>
  <si>
    <t>Assistante Etablissement</t>
  </si>
  <si>
    <t>Assistante Régionale</t>
  </si>
  <si>
    <t>BE</t>
  </si>
  <si>
    <t>Chargé d'affaires</t>
  </si>
  <si>
    <t>Fifty</t>
  </si>
  <si>
    <t>Formateur</t>
  </si>
  <si>
    <t>Gestionnaire stock</t>
  </si>
  <si>
    <t>Poseur</t>
  </si>
  <si>
    <t>Responsable Administratif</t>
  </si>
  <si>
    <t>Responsable Réa</t>
  </si>
  <si>
    <t>Responsable Désenfumage</t>
  </si>
  <si>
    <t>Responsable Ventes</t>
  </si>
  <si>
    <t>RST</t>
  </si>
  <si>
    <t>Spéc. BAES</t>
  </si>
  <si>
    <t>Spéc. RIA</t>
  </si>
  <si>
    <t>TAPV Désenf.</t>
  </si>
  <si>
    <t>Technicien MES</t>
  </si>
  <si>
    <t>Technicien SAV</t>
  </si>
  <si>
    <t>Assistante</t>
  </si>
  <si>
    <t>Direction</t>
  </si>
  <si>
    <t>Formation CCF</t>
  </si>
  <si>
    <t>Réalisation</t>
  </si>
  <si>
    <t>SAV Chubb</t>
  </si>
  <si>
    <t>SAV Sicli</t>
  </si>
  <si>
    <t>Ventes Chubb</t>
  </si>
  <si>
    <t>Ventes Sicli</t>
  </si>
  <si>
    <t>NANCY</t>
  </si>
  <si>
    <t>DIJON</t>
  </si>
  <si>
    <t>REIMS</t>
  </si>
  <si>
    <t>STRASBOURG</t>
  </si>
  <si>
    <r>
      <t>Toute  nouvelle installation d'extinction automatique doit être auditée au cours du chantier à l'aide du document d'audit dédié -</t>
    </r>
    <r>
      <rPr>
        <i/>
        <sz val="11"/>
        <color theme="1"/>
        <rFont val="Calibri"/>
        <family val="2"/>
        <scheme val="minor"/>
      </rPr>
      <t xml:space="preserve"> Audit Extinction Automatique FOR FS 022</t>
    </r>
  </si>
  <si>
    <t>Fait le</t>
  </si>
  <si>
    <t>Comités EHS</t>
  </si>
  <si>
    <t>Fiche d'aptitude médicale</t>
  </si>
  <si>
    <t>Inpections</t>
  </si>
  <si>
    <t>Véhicules</t>
  </si>
  <si>
    <t>Audits</t>
  </si>
  <si>
    <t>Audits de Services</t>
  </si>
  <si>
    <t>Causeries</t>
  </si>
  <si>
    <t>Communications</t>
  </si>
  <si>
    <t>Dijon-Reims</t>
  </si>
  <si>
    <t>Nancy_Strasbourg</t>
  </si>
  <si>
    <t>Etablissement</t>
  </si>
  <si>
    <t>NON</t>
  </si>
  <si>
    <t>2 Etablissements</t>
  </si>
  <si>
    <t>Suivi des SOUS TRAITANT</t>
  </si>
  <si>
    <t>Nombre de remontées d'informations (dont Situations Dangereuses et Bonnes Pratiques)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</si>
</sst>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mm/yy;@"/>
    <numFmt numFmtId="165" formatCode="d/m;@"/>
    <numFmt numFmtId="166" formatCode="0.0"/>
    <numFmt numFmtId="167" formatCode="0.0%"/>
    <numFmt numFmtId="168" formatCode="d/m/yy;@"/>
  </numFmts>
  <fonts count="72" x14ac:knownFonts="1">
    <font>
      <sz val="11"/>
      <color theme="1"/>
      <name val="Calibri"/>
      <family val="2"/>
      <scheme val="minor"/>
    </font>
    <font>
      <sz val="11"/>
      <color theme="1"/>
      <name val="Arial"/>
      <family val="2"/>
    </font>
    <font>
      <b/>
      <sz val="11"/>
      <color indexed="8"/>
      <name val="Calibri"/>
      <family val="2"/>
    </font>
    <font>
      <b/>
      <sz val="24"/>
      <color indexed="8"/>
      <name val="Calibri"/>
      <family val="2"/>
    </font>
    <font>
      <sz val="10"/>
      <color indexed="8"/>
      <name val="Calibri"/>
      <family val="2"/>
    </font>
    <font>
      <b/>
      <sz val="22"/>
      <color indexed="8"/>
      <name val="Calibri"/>
      <family val="2"/>
    </font>
    <font>
      <sz val="8"/>
      <color indexed="8"/>
      <name val="Calibri"/>
      <family val="2"/>
    </font>
    <font>
      <b/>
      <sz val="8"/>
      <color indexed="8"/>
      <name val="Calibri"/>
      <family val="2"/>
    </font>
    <font>
      <b/>
      <sz val="20"/>
      <color indexed="8"/>
      <name val="Calibri"/>
      <family val="2"/>
    </font>
    <font>
      <b/>
      <sz val="10"/>
      <color indexed="8"/>
      <name val="Calibri"/>
      <family val="2"/>
    </font>
    <font>
      <sz val="24"/>
      <color indexed="8"/>
      <name val="Calibri"/>
      <family val="2"/>
    </font>
    <font>
      <i/>
      <sz val="8"/>
      <color indexed="8"/>
      <name val="Calibri"/>
      <family val="2"/>
    </font>
    <font>
      <sz val="8"/>
      <color indexed="81"/>
      <name val="Tahoma"/>
      <family val="2"/>
    </font>
    <font>
      <b/>
      <sz val="14"/>
      <color indexed="8"/>
      <name val="Calibri"/>
      <family val="2"/>
    </font>
    <font>
      <sz val="12"/>
      <color indexed="8"/>
      <name val="Calibri"/>
      <family val="2"/>
    </font>
    <font>
      <sz val="14"/>
      <color indexed="8"/>
      <name val="Calibri"/>
      <family val="2"/>
    </font>
    <font>
      <b/>
      <sz val="16"/>
      <color indexed="8"/>
      <name val="Calibri"/>
      <family val="2"/>
    </font>
    <font>
      <sz val="9"/>
      <color indexed="8"/>
      <name val="Arial"/>
      <family val="2"/>
    </font>
    <font>
      <b/>
      <sz val="18"/>
      <color indexed="8"/>
      <name val="Calibri"/>
      <family val="2"/>
    </font>
    <font>
      <sz val="9"/>
      <color indexed="81"/>
      <name val="Tahoma"/>
      <family val="2"/>
    </font>
    <font>
      <b/>
      <sz val="18"/>
      <color indexed="10"/>
      <name val="Calibri"/>
      <family val="2"/>
    </font>
    <font>
      <sz val="10"/>
      <color indexed="9"/>
      <name val="Calibri"/>
      <family val="2"/>
    </font>
    <font>
      <b/>
      <sz val="10"/>
      <color indexed="9"/>
      <name val="Calibri"/>
      <family val="2"/>
    </font>
    <font>
      <b/>
      <u/>
      <sz val="8"/>
      <color indexed="17"/>
      <name val="Calibri"/>
      <family val="2"/>
    </font>
    <font>
      <b/>
      <u/>
      <sz val="8"/>
      <color indexed="53"/>
      <name val="Calibri"/>
      <family val="2"/>
    </font>
    <font>
      <b/>
      <sz val="9"/>
      <color indexed="81"/>
      <name val="Tahoma"/>
      <family val="2"/>
    </font>
    <font>
      <sz val="11"/>
      <color indexed="9"/>
      <name val="Calibri"/>
      <family val="2"/>
    </font>
    <font>
      <sz val="11"/>
      <color theme="0"/>
      <name val="Calibri"/>
      <family val="2"/>
      <scheme val="minor"/>
    </font>
    <font>
      <b/>
      <sz val="11"/>
      <color theme="1"/>
      <name val="Calibri"/>
      <family val="2"/>
      <scheme val="minor"/>
    </font>
    <font>
      <sz val="10"/>
      <color theme="1"/>
      <name val="Calibri"/>
      <family val="2"/>
      <scheme val="minor"/>
    </font>
    <font>
      <i/>
      <sz val="10"/>
      <color theme="0"/>
      <name val="Calibri"/>
      <family val="2"/>
      <scheme val="minor"/>
    </font>
    <font>
      <i/>
      <sz val="11"/>
      <color theme="1"/>
      <name val="Calibri"/>
      <family val="2"/>
      <scheme val="minor"/>
    </font>
    <font>
      <sz val="9"/>
      <color theme="1"/>
      <name val="Arial"/>
      <family val="2"/>
    </font>
    <font>
      <sz val="8"/>
      <color theme="1"/>
      <name val="Calibri"/>
      <family val="2"/>
      <scheme val="minor"/>
    </font>
    <font>
      <sz val="12"/>
      <color theme="1"/>
      <name val="Calibri"/>
      <family val="2"/>
      <scheme val="minor"/>
    </font>
    <font>
      <b/>
      <sz val="8"/>
      <color theme="1"/>
      <name val="Calibri"/>
      <family val="2"/>
      <scheme val="minor"/>
    </font>
    <font>
      <sz val="10"/>
      <color theme="0"/>
      <name val="Calibri"/>
      <family val="2"/>
      <scheme val="minor"/>
    </font>
    <font>
      <b/>
      <sz val="8"/>
      <color theme="0"/>
      <name val="Calibri"/>
      <family val="2"/>
    </font>
    <font>
      <b/>
      <sz val="11"/>
      <color theme="0"/>
      <name val="Calibri"/>
      <family val="2"/>
    </font>
    <font>
      <b/>
      <sz val="10"/>
      <color theme="1"/>
      <name val="Calibri"/>
      <family val="2"/>
      <scheme val="minor"/>
    </font>
    <font>
      <sz val="11"/>
      <color theme="0"/>
      <name val="Calibri"/>
      <family val="2"/>
    </font>
    <font>
      <b/>
      <sz val="24"/>
      <color theme="1"/>
      <name val="Calibri"/>
      <family val="2"/>
      <scheme val="minor"/>
    </font>
    <font>
      <sz val="20"/>
      <color indexed="8"/>
      <name val="Calibri"/>
      <family val="2"/>
    </font>
    <font>
      <sz val="11"/>
      <color indexed="8"/>
      <name val="Calibri"/>
      <family val="2"/>
    </font>
    <font>
      <sz val="16"/>
      <color indexed="8"/>
      <name val="Calibri"/>
      <family val="2"/>
    </font>
    <font>
      <sz val="8"/>
      <name val="Calibri"/>
      <family val="2"/>
      <scheme val="minor"/>
    </font>
    <font>
      <sz val="8"/>
      <color theme="0"/>
      <name val="Calibri"/>
      <family val="2"/>
      <scheme val="minor"/>
    </font>
    <font>
      <b/>
      <sz val="11"/>
      <color theme="0"/>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sz val="14"/>
      <color indexed="8"/>
      <name val="Calibri"/>
      <family val="2"/>
      <scheme val="minor"/>
    </font>
    <font>
      <sz val="22"/>
      <color theme="1"/>
      <name val="Calibri"/>
      <family val="2"/>
      <scheme val="minor"/>
    </font>
    <font>
      <sz val="72"/>
      <color theme="1"/>
      <name val="Calibri"/>
      <family val="2"/>
      <scheme val="minor"/>
    </font>
    <font>
      <b/>
      <sz val="16"/>
      <color theme="1"/>
      <name val="Calibri"/>
      <family val="2"/>
      <scheme val="minor"/>
    </font>
    <font>
      <sz val="9"/>
      <color theme="1"/>
      <name val="Calibri"/>
      <family val="2"/>
      <scheme val="minor"/>
    </font>
    <font>
      <i/>
      <sz val="8"/>
      <color theme="1"/>
      <name val="Calibri"/>
      <family val="2"/>
      <scheme val="minor"/>
    </font>
    <font>
      <sz val="7"/>
      <color indexed="8"/>
      <name val="Calibri"/>
      <family val="2"/>
    </font>
    <font>
      <i/>
      <sz val="10"/>
      <color theme="1"/>
      <name val="Calibri"/>
      <family val="2"/>
      <scheme val="minor"/>
    </font>
    <font>
      <i/>
      <sz val="10"/>
      <color indexed="8"/>
      <name val="Calibri"/>
      <family val="2"/>
    </font>
    <font>
      <b/>
      <sz val="20"/>
      <color theme="1"/>
      <name val="Calibri"/>
      <family val="2"/>
      <scheme val="minor"/>
    </font>
    <font>
      <sz val="10"/>
      <name val="Calibri"/>
      <family val="2"/>
    </font>
    <font>
      <b/>
      <sz val="10"/>
      <color rgb="FFFF0000"/>
      <name val="Calibri"/>
      <family val="2"/>
    </font>
    <font>
      <b/>
      <sz val="8"/>
      <color theme="0"/>
      <name val="Calibri"/>
      <family val="2"/>
      <scheme val="minor"/>
    </font>
    <font>
      <b/>
      <sz val="7"/>
      <color theme="0"/>
      <name val="Calibri"/>
      <family val="2"/>
    </font>
    <font>
      <u/>
      <sz val="11"/>
      <color theme="10"/>
      <name val="Calibri"/>
      <family val="2"/>
      <scheme val="minor"/>
    </font>
    <font>
      <b/>
      <sz val="12"/>
      <color theme="1"/>
      <name val="Calibri"/>
      <family val="2"/>
      <scheme val="minor"/>
    </font>
    <font>
      <sz val="16"/>
      <color theme="1"/>
      <name val="Calibri"/>
      <family val="2"/>
      <scheme val="minor"/>
    </font>
    <font>
      <b/>
      <sz val="10"/>
      <name val="Calibri"/>
      <family val="2"/>
    </font>
    <font>
      <sz val="10"/>
      <name val="Arial"/>
      <family val="2"/>
    </font>
    <font>
      <sz val="9"/>
      <color indexed="8"/>
      <name val="Calibri"/>
      <family val="2"/>
    </font>
    <font>
      <sz val="9"/>
      <name val="Arial"/>
      <family val="2"/>
    </font>
  </fonts>
  <fills count="26">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9"/>
        <bgColor indexed="64"/>
      </patternFill>
    </fill>
    <fill>
      <patternFill patternType="solid">
        <fgColor indexed="17"/>
        <bgColor indexed="64"/>
      </patternFill>
    </fill>
    <fill>
      <patternFill patternType="solid">
        <fgColor rgb="FF969696"/>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4"/>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indexed="65"/>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s>
  <cellStyleXfs count="4">
    <xf numFmtId="0" fontId="0" fillId="0" borderId="0"/>
    <xf numFmtId="0" fontId="1" fillId="0" borderId="0"/>
    <xf numFmtId="0" fontId="65" fillId="0" borderId="0" applyNumberFormat="0" applyFill="0" applyBorder="0" applyAlignment="0" applyProtection="0"/>
    <xf numFmtId="0" fontId="69" fillId="0" borderId="0"/>
  </cellStyleXfs>
  <cellXfs count="683">
    <xf numFmtId="0" fontId="0" fillId="0" borderId="0" xfId="0"/>
    <xf numFmtId="0" fontId="0" fillId="0" borderId="0" xfId="0"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0" fillId="0" borderId="3" xfId="0" applyBorder="1" applyAlignment="1">
      <alignment horizontal="center" vertical="center" wrapText="1"/>
    </xf>
    <xf numFmtId="0" fontId="4" fillId="0" borderId="4" xfId="0" applyFont="1" applyBorder="1" applyAlignment="1">
      <alignment horizontal="center" vertical="center" wrapText="1"/>
    </xf>
    <xf numFmtId="14" fontId="6" fillId="0" borderId="0" xfId="0" applyNumberFormat="1" applyFont="1" applyBorder="1" applyAlignment="1">
      <alignment horizontal="left" vertical="center" wrapText="1"/>
    </xf>
    <xf numFmtId="0" fontId="6" fillId="0" borderId="0" xfId="0" applyFont="1" applyBorder="1" applyAlignment="1">
      <alignment horizontal="left" vertical="center" wrapText="1"/>
    </xf>
    <xf numFmtId="165" fontId="0" fillId="0" borderId="0" xfId="0" applyNumberFormat="1" applyAlignment="1">
      <alignment horizontal="center" vertical="center" wrapText="1"/>
    </xf>
    <xf numFmtId="1" fontId="0" fillId="0" borderId="0" xfId="0" applyNumberFormat="1" applyAlignment="1">
      <alignment horizontal="center" vertical="center" wrapText="1"/>
    </xf>
    <xf numFmtId="0" fontId="0" fillId="0" borderId="0" xfId="0" applyAlignment="1">
      <alignment wrapText="1"/>
    </xf>
    <xf numFmtId="9" fontId="0" fillId="0" borderId="0" xfId="0" applyNumberFormat="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0" xfId="0" applyAlignment="1">
      <alignment horizontal="center" vertical="center"/>
    </xf>
    <xf numFmtId="0" fontId="0" fillId="0" borderId="0" xfId="0" applyBorder="1"/>
    <xf numFmtId="0" fontId="2" fillId="0" borderId="0" xfId="0" applyFont="1" applyBorder="1" applyAlignment="1">
      <alignment horizontal="left" vertical="center" wrapText="1"/>
    </xf>
    <xf numFmtId="0" fontId="17" fillId="0" borderId="0" xfId="0" applyFont="1" applyBorder="1"/>
    <xf numFmtId="0" fontId="0" fillId="0" borderId="0" xfId="0" applyBorder="1" applyAlignment="1">
      <alignment vertical="center" wrapText="1"/>
    </xf>
    <xf numFmtId="0" fontId="17" fillId="0" borderId="0" xfId="0" applyFont="1"/>
    <xf numFmtId="0" fontId="15" fillId="0" borderId="6" xfId="0" applyFont="1" applyBorder="1" applyAlignment="1"/>
    <xf numFmtId="0" fontId="10" fillId="0" borderId="3" xfId="0" applyFont="1" applyBorder="1" applyAlignment="1">
      <alignment horizontal="right"/>
    </xf>
    <xf numFmtId="0" fontId="0" fillId="0" borderId="17" xfId="0" applyBorder="1" applyAlignment="1">
      <alignment horizontal="center" vertical="center" wrapText="1"/>
    </xf>
    <xf numFmtId="0" fontId="0" fillId="0" borderId="3" xfId="0" applyBorder="1" applyAlignment="1">
      <alignment horizontal="center" vertical="top" wrapText="1"/>
    </xf>
    <xf numFmtId="0" fontId="0" fillId="0" borderId="18" xfId="0" applyBorder="1" applyAlignment="1">
      <alignment horizontal="center" vertical="center" wrapText="1"/>
    </xf>
    <xf numFmtId="0" fontId="0" fillId="0" borderId="3" xfId="0" applyBorder="1"/>
    <xf numFmtId="0" fontId="0" fillId="0" borderId="0" xfId="0" applyBorder="1" applyAlignment="1">
      <alignment horizontal="center" vertical="center" wrapText="1"/>
    </xf>
    <xf numFmtId="0" fontId="4" fillId="0" borderId="0" xfId="0" applyFont="1" applyBorder="1" applyAlignment="1">
      <alignment horizontal="center" vertical="center" wrapText="1"/>
    </xf>
    <xf numFmtId="0" fontId="0" fillId="0" borderId="19" xfId="0" applyBorder="1" applyAlignment="1">
      <alignment horizontal="center" vertical="center" wrapText="1"/>
    </xf>
    <xf numFmtId="0" fontId="6" fillId="0" borderId="17" xfId="0" applyFont="1" applyBorder="1" applyAlignment="1">
      <alignment horizontal="left" vertical="center" wrapText="1"/>
    </xf>
    <xf numFmtId="0" fontId="6" fillId="0" borderId="3" xfId="0" applyFont="1" applyBorder="1" applyAlignment="1">
      <alignment horizontal="left" vertical="center" wrapText="1"/>
    </xf>
    <xf numFmtId="0" fontId="0" fillId="0" borderId="20" xfId="0" applyBorder="1" applyAlignment="1">
      <alignment horizontal="center" vertical="center" wrapText="1"/>
    </xf>
    <xf numFmtId="0" fontId="5" fillId="0" borderId="0" xfId="0" applyFont="1" applyBorder="1" applyAlignment="1">
      <alignment horizontal="center" vertical="center"/>
    </xf>
    <xf numFmtId="0" fontId="0" fillId="0" borderId="0" xfId="0" applyBorder="1" applyAlignment="1">
      <alignment horizontal="left" vertical="center" wrapText="1"/>
    </xf>
    <xf numFmtId="0" fontId="13" fillId="0" borderId="0" xfId="0" applyFont="1" applyBorder="1" applyAlignment="1">
      <alignment horizontal="left" vertical="center" wrapText="1"/>
    </xf>
    <xf numFmtId="0" fontId="5" fillId="0" borderId="0" xfId="0" applyFont="1" applyBorder="1" applyAlignment="1">
      <alignment horizontal="center" vertical="center" wrapText="1"/>
    </xf>
    <xf numFmtId="0" fontId="18" fillId="0" borderId="0" xfId="0" applyFont="1" applyBorder="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horizontal="center" vertical="center" wrapText="1"/>
    </xf>
    <xf numFmtId="0" fontId="6" fillId="0" borderId="18" xfId="0" applyFont="1" applyBorder="1" applyAlignment="1">
      <alignment horizontal="left" vertical="center" wrapText="1"/>
    </xf>
    <xf numFmtId="0" fontId="0" fillId="0" borderId="19" xfId="0" applyBorder="1" applyAlignment="1">
      <alignment horizontal="center" vertical="center" wrapText="1"/>
    </xf>
    <xf numFmtId="0" fontId="0" fillId="0" borderId="0" xfId="0" applyBorder="1" applyAlignment="1">
      <alignment horizontal="center"/>
    </xf>
    <xf numFmtId="0" fontId="0" fillId="0" borderId="19" xfId="0" applyBorder="1" applyAlignment="1">
      <alignment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166" fontId="0" fillId="0" borderId="0" xfId="0" applyNumberFormat="1" applyAlignment="1">
      <alignment horizontal="center" vertical="center" wrapText="1"/>
    </xf>
    <xf numFmtId="0" fontId="4" fillId="0" borderId="21" xfId="0" applyFont="1" applyBorder="1" applyAlignment="1">
      <alignment horizontal="left" vertical="center" wrapText="1"/>
    </xf>
    <xf numFmtId="0" fontId="4" fillId="0" borderId="20" xfId="0" applyFont="1" applyBorder="1" applyAlignment="1">
      <alignment horizontal="left" vertical="center" wrapText="1"/>
    </xf>
    <xf numFmtId="0" fontId="0" fillId="0" borderId="19" xfId="0" applyBorder="1" applyAlignment="1">
      <alignment horizontal="center" vertical="center"/>
    </xf>
    <xf numFmtId="0" fontId="4" fillId="0" borderId="17" xfId="0" applyFont="1" applyBorder="1" applyAlignment="1">
      <alignment horizontal="left" vertical="center" wrapText="1"/>
    </xf>
    <xf numFmtId="0" fontId="0" fillId="0" borderId="18" xfId="0" applyBorder="1"/>
    <xf numFmtId="1" fontId="0" fillId="0" borderId="21" xfId="0" applyNumberFormat="1" applyBorder="1" applyAlignment="1">
      <alignment horizontal="center" vertical="center" wrapText="1"/>
    </xf>
    <xf numFmtId="0" fontId="4" fillId="0" borderId="23" xfId="0" applyFont="1" applyBorder="1" applyAlignment="1">
      <alignment horizontal="center" vertical="center" wrapText="1"/>
    </xf>
    <xf numFmtId="0" fontId="0" fillId="0" borderId="23" xfId="0" applyBorder="1" applyAlignment="1">
      <alignment horizontal="center" vertical="center" wrapText="1"/>
    </xf>
    <xf numFmtId="0" fontId="0" fillId="0" borderId="23" xfId="0" applyBorder="1"/>
    <xf numFmtId="0" fontId="0" fillId="0" borderId="22" xfId="0" applyBorder="1"/>
    <xf numFmtId="1" fontId="0" fillId="0" borderId="20" xfId="0" applyNumberFormat="1" applyBorder="1" applyAlignment="1">
      <alignment horizontal="center" vertical="center" wrapText="1"/>
    </xf>
    <xf numFmtId="166" fontId="0" fillId="0" borderId="0" xfId="0" applyNumberFormat="1" applyBorder="1" applyAlignment="1">
      <alignment horizontal="center" vertical="center" wrapText="1"/>
    </xf>
    <xf numFmtId="0" fontId="0" fillId="0" borderId="19" xfId="0" applyBorder="1"/>
    <xf numFmtId="1" fontId="0" fillId="0" borderId="17" xfId="0" applyNumberFormat="1" applyBorder="1" applyAlignment="1">
      <alignment horizontal="center" vertical="center" wrapText="1"/>
    </xf>
    <xf numFmtId="0" fontId="4" fillId="0" borderId="3"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1" fontId="0" fillId="0" borderId="0" xfId="0" applyNumberFormat="1" applyBorder="1" applyAlignment="1">
      <alignment horizontal="center" vertical="center" wrapText="1"/>
    </xf>
    <xf numFmtId="0" fontId="0" fillId="0" borderId="20" xfId="0" applyBorder="1" applyAlignment="1">
      <alignment horizontal="left" vertical="center" wrapText="1"/>
    </xf>
    <xf numFmtId="0" fontId="0" fillId="0" borderId="24" xfId="0" applyBorder="1" applyAlignment="1">
      <alignment horizontal="center" vertical="center" wrapText="1"/>
    </xf>
    <xf numFmtId="0" fontId="5" fillId="0" borderId="19" xfId="0" applyFont="1" applyBorder="1" applyAlignment="1">
      <alignment horizontal="center" vertical="center" wrapText="1"/>
    </xf>
    <xf numFmtId="0" fontId="0" fillId="0" borderId="19" xfId="0" applyBorder="1" applyAlignment="1">
      <alignment horizontal="lef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0" fillId="0" borderId="0" xfId="0" applyFont="1" applyBorder="1" applyAlignment="1">
      <alignment wrapText="1"/>
    </xf>
    <xf numFmtId="0" fontId="4" fillId="0" borderId="28"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12" xfId="0" applyFont="1" applyBorder="1" applyAlignment="1">
      <alignment horizontal="center" vertical="center" wrapText="1"/>
    </xf>
    <xf numFmtId="0" fontId="0" fillId="0" borderId="25" xfId="0" applyBorder="1" applyAlignment="1">
      <alignment horizontal="center" vertical="center" wrapText="1"/>
    </xf>
    <xf numFmtId="164" fontId="29" fillId="0" borderId="0" xfId="0" applyNumberFormat="1" applyFont="1" applyAlignment="1">
      <alignment horizontal="center" vertical="center" wrapText="1"/>
    </xf>
    <xf numFmtId="0" fontId="30" fillId="6" borderId="4" xfId="0" applyFont="1" applyFill="1" applyBorder="1" applyAlignment="1">
      <alignment horizontal="center" vertical="center" wrapText="1"/>
    </xf>
    <xf numFmtId="0" fontId="29" fillId="0" borderId="13"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5" xfId="0" applyFont="1" applyBorder="1" applyAlignment="1">
      <alignment horizontal="center" vertical="center" wrapText="1"/>
    </xf>
    <xf numFmtId="0" fontId="30" fillId="6" borderId="15" xfId="0" applyFont="1" applyFill="1" applyBorder="1" applyAlignment="1">
      <alignment horizontal="center" vertical="center" wrapText="1"/>
    </xf>
    <xf numFmtId="0" fontId="30" fillId="6" borderId="7" xfId="0" applyFont="1" applyFill="1" applyBorder="1" applyAlignment="1">
      <alignment horizontal="center" vertical="center" wrapText="1"/>
    </xf>
    <xf numFmtId="14" fontId="29" fillId="0" borderId="14" xfId="0" applyNumberFormat="1" applyFont="1" applyBorder="1" applyAlignment="1">
      <alignment horizontal="center" vertical="center" wrapText="1"/>
    </xf>
    <xf numFmtId="14" fontId="29" fillId="0" borderId="16" xfId="0" applyNumberFormat="1" applyFont="1" applyBorder="1" applyAlignment="1">
      <alignment horizontal="center" vertical="center" wrapText="1"/>
    </xf>
    <xf numFmtId="16" fontId="29" fillId="0" borderId="16" xfId="0" applyNumberFormat="1" applyFont="1" applyBorder="1" applyAlignment="1">
      <alignment horizontal="center" vertical="center" wrapText="1"/>
    </xf>
    <xf numFmtId="0" fontId="0" fillId="0" borderId="15" xfId="0" applyBorder="1" applyAlignment="1">
      <alignment horizontal="center" vertical="center" wrapText="1"/>
    </xf>
    <xf numFmtId="14" fontId="0" fillId="0" borderId="0" xfId="0" applyNumberFormat="1" applyAlignment="1">
      <alignment horizontal="center" vertical="center" wrapText="1"/>
    </xf>
    <xf numFmtId="0" fontId="28" fillId="0" borderId="3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33" fillId="0" borderId="0" xfId="0" applyFont="1"/>
    <xf numFmtId="0" fontId="6" fillId="0" borderId="0" xfId="0" applyFont="1" applyFill="1" applyAlignment="1">
      <alignment horizontal="center" vertical="center"/>
    </xf>
    <xf numFmtId="0" fontId="34" fillId="0" borderId="39" xfId="0" applyFont="1" applyBorder="1" applyAlignment="1">
      <alignment horizontal="center" vertical="center" wrapText="1"/>
    </xf>
    <xf numFmtId="0" fontId="0" fillId="0" borderId="0" xfId="0" applyFill="1"/>
    <xf numFmtId="0" fontId="35" fillId="9" borderId="1" xfId="0" applyFont="1" applyFill="1" applyBorder="1" applyAlignment="1">
      <alignment horizontal="center" vertical="center" wrapText="1"/>
    </xf>
    <xf numFmtId="164" fontId="29" fillId="0" borderId="1" xfId="0" applyNumberFormat="1" applyFont="1" applyBorder="1" applyAlignment="1">
      <alignment horizontal="center" vertical="center" wrapText="1"/>
    </xf>
    <xf numFmtId="0" fontId="29" fillId="0" borderId="0" xfId="0" applyFont="1" applyBorder="1" applyAlignment="1">
      <alignment vertical="center" wrapText="1"/>
    </xf>
    <xf numFmtId="14" fontId="29" fillId="0" borderId="0" xfId="0" applyNumberFormat="1" applyFont="1" applyBorder="1" applyAlignment="1">
      <alignment horizontal="left" vertical="center" wrapText="1"/>
    </xf>
    <xf numFmtId="0" fontId="33" fillId="9" borderId="1" xfId="0" applyFont="1" applyFill="1" applyBorder="1" applyAlignment="1">
      <alignment horizontal="center" vertical="center" wrapText="1"/>
    </xf>
    <xf numFmtId="164" fontId="35" fillId="9" borderId="1" xfId="0" applyNumberFormat="1" applyFont="1" applyFill="1" applyBorder="1" applyAlignment="1">
      <alignment horizontal="center" vertical="center" wrapText="1"/>
    </xf>
    <xf numFmtId="0" fontId="33" fillId="0" borderId="0" xfId="0" applyFont="1" applyAlignment="1">
      <alignment horizontal="center" vertical="center" wrapText="1"/>
    </xf>
    <xf numFmtId="0" fontId="33" fillId="0"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10" borderId="1" xfId="0" applyFont="1" applyFill="1" applyBorder="1" applyAlignment="1">
      <alignment horizontal="center" vertical="center" wrapText="1"/>
    </xf>
    <xf numFmtId="0" fontId="33" fillId="11" borderId="1" xfId="0" applyFont="1" applyFill="1" applyBorder="1" applyAlignment="1">
      <alignment horizontal="center" vertical="center" wrapText="1"/>
    </xf>
    <xf numFmtId="0" fontId="33" fillId="12" borderId="1" xfId="0" applyFont="1" applyFill="1" applyBorder="1" applyAlignment="1">
      <alignment vertical="center" wrapText="1"/>
    </xf>
    <xf numFmtId="0" fontId="33" fillId="13" borderId="1" xfId="0" applyFont="1" applyFill="1" applyBorder="1" applyAlignment="1">
      <alignment horizontal="center" vertical="center" wrapText="1"/>
    </xf>
    <xf numFmtId="0" fontId="0" fillId="0" borderId="0" xfId="0" applyAlignment="1">
      <alignment horizontal="right" vertical="center" wrapText="1"/>
    </xf>
    <xf numFmtId="0" fontId="29" fillId="14" borderId="29" xfId="0" applyFont="1" applyFill="1" applyBorder="1" applyAlignment="1">
      <alignment horizontal="center" vertical="center" wrapText="1"/>
    </xf>
    <xf numFmtId="0" fontId="29" fillId="14" borderId="5" xfId="0" applyFont="1" applyFill="1" applyBorder="1" applyAlignment="1">
      <alignment horizontal="center" vertical="center" wrapText="1"/>
    </xf>
    <xf numFmtId="0" fontId="29" fillId="14" borderId="34" xfId="0" applyFont="1" applyFill="1" applyBorder="1" applyAlignment="1">
      <alignment vertical="center" wrapText="1"/>
    </xf>
    <xf numFmtId="165" fontId="28" fillId="0" borderId="0" xfId="0" applyNumberFormat="1" applyFont="1" applyBorder="1" applyAlignment="1">
      <alignment horizontal="center" vertical="center" wrapText="1"/>
    </xf>
    <xf numFmtId="0" fontId="34" fillId="0" borderId="0" xfId="0" applyFont="1" applyBorder="1" applyAlignment="1">
      <alignment horizontal="center" vertical="center" wrapText="1"/>
    </xf>
    <xf numFmtId="0" fontId="6" fillId="3" borderId="32" xfId="0" applyFont="1" applyFill="1" applyBorder="1" applyAlignment="1">
      <alignment horizontal="center" vertical="top" wrapText="1"/>
    </xf>
    <xf numFmtId="0" fontId="6" fillId="3" borderId="33" xfId="0" applyFont="1" applyFill="1" applyBorder="1" applyAlignment="1">
      <alignment horizontal="center" vertical="top" wrapText="1"/>
    </xf>
    <xf numFmtId="0" fontId="29" fillId="14" borderId="32" xfId="0" applyFont="1" applyFill="1" applyBorder="1" applyAlignment="1">
      <alignment vertical="center" wrapText="1"/>
    </xf>
    <xf numFmtId="0" fontId="0" fillId="0" borderId="0" xfId="0" applyNumberFormat="1" applyAlignment="1">
      <alignment horizontal="center" vertical="center" wrapText="1"/>
    </xf>
    <xf numFmtId="0" fontId="10" fillId="0" borderId="0" xfId="0" applyFont="1" applyBorder="1" applyAlignment="1">
      <alignment horizontal="right"/>
    </xf>
    <xf numFmtId="0" fontId="6" fillId="0" borderId="0" xfId="0" applyFont="1" applyBorder="1" applyAlignment="1">
      <alignment horizontal="right"/>
    </xf>
    <xf numFmtId="0" fontId="4" fillId="0" borderId="54"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10" fillId="0" borderId="0" xfId="0" applyFont="1" applyBorder="1" applyAlignment="1" applyProtection="1"/>
    <xf numFmtId="0" fontId="0" fillId="0" borderId="0" xfId="0" applyProtection="1"/>
    <xf numFmtId="0" fontId="10" fillId="0" borderId="0" xfId="0" applyFont="1" applyBorder="1" applyAlignment="1" applyProtection="1">
      <protection locked="0"/>
    </xf>
    <xf numFmtId="0" fontId="0" fillId="0" borderId="0" xfId="0" applyProtection="1">
      <protection locked="0"/>
    </xf>
    <xf numFmtId="164" fontId="0" fillId="0" borderId="0" xfId="0" applyNumberFormat="1" applyProtection="1">
      <protection locked="0"/>
    </xf>
    <xf numFmtId="0" fontId="10" fillId="0" borderId="0" xfId="0" applyFont="1" applyBorder="1" applyAlignment="1" applyProtection="1">
      <alignment horizontal="right"/>
      <protection locked="0"/>
    </xf>
    <xf numFmtId="0" fontId="0" fillId="0" borderId="0" xfId="0" applyAlignment="1" applyProtection="1">
      <alignment horizontal="center" vertical="center"/>
      <protection locked="0"/>
    </xf>
    <xf numFmtId="0" fontId="0" fillId="0" borderId="10" xfId="0" applyBorder="1" applyAlignment="1" applyProtection="1">
      <alignment horizontal="center" vertical="center" wrapText="1"/>
      <protection locked="0"/>
    </xf>
    <xf numFmtId="14" fontId="0" fillId="0" borderId="1" xfId="0" applyNumberForma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38" xfId="0" applyBorder="1" applyAlignment="1" applyProtection="1">
      <alignment horizontal="center" vertical="center" wrapText="1"/>
      <protection locked="0"/>
    </xf>
    <xf numFmtId="1" fontId="0" fillId="7" borderId="16" xfId="0" applyNumberFormat="1" applyFill="1" applyBorder="1" applyAlignment="1">
      <alignment horizontal="center" vertical="center" wrapText="1"/>
    </xf>
    <xf numFmtId="14" fontId="0" fillId="0" borderId="37" xfId="0" applyNumberFormat="1" applyBorder="1" applyAlignment="1" applyProtection="1">
      <alignment horizontal="center" vertical="center" wrapText="1"/>
      <protection locked="0"/>
    </xf>
    <xf numFmtId="0" fontId="0" fillId="8" borderId="0" xfId="0" applyFill="1" applyAlignment="1">
      <alignment horizontal="center" vertical="center" wrapText="1"/>
    </xf>
    <xf numFmtId="0" fontId="28" fillId="8" borderId="0" xfId="0" applyFont="1" applyFill="1" applyBorder="1" applyAlignment="1">
      <alignment horizontal="center" vertical="center" wrapText="1"/>
    </xf>
    <xf numFmtId="0" fontId="34" fillId="8" borderId="0" xfId="0" applyFont="1" applyFill="1" applyBorder="1" applyAlignment="1">
      <alignment horizontal="center" vertical="center" wrapText="1"/>
    </xf>
    <xf numFmtId="165" fontId="28" fillId="8" borderId="0" xfId="0" applyNumberFormat="1" applyFont="1" applyFill="1" applyBorder="1" applyAlignment="1">
      <alignment horizontal="center" vertical="center" wrapText="1"/>
    </xf>
    <xf numFmtId="0" fontId="28" fillId="0" borderId="0" xfId="0" applyFont="1" applyBorder="1" applyAlignment="1">
      <alignment horizontal="center" vertical="center" wrapText="1"/>
    </xf>
    <xf numFmtId="0" fontId="0" fillId="17" borderId="23" xfId="0" applyFill="1" applyBorder="1" applyAlignment="1">
      <alignment horizontal="center" vertical="center" wrapText="1"/>
    </xf>
    <xf numFmtId="0" fontId="0" fillId="17" borderId="0" xfId="0" applyFill="1" applyBorder="1" applyAlignment="1">
      <alignment horizontal="center" vertical="center" wrapText="1"/>
    </xf>
    <xf numFmtId="164" fontId="4" fillId="0" borderId="36" xfId="0" applyNumberFormat="1" applyFont="1" applyBorder="1" applyAlignment="1" applyProtection="1">
      <alignment horizontal="center" vertical="center" wrapText="1"/>
      <protection locked="0"/>
    </xf>
    <xf numFmtId="0" fontId="9" fillId="0" borderId="59" xfId="0" applyFont="1" applyBorder="1" applyAlignment="1" applyProtection="1">
      <alignment horizontal="center" vertical="center" wrapText="1"/>
      <protection locked="0"/>
    </xf>
    <xf numFmtId="0" fontId="4" fillId="8" borderId="0" xfId="0" applyFont="1" applyFill="1" applyBorder="1" applyAlignment="1" applyProtection="1">
      <alignment horizontal="center" vertical="center" wrapText="1"/>
      <protection locked="0"/>
    </xf>
    <xf numFmtId="0" fontId="3" fillId="0" borderId="36" xfId="0" applyFont="1" applyBorder="1" applyAlignment="1" applyProtection="1">
      <alignment horizontal="center" vertical="center"/>
      <protection locked="0"/>
    </xf>
    <xf numFmtId="0" fontId="33" fillId="0" borderId="0" xfId="0" applyFont="1" applyProtection="1">
      <protection locked="0"/>
    </xf>
    <xf numFmtId="14" fontId="6" fillId="8" borderId="0" xfId="0" applyNumberFormat="1" applyFont="1" applyFill="1" applyBorder="1" applyAlignment="1" applyProtection="1">
      <alignment horizontal="center" vertical="center" wrapText="1"/>
      <protection locked="0"/>
    </xf>
    <xf numFmtId="0" fontId="6" fillId="0" borderId="0" xfId="0" applyFont="1" applyBorder="1" applyAlignment="1" applyProtection="1">
      <alignment horizontal="right"/>
      <protection locked="0"/>
    </xf>
    <xf numFmtId="0" fontId="6" fillId="0" borderId="25"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164" fontId="6" fillId="0" borderId="2"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33" fillId="0" borderId="2" xfId="0" applyFont="1" applyBorder="1" applyAlignment="1">
      <alignment horizontal="center" vertical="center"/>
    </xf>
    <xf numFmtId="164" fontId="6" fillId="0" borderId="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164" fontId="6" fillId="0" borderId="1" xfId="0" applyNumberFormat="1" applyFont="1" applyBorder="1" applyAlignment="1" applyProtection="1">
      <alignment horizontal="center" vertical="center"/>
      <protection locked="0"/>
    </xf>
    <xf numFmtId="1" fontId="6" fillId="7" borderId="1" xfId="0" applyNumberFormat="1" applyFont="1" applyFill="1" applyBorder="1" applyAlignment="1" applyProtection="1">
      <alignment horizontal="center" vertical="center" wrapText="1"/>
    </xf>
    <xf numFmtId="0" fontId="33" fillId="0" borderId="1" xfId="0" applyFont="1" applyBorder="1" applyAlignment="1">
      <alignment horizontal="center" vertical="center"/>
    </xf>
    <xf numFmtId="0" fontId="29" fillId="0" borderId="11" xfId="0" applyFont="1" applyBorder="1" applyAlignment="1">
      <alignment horizontal="center" vertical="center" wrapText="1"/>
    </xf>
    <xf numFmtId="0" fontId="30" fillId="6" borderId="13" xfId="0" applyFont="1" applyFill="1" applyBorder="1" applyAlignment="1">
      <alignment horizontal="center" vertical="center" wrapText="1"/>
    </xf>
    <xf numFmtId="0" fontId="0" fillId="0" borderId="2"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27" fillId="6" borderId="9"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0" fillId="0" borderId="7" xfId="0" applyBorder="1" applyAlignment="1" applyProtection="1">
      <alignment horizontal="center" vertical="center" wrapText="1"/>
      <protection locked="0"/>
    </xf>
    <xf numFmtId="0" fontId="10" fillId="0" borderId="0" xfId="0" applyFont="1" applyBorder="1" applyAlignment="1">
      <alignment horizontal="right"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1" fontId="0" fillId="7" borderId="25" xfId="0" applyNumberFormat="1" applyFill="1" applyBorder="1" applyAlignment="1">
      <alignment horizontal="center" vertical="center" wrapText="1"/>
    </xf>
    <xf numFmtId="0" fontId="0" fillId="0" borderId="53" xfId="0" applyBorder="1" applyAlignment="1">
      <alignment horizontal="center" vertical="center" wrapText="1"/>
    </xf>
    <xf numFmtId="0" fontId="45" fillId="7" borderId="4" xfId="0" applyFont="1" applyFill="1" applyBorder="1" applyAlignment="1">
      <alignment horizontal="center" vertical="center" wrapText="1"/>
    </xf>
    <xf numFmtId="0" fontId="45" fillId="7" borderId="7" xfId="0" applyFont="1" applyFill="1" applyBorder="1" applyAlignment="1">
      <alignment horizontal="center" vertical="center" wrapText="1"/>
    </xf>
    <xf numFmtId="14" fontId="29" fillId="0" borderId="25" xfId="0" applyNumberFormat="1" applyFont="1" applyBorder="1" applyAlignment="1">
      <alignment horizontal="center" vertical="center" wrapText="1"/>
    </xf>
    <xf numFmtId="0" fontId="9" fillId="0" borderId="0" xfId="0" applyFont="1" applyBorder="1" applyAlignment="1">
      <alignment horizontal="right" vertical="center" wrapText="1"/>
    </xf>
    <xf numFmtId="0" fontId="0" fillId="0" borderId="8" xfId="0" applyBorder="1" applyAlignment="1">
      <alignment horizontal="center" vertical="center" wrapText="1"/>
    </xf>
    <xf numFmtId="0" fontId="0" fillId="16" borderId="22" xfId="0" applyFill="1" applyBorder="1" applyAlignment="1">
      <alignment horizontal="center" vertical="center" wrapText="1"/>
    </xf>
    <xf numFmtId="0" fontId="0" fillId="16" borderId="19" xfId="0" applyFill="1" applyBorder="1" applyAlignment="1">
      <alignment horizontal="center" vertical="center" wrapText="1"/>
    </xf>
    <xf numFmtId="0" fontId="0" fillId="16" borderId="18" xfId="0" applyFill="1" applyBorder="1" applyAlignment="1">
      <alignment horizontal="center" vertical="center" wrapText="1"/>
    </xf>
    <xf numFmtId="164" fontId="33" fillId="0" borderId="61" xfId="0" applyNumberFormat="1" applyFont="1" applyBorder="1" applyAlignment="1" applyProtection="1">
      <alignment horizontal="center" vertical="center" wrapText="1"/>
      <protection locked="0"/>
    </xf>
    <xf numFmtId="164" fontId="33" fillId="0" borderId="26" xfId="0" applyNumberFormat="1" applyFont="1" applyBorder="1" applyAlignment="1" applyProtection="1">
      <alignment horizontal="center" vertical="center" wrapText="1"/>
      <protection locked="0"/>
    </xf>
    <xf numFmtId="164" fontId="33" fillId="0" borderId="27" xfId="0" applyNumberFormat="1" applyFont="1" applyBorder="1" applyAlignment="1" applyProtection="1">
      <alignment horizontal="center" vertical="center" wrapText="1"/>
      <protection locked="0"/>
    </xf>
    <xf numFmtId="14" fontId="0" fillId="0" borderId="31" xfId="0" applyNumberFormat="1" applyBorder="1" applyAlignment="1" applyProtection="1">
      <alignment horizontal="center" vertical="center" wrapText="1"/>
      <protection locked="0"/>
    </xf>
    <xf numFmtId="9" fontId="27" fillId="0" borderId="0" xfId="0" applyNumberFormat="1" applyFont="1" applyAlignment="1">
      <alignment horizontal="center" vertical="center" wrapText="1"/>
    </xf>
    <xf numFmtId="0" fontId="6" fillId="0" borderId="0" xfId="0" applyFont="1" applyBorder="1" applyAlignment="1">
      <alignment horizontal="left" vertical="center" wrapText="1"/>
    </xf>
    <xf numFmtId="0" fontId="7" fillId="0" borderId="0" xfId="0" applyFont="1" applyBorder="1" applyAlignment="1"/>
    <xf numFmtId="0" fontId="35" fillId="0" borderId="0" xfId="0" applyFont="1" applyAlignment="1"/>
    <xf numFmtId="0" fontId="27" fillId="6" borderId="26" xfId="0" applyFont="1" applyFill="1" applyBorder="1" applyAlignment="1">
      <alignment horizontal="center" vertical="center" wrapText="1"/>
    </xf>
    <xf numFmtId="0" fontId="45" fillId="7" borderId="27" xfId="0" applyFont="1" applyFill="1" applyBorder="1" applyAlignment="1">
      <alignment horizontal="center" vertical="center" wrapText="1"/>
    </xf>
    <xf numFmtId="0" fontId="0" fillId="0" borderId="40"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30" fillId="6" borderId="29" xfId="0" applyFont="1" applyFill="1" applyBorder="1" applyAlignment="1">
      <alignment horizontal="center" vertical="center" wrapText="1"/>
    </xf>
    <xf numFmtId="0" fontId="30" fillId="6" borderId="5" xfId="0" applyFont="1" applyFill="1" applyBorder="1" applyAlignment="1">
      <alignment horizontal="center" vertical="center" wrapText="1"/>
    </xf>
    <xf numFmtId="0" fontId="30" fillId="6" borderId="30" xfId="0" applyFont="1" applyFill="1" applyBorder="1" applyAlignment="1">
      <alignment horizontal="center" vertical="center" wrapText="1"/>
    </xf>
    <xf numFmtId="0" fontId="9" fillId="0" borderId="35" xfId="0" applyFont="1" applyBorder="1" applyAlignment="1" applyProtection="1">
      <alignment horizontal="center" vertical="center" wrapText="1"/>
      <protection locked="0"/>
    </xf>
    <xf numFmtId="14" fontId="6" fillId="0" borderId="1" xfId="0" applyNumberFormat="1" applyFont="1" applyBorder="1" applyAlignment="1" applyProtection="1">
      <alignment horizontal="center" vertical="center" wrapText="1"/>
      <protection locked="0"/>
    </xf>
    <xf numFmtId="14" fontId="0" fillId="0" borderId="36" xfId="0" applyNumberFormat="1" applyBorder="1" applyAlignment="1">
      <alignment horizontal="center" vertical="center" wrapText="1"/>
    </xf>
    <xf numFmtId="164" fontId="0" fillId="0" borderId="0" xfId="0" applyNumberFormat="1" applyAlignment="1" applyProtection="1">
      <alignment horizontal="center" vertical="center" wrapText="1"/>
      <protection locked="0"/>
    </xf>
    <xf numFmtId="165" fontId="0" fillId="0" borderId="0" xfId="0" applyNumberFormat="1" applyAlignment="1" applyProtection="1">
      <alignment horizontal="center" vertical="center" wrapText="1"/>
      <protection locked="0"/>
    </xf>
    <xf numFmtId="0" fontId="47" fillId="0" borderId="0" xfId="0" applyFont="1" applyFill="1" applyBorder="1" applyAlignment="1">
      <alignment vertical="center" wrapText="1"/>
    </xf>
    <xf numFmtId="0" fontId="48" fillId="0" borderId="0" xfId="0" applyFont="1" applyFill="1" applyBorder="1" applyAlignment="1">
      <alignment vertical="center" wrapText="1"/>
    </xf>
    <xf numFmtId="167" fontId="49" fillId="0" borderId="0" xfId="0" applyNumberFormat="1" applyFont="1" applyFill="1" applyBorder="1" applyAlignment="1">
      <alignment vertical="center" wrapText="1"/>
    </xf>
    <xf numFmtId="0" fontId="48" fillId="0" borderId="7" xfId="0" applyFont="1" applyBorder="1" applyAlignment="1">
      <alignment horizontal="center" vertical="center" wrapText="1"/>
    </xf>
    <xf numFmtId="14" fontId="0" fillId="0" borderId="10" xfId="0" applyNumberFormat="1" applyBorder="1" applyAlignment="1" applyProtection="1">
      <alignment horizontal="center" vertical="center" wrapText="1"/>
      <protection locked="0"/>
    </xf>
    <xf numFmtId="0" fontId="32" fillId="0" borderId="23" xfId="0" applyFont="1" applyBorder="1"/>
    <xf numFmtId="0" fontId="0" fillId="0" borderId="0" xfId="0" applyBorder="1" applyAlignment="1">
      <alignment horizontal="center" vertical="center" wrapText="1"/>
    </xf>
    <xf numFmtId="0" fontId="0" fillId="0" borderId="20" xfId="0" applyBorder="1" applyAlignment="1">
      <alignment horizontal="center" vertical="center" wrapText="1"/>
    </xf>
    <xf numFmtId="0" fontId="32" fillId="0" borderId="3" xfId="0" applyFont="1" applyBorder="1"/>
    <xf numFmtId="0" fontId="0" fillId="0" borderId="1" xfId="0" applyBorder="1" applyAlignment="1">
      <alignment horizontal="center" vertical="center" wrapText="1"/>
    </xf>
    <xf numFmtId="0" fontId="0" fillId="0" borderId="19" xfId="0" applyBorder="1" applyAlignment="1">
      <alignment horizontal="center" vertical="center" wrapText="1"/>
    </xf>
    <xf numFmtId="0" fontId="6" fillId="0" borderId="0" xfId="0" applyFont="1" applyFill="1" applyAlignment="1">
      <alignment horizontal="center" vertical="center" wrapText="1"/>
    </xf>
    <xf numFmtId="0" fontId="33" fillId="0" borderId="0" xfId="0" applyFont="1" applyFill="1" applyAlignment="1">
      <alignment horizontal="center" vertical="center"/>
    </xf>
    <xf numFmtId="9" fontId="6" fillId="0" borderId="0" xfId="0" applyNumberFormat="1" applyFont="1" applyFill="1" applyAlignment="1">
      <alignment horizontal="center" vertical="center" wrapText="1"/>
    </xf>
    <xf numFmtId="0" fontId="6" fillId="0" borderId="1" xfId="0"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0" fontId="6" fillId="0" borderId="10" xfId="0" applyFont="1" applyFill="1" applyBorder="1" applyAlignment="1">
      <alignment horizontal="center" vertical="center" wrapText="1"/>
    </xf>
    <xf numFmtId="9" fontId="6" fillId="0" borderId="10" xfId="0" applyNumberFormat="1"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0" fillId="0" borderId="4" xfId="0" applyBorder="1" applyAlignment="1">
      <alignment horizontal="center" vertical="center" wrapText="1"/>
    </xf>
    <xf numFmtId="9" fontId="6" fillId="0" borderId="4" xfId="0" applyNumberFormat="1"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0" xfId="0" applyFont="1" applyFill="1" applyBorder="1" applyAlignment="1">
      <alignment vertical="center" wrapText="1"/>
    </xf>
    <xf numFmtId="0" fontId="0" fillId="0" borderId="2" xfId="0" applyBorder="1" applyAlignment="1">
      <alignment horizontal="center" vertical="center" wrapText="1"/>
    </xf>
    <xf numFmtId="0" fontId="0" fillId="17" borderId="3" xfId="0" applyFill="1" applyBorder="1" applyAlignment="1">
      <alignment horizontal="center" vertical="center" wrapText="1"/>
    </xf>
    <xf numFmtId="0" fontId="33" fillId="0" borderId="0" xfId="0" applyFont="1" applyFill="1"/>
    <xf numFmtId="0" fontId="33" fillId="0" borderId="0" xfId="0" applyFont="1" applyAlignment="1">
      <alignment wrapText="1"/>
    </xf>
    <xf numFmtId="0" fontId="8" fillId="0" borderId="18"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0" xfId="0" applyFill="1" applyBorder="1" applyAlignment="1">
      <alignment horizontal="center" vertical="center" wrapText="1"/>
    </xf>
    <xf numFmtId="0" fontId="48" fillId="0" borderId="0" xfId="0" applyFont="1" applyFill="1" applyBorder="1" applyAlignment="1">
      <alignment horizontal="center" vertical="center" wrapText="1"/>
    </xf>
    <xf numFmtId="167" fontId="49" fillId="0" borderId="0" xfId="0" applyNumberFormat="1" applyFont="1" applyFill="1" applyBorder="1" applyAlignment="1">
      <alignment horizontal="center" vertical="center" wrapText="1"/>
    </xf>
    <xf numFmtId="165" fontId="28" fillId="0" borderId="0" xfId="0" applyNumberFormat="1" applyFont="1" applyFill="1" applyBorder="1" applyAlignment="1">
      <alignment horizontal="center" vertical="center" wrapText="1"/>
    </xf>
    <xf numFmtId="0" fontId="37" fillId="6" borderId="66" xfId="0" applyFont="1" applyFill="1" applyBorder="1" applyAlignment="1">
      <alignment horizontal="center" vertical="center" wrapText="1"/>
    </xf>
    <xf numFmtId="0" fontId="8" fillId="0" borderId="67" xfId="0" applyFont="1" applyFill="1" applyBorder="1" applyAlignment="1">
      <alignment horizontal="center" vertical="center" wrapText="1"/>
    </xf>
    <xf numFmtId="0" fontId="54" fillId="0" borderId="0" xfId="0" applyFont="1" applyBorder="1" applyAlignment="1">
      <alignment vertical="center" wrapText="1"/>
    </xf>
    <xf numFmtId="0" fontId="45" fillId="7" borderId="52" xfId="0" applyFont="1" applyFill="1" applyBorder="1" applyAlignment="1">
      <alignment horizontal="center" vertical="center" wrapText="1"/>
    </xf>
    <xf numFmtId="0" fontId="45" fillId="7" borderId="69" xfId="0" applyFont="1" applyFill="1" applyBorder="1" applyAlignment="1">
      <alignment horizontal="center" vertical="center" wrapText="1"/>
    </xf>
    <xf numFmtId="14" fontId="0" fillId="0" borderId="4" xfId="0" applyNumberFormat="1" applyBorder="1" applyAlignment="1" applyProtection="1">
      <alignment horizontal="center" vertical="center" wrapText="1"/>
      <protection locked="0"/>
    </xf>
    <xf numFmtId="14" fontId="0" fillId="0" borderId="10" xfId="0" applyNumberFormat="1" applyBorder="1" applyAlignment="1" applyProtection="1">
      <alignment horizontal="center" vertical="center" wrapText="1"/>
    </xf>
    <xf numFmtId="14" fontId="0" fillId="0" borderId="1" xfId="0" applyNumberFormat="1" applyBorder="1" applyAlignment="1" applyProtection="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xf numFmtId="0" fontId="37" fillId="6" borderId="22"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41" xfId="0" applyFont="1" applyFill="1" applyBorder="1" applyAlignment="1">
      <alignment horizontal="center" vertical="center" wrapText="1"/>
    </xf>
    <xf numFmtId="0" fontId="6" fillId="15" borderId="34" xfId="0" applyFont="1" applyFill="1" applyBorder="1" applyAlignment="1">
      <alignment horizontal="center" vertical="center" wrapText="1"/>
    </xf>
    <xf numFmtId="0" fontId="47" fillId="0" borderId="0" xfId="0" applyFont="1" applyFill="1" applyBorder="1" applyAlignment="1">
      <alignment horizontal="center" vertical="center" wrapText="1"/>
    </xf>
    <xf numFmtId="9" fontId="0" fillId="0" borderId="0" xfId="0" quotePrefix="1" applyNumberFormat="1" applyAlignment="1">
      <alignment horizontal="center" vertical="center" wrapText="1"/>
    </xf>
    <xf numFmtId="0" fontId="0" fillId="0" borderId="0" xfId="0" applyAlignment="1">
      <alignment horizontal="left" vertical="center" wrapText="1"/>
    </xf>
    <xf numFmtId="0" fontId="4" fillId="0" borderId="0" xfId="0" applyFont="1" applyFill="1" applyAlignment="1">
      <alignment horizontal="center" vertical="center" wrapText="1"/>
    </xf>
    <xf numFmtId="0" fontId="6" fillId="0" borderId="1" xfId="0" applyNumberFormat="1" applyFont="1" applyFill="1" applyBorder="1" applyAlignment="1">
      <alignment horizontal="center" vertical="center" wrapText="1"/>
    </xf>
    <xf numFmtId="0" fontId="57" fillId="0" borderId="1"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57" fillId="0" borderId="5"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9" xfId="0" applyFont="1" applyBorder="1" applyAlignment="1">
      <alignment horizontal="center" vertical="center" wrapText="1"/>
    </xf>
    <xf numFmtId="0" fontId="6" fillId="0" borderId="5" xfId="0" applyFont="1" applyFill="1" applyBorder="1" applyAlignment="1">
      <alignment horizontal="center" vertical="center" wrapText="1"/>
    </xf>
    <xf numFmtId="0" fontId="57" fillId="0" borderId="1" xfId="0" applyFont="1" applyBorder="1" applyAlignment="1">
      <alignment horizontal="center" vertical="center" wrapText="1"/>
    </xf>
    <xf numFmtId="0" fontId="57" fillId="0" borderId="4" xfId="0" applyFont="1" applyFill="1" applyBorder="1" applyAlignment="1">
      <alignment horizontal="center" vertical="center" wrapText="1"/>
    </xf>
    <xf numFmtId="0" fontId="57" fillId="0" borderId="4" xfId="0" applyFont="1" applyBorder="1" applyAlignment="1">
      <alignment horizontal="center" vertical="center" wrapText="1"/>
    </xf>
    <xf numFmtId="0" fontId="4" fillId="0" borderId="7" xfId="0" applyFont="1" applyBorder="1" applyAlignment="1">
      <alignment horizontal="center" vertical="center" wrapText="1"/>
    </xf>
    <xf numFmtId="164" fontId="4" fillId="0" borderId="0" xfId="0" applyNumberFormat="1" applyFont="1" applyAlignment="1">
      <alignment horizontal="center" vertical="center" wrapText="1"/>
    </xf>
    <xf numFmtId="0" fontId="6" fillId="0" borderId="2" xfId="0" applyFont="1" applyFill="1" applyBorder="1" applyAlignment="1">
      <alignment horizontal="center" vertical="center" wrapText="1"/>
    </xf>
    <xf numFmtId="0" fontId="28" fillId="0" borderId="0" xfId="0" applyFont="1" applyBorder="1" applyAlignment="1">
      <alignment horizontal="left" vertical="center" wrapText="1"/>
    </xf>
    <xf numFmtId="0" fontId="6" fillId="0" borderId="26" xfId="0" applyFont="1" applyFill="1" applyBorder="1" applyAlignment="1">
      <alignment horizontal="left" vertical="center" wrapText="1"/>
    </xf>
    <xf numFmtId="0" fontId="58" fillId="9" borderId="4" xfId="0" applyFont="1" applyFill="1" applyBorder="1" applyAlignment="1">
      <alignment horizontal="center" vertical="center" wrapText="1"/>
    </xf>
    <xf numFmtId="0" fontId="6" fillId="0" borderId="26" xfId="0"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9" fontId="6" fillId="0" borderId="5" xfId="0" applyNumberFormat="1" applyFont="1" applyFill="1" applyBorder="1" applyAlignment="1">
      <alignment horizontal="center" vertical="center" wrapText="1"/>
    </xf>
    <xf numFmtId="0" fontId="6" fillId="0" borderId="16" xfId="0" applyFont="1" applyFill="1" applyBorder="1" applyAlignment="1">
      <alignment horizontal="left" vertical="center" wrapText="1"/>
    </xf>
    <xf numFmtId="0" fontId="6" fillId="0" borderId="16" xfId="0" applyFont="1" applyBorder="1" applyAlignment="1">
      <alignment horizontal="left" vertical="center" wrapText="1"/>
    </xf>
    <xf numFmtId="0" fontId="6" fillId="0" borderId="15" xfId="0" applyFont="1" applyBorder="1" applyAlignment="1">
      <alignment horizontal="left" vertical="center" wrapText="1"/>
    </xf>
    <xf numFmtId="0" fontId="6" fillId="0" borderId="4" xfId="0" applyNumberFormat="1" applyFont="1" applyFill="1" applyBorder="1" applyAlignment="1">
      <alignment horizontal="center" vertical="center" wrapText="1"/>
    </xf>
    <xf numFmtId="0" fontId="6" fillId="0" borderId="27"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6" fillId="0" borderId="52" xfId="0" applyFont="1" applyFill="1" applyBorder="1" applyAlignment="1">
      <alignment horizontal="center" vertical="center" wrapText="1"/>
    </xf>
    <xf numFmtId="9" fontId="48" fillId="0" borderId="0" xfId="0" applyNumberFormat="1" applyFont="1" applyBorder="1" applyAlignment="1">
      <alignment horizontal="left" vertical="center" wrapText="1"/>
    </xf>
    <xf numFmtId="0" fontId="6" fillId="0" borderId="25" xfId="0" applyFont="1" applyFill="1" applyBorder="1" applyAlignment="1">
      <alignment horizontal="center" vertical="center" wrapText="1"/>
    </xf>
    <xf numFmtId="0" fontId="6" fillId="0" borderId="53" xfId="0" applyFont="1" applyFill="1" applyBorder="1" applyAlignment="1">
      <alignment horizontal="center" vertical="center" wrapText="1"/>
    </xf>
    <xf numFmtId="0" fontId="33" fillId="23" borderId="15" xfId="0" applyFont="1" applyFill="1" applyBorder="1" applyAlignment="1">
      <alignment horizontal="center" vertical="center" wrapText="1"/>
    </xf>
    <xf numFmtId="0" fontId="33" fillId="23" borderId="4" xfId="0" applyFont="1" applyFill="1" applyBorder="1" applyAlignment="1">
      <alignment horizontal="center" vertical="center" wrapText="1"/>
    </xf>
    <xf numFmtId="0" fontId="33" fillId="23" borderId="7" xfId="0" applyFont="1" applyFill="1" applyBorder="1" applyAlignment="1">
      <alignment horizontal="center" vertical="center" wrapText="1"/>
    </xf>
    <xf numFmtId="0" fontId="29" fillId="23" borderId="57" xfId="0" applyFont="1" applyFill="1" applyBorder="1" applyAlignment="1">
      <alignment horizontal="center" vertical="center" wrapText="1"/>
    </xf>
    <xf numFmtId="0" fontId="55" fillId="23" borderId="7" xfId="0" applyFont="1" applyFill="1" applyBorder="1" applyAlignment="1">
      <alignment horizontal="center" vertical="center" wrapText="1"/>
    </xf>
    <xf numFmtId="0" fontId="60" fillId="0" borderId="67" xfId="0" applyFont="1" applyBorder="1" applyAlignment="1">
      <alignment horizontal="center" vertical="center" wrapText="1"/>
    </xf>
    <xf numFmtId="0" fontId="54" fillId="0" borderId="0" xfId="0" applyFont="1" applyBorder="1" applyAlignment="1">
      <alignment horizontal="center" vertical="center" wrapText="1"/>
    </xf>
    <xf numFmtId="0" fontId="2" fillId="0" borderId="0" xfId="0" applyFont="1" applyFill="1" applyAlignment="1">
      <alignment horizontal="center"/>
    </xf>
    <xf numFmtId="0" fontId="9" fillId="0" borderId="0" xfId="0" applyFont="1" applyFill="1" applyAlignment="1">
      <alignment horizontal="center" vertical="center" wrapText="1"/>
    </xf>
    <xf numFmtId="0" fontId="33" fillId="0" borderId="0" xfId="0" applyFont="1" applyAlignment="1">
      <alignment horizontal="center"/>
    </xf>
    <xf numFmtId="49" fontId="61" fillId="0" borderId="2" xfId="0" applyNumberFormat="1" applyFont="1" applyFill="1" applyBorder="1" applyAlignment="1">
      <alignment horizontal="center" vertical="center" wrapText="1"/>
    </xf>
    <xf numFmtId="0" fontId="0" fillId="0" borderId="0" xfId="0" applyFill="1" applyAlignment="1">
      <alignment horizontal="center"/>
    </xf>
    <xf numFmtId="0" fontId="28" fillId="0" borderId="0" xfId="0" applyFont="1" applyFill="1" applyAlignment="1">
      <alignment horizontal="center"/>
    </xf>
    <xf numFmtId="0" fontId="6" fillId="0" borderId="1" xfId="0" applyFont="1" applyBorder="1" applyAlignment="1">
      <alignment horizontal="center" vertical="center" wrapText="1"/>
    </xf>
    <xf numFmtId="0" fontId="6" fillId="0" borderId="12" xfId="0" applyFont="1" applyBorder="1" applyAlignment="1">
      <alignment horizontal="center" vertical="center" wrapText="1"/>
    </xf>
    <xf numFmtId="164" fontId="6" fillId="0" borderId="26"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9" fontId="6" fillId="0" borderId="12" xfId="0" applyNumberFormat="1" applyFont="1" applyBorder="1" applyAlignment="1">
      <alignment horizontal="center" vertical="center" wrapText="1"/>
    </xf>
    <xf numFmtId="164" fontId="29" fillId="0" borderId="25" xfId="0" applyNumberFormat="1" applyFont="1" applyBorder="1" applyAlignment="1" applyProtection="1">
      <alignment horizontal="center" vertical="center" wrapText="1"/>
      <protection locked="0"/>
    </xf>
    <xf numFmtId="164" fontId="29" fillId="0" borderId="2" xfId="0" applyNumberFormat="1" applyFont="1" applyBorder="1" applyAlignment="1" applyProtection="1">
      <alignment horizontal="center" vertical="center" wrapText="1"/>
      <protection locked="0"/>
    </xf>
    <xf numFmtId="0" fontId="29" fillId="0" borderId="53" xfId="0" applyFont="1" applyBorder="1" applyAlignment="1">
      <alignment horizontal="center" vertical="center" wrapText="1"/>
    </xf>
    <xf numFmtId="0" fontId="29" fillId="16" borderId="19" xfId="0" applyFont="1" applyFill="1" applyBorder="1" applyAlignment="1">
      <alignment horizontal="center" vertical="center" wrapText="1"/>
    </xf>
    <xf numFmtId="165" fontId="29" fillId="0" borderId="25" xfId="0" applyNumberFormat="1" applyFont="1" applyBorder="1" applyAlignment="1" applyProtection="1">
      <alignment horizontal="center" vertical="center" wrapText="1"/>
      <protection locked="0"/>
    </xf>
    <xf numFmtId="165" fontId="29" fillId="0" borderId="2" xfId="0" applyNumberFormat="1" applyFont="1" applyBorder="1" applyAlignment="1" applyProtection="1">
      <alignment horizontal="center" vertical="center" wrapText="1"/>
      <protection locked="0"/>
    </xf>
    <xf numFmtId="164" fontId="29" fillId="0" borderId="32" xfId="0" applyNumberFormat="1" applyFont="1" applyBorder="1" applyAlignment="1" applyProtection="1">
      <alignment horizontal="center" vertical="center" wrapText="1"/>
      <protection locked="0"/>
    </xf>
    <xf numFmtId="0" fontId="29" fillId="0" borderId="34" xfId="0" applyFont="1" applyBorder="1" applyAlignment="1">
      <alignment horizontal="center" vertical="center" wrapText="1"/>
    </xf>
    <xf numFmtId="164" fontId="29" fillId="0" borderId="34" xfId="0" applyNumberFormat="1" applyFont="1" applyBorder="1" applyAlignment="1" applyProtection="1">
      <alignment horizontal="center" vertical="center" wrapText="1"/>
      <protection locked="0"/>
    </xf>
    <xf numFmtId="164" fontId="29" fillId="0" borderId="0" xfId="0" applyNumberFormat="1" applyFont="1" applyAlignment="1" applyProtection="1">
      <alignment horizontal="center" vertical="center" wrapText="1"/>
      <protection locked="0"/>
    </xf>
    <xf numFmtId="165" fontId="29" fillId="0" borderId="0" xfId="0" applyNumberFormat="1" applyFont="1" applyAlignment="1" applyProtection="1">
      <alignment horizontal="center" vertical="center" wrapText="1"/>
      <protection locked="0"/>
    </xf>
    <xf numFmtId="165" fontId="29" fillId="0" borderId="2" xfId="0" applyNumberFormat="1" applyFont="1" applyBorder="1" applyAlignment="1">
      <alignment horizontal="center" vertical="center" wrapText="1"/>
    </xf>
    <xf numFmtId="165" fontId="29" fillId="0" borderId="34" xfId="0" applyNumberFormat="1" applyFont="1" applyBorder="1" applyAlignment="1">
      <alignment horizontal="center" vertical="center" wrapText="1"/>
    </xf>
    <xf numFmtId="165" fontId="29" fillId="0" borderId="53" xfId="0" applyNumberFormat="1" applyFont="1" applyBorder="1" applyAlignment="1">
      <alignment horizontal="center" vertical="center" wrapText="1"/>
    </xf>
    <xf numFmtId="165" fontId="29" fillId="0" borderId="33" xfId="0" applyNumberFormat="1" applyFont="1" applyBorder="1" applyAlignment="1">
      <alignment horizontal="center" vertical="center" wrapText="1"/>
    </xf>
    <xf numFmtId="165" fontId="29" fillId="0" borderId="25" xfId="0" applyNumberFormat="1" applyFont="1" applyBorder="1" applyAlignment="1">
      <alignment horizontal="center" vertical="center" wrapText="1"/>
    </xf>
    <xf numFmtId="165" fontId="47" fillId="19" borderId="11" xfId="0" applyNumberFormat="1" applyFont="1" applyFill="1" applyBorder="1" applyAlignment="1">
      <alignment horizontal="center" vertical="center" wrapText="1"/>
    </xf>
    <xf numFmtId="0" fontId="48" fillId="0" borderId="13" xfId="0" applyNumberFormat="1" applyFont="1" applyBorder="1" applyAlignment="1">
      <alignment horizontal="center" vertical="center" wrapText="1"/>
    </xf>
    <xf numFmtId="0" fontId="63" fillId="19" borderId="8" xfId="0" applyFont="1" applyFill="1" applyBorder="1" applyAlignment="1">
      <alignment horizontal="center" vertical="center" wrapText="1"/>
    </xf>
    <xf numFmtId="168" fontId="29" fillId="0" borderId="25" xfId="0" applyNumberFormat="1" applyFont="1" applyBorder="1" applyAlignment="1">
      <alignment horizontal="center" vertical="center" wrapText="1"/>
    </xf>
    <xf numFmtId="168" fontId="29" fillId="0" borderId="2" xfId="0" applyNumberFormat="1" applyFont="1" applyBorder="1" applyAlignment="1">
      <alignment horizontal="center" vertical="center" wrapText="1"/>
    </xf>
    <xf numFmtId="165" fontId="29" fillId="0" borderId="0" xfId="0" applyNumberFormat="1" applyFont="1" applyAlignment="1">
      <alignment horizontal="center" vertical="center" wrapText="1"/>
    </xf>
    <xf numFmtId="0" fontId="43" fillId="15" borderId="15" xfId="0" applyFont="1" applyFill="1" applyBorder="1" applyAlignment="1">
      <alignment horizontal="center" vertical="center" wrapText="1"/>
    </xf>
    <xf numFmtId="0" fontId="43" fillId="15" borderId="4" xfId="0" applyFont="1" applyFill="1" applyBorder="1" applyAlignment="1">
      <alignment horizontal="center" vertical="center" wrapText="1"/>
    </xf>
    <xf numFmtId="0" fontId="29" fillId="0" borderId="25" xfId="0" applyNumberFormat="1" applyFont="1" applyBorder="1" applyAlignment="1">
      <alignment horizontal="center" vertical="center" wrapText="1"/>
    </xf>
    <xf numFmtId="0" fontId="29" fillId="0" borderId="2" xfId="0" applyNumberFormat="1" applyFont="1" applyBorder="1" applyAlignment="1">
      <alignment horizontal="center" vertical="center" wrapText="1"/>
    </xf>
    <xf numFmtId="0" fontId="29" fillId="0" borderId="0" xfId="0" applyNumberFormat="1" applyFont="1" applyAlignment="1">
      <alignment horizontal="center" vertical="center" wrapText="1"/>
    </xf>
    <xf numFmtId="0" fontId="64" fillId="6" borderId="66" xfId="0" applyFont="1" applyFill="1" applyBorder="1" applyAlignment="1">
      <alignment horizontal="center" vertical="center" wrapText="1"/>
    </xf>
    <xf numFmtId="167"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49" fontId="68" fillId="0" borderId="2" xfId="0" applyNumberFormat="1" applyFont="1" applyFill="1" applyBorder="1" applyAlignment="1">
      <alignment horizontal="center" vertical="center" wrapText="1"/>
    </xf>
    <xf numFmtId="0" fontId="43" fillId="0" borderId="0" xfId="0" applyFont="1" applyFill="1" applyAlignment="1">
      <alignment horizontal="center" vertical="center" wrapText="1"/>
    </xf>
    <xf numFmtId="0" fontId="39" fillId="0" borderId="2" xfId="0" applyFont="1" applyBorder="1" applyAlignment="1">
      <alignment horizontal="center" vertical="center" wrapText="1"/>
    </xf>
    <xf numFmtId="0" fontId="39" fillId="0" borderId="0" xfId="0" applyFont="1" applyAlignment="1">
      <alignment horizontal="center" vertical="center" wrapText="1"/>
    </xf>
    <xf numFmtId="0" fontId="28" fillId="0" borderId="0" xfId="0" applyFont="1" applyAlignment="1">
      <alignment horizontal="center" vertical="center" wrapText="1"/>
    </xf>
    <xf numFmtId="164" fontId="6" fillId="0" borderId="40"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6" xfId="0" applyFont="1" applyBorder="1" applyAlignment="1">
      <alignment horizontal="center" vertical="center" wrapText="1"/>
    </xf>
    <xf numFmtId="0" fontId="29" fillId="25" borderId="2" xfId="0" applyFont="1" applyFill="1" applyBorder="1" applyAlignment="1">
      <alignment horizontal="center" vertical="center" wrapText="1"/>
    </xf>
    <xf numFmtId="164" fontId="29" fillId="25" borderId="2" xfId="0" applyNumberFormat="1" applyFont="1" applyFill="1" applyBorder="1" applyAlignment="1" applyProtection="1">
      <alignment horizontal="center" vertical="center" wrapText="1"/>
      <protection locked="0"/>
    </xf>
    <xf numFmtId="165" fontId="29" fillId="25" borderId="53" xfId="0" applyNumberFormat="1" applyFont="1" applyFill="1" applyBorder="1" applyAlignment="1">
      <alignment horizontal="center" vertical="center" wrapText="1"/>
    </xf>
    <xf numFmtId="0" fontId="0" fillId="0" borderId="0" xfId="0" applyAlignment="1">
      <alignment horizontal="center" vertical="center" wrapText="1"/>
    </xf>
    <xf numFmtId="164" fontId="70" fillId="0" borderId="16" xfId="0" applyNumberFormat="1" applyFont="1" applyBorder="1" applyAlignment="1">
      <alignment horizontal="center" vertical="center" wrapText="1"/>
    </xf>
    <xf numFmtId="164" fontId="70" fillId="0" borderId="16" xfId="0" applyNumberFormat="1" applyFont="1" applyFill="1" applyBorder="1" applyAlignment="1">
      <alignment horizontal="center" vertical="center" wrapText="1"/>
    </xf>
    <xf numFmtId="164" fontId="71" fillId="0" borderId="16" xfId="3" applyNumberFormat="1" applyFont="1" applyBorder="1" applyAlignment="1">
      <alignment horizontal="center" vertical="center" wrapText="1"/>
    </xf>
    <xf numFmtId="164" fontId="6" fillId="0" borderId="12" xfId="0" applyNumberFormat="1" applyFont="1" applyBorder="1" applyAlignment="1">
      <alignment horizontal="center" vertical="center" wrapText="1"/>
    </xf>
    <xf numFmtId="0" fontId="69" fillId="0" borderId="1" xfId="0" applyFont="1" applyBorder="1" applyAlignment="1" applyProtection="1">
      <alignment horizontal="center" vertical="center" wrapText="1"/>
      <protection locked="0"/>
    </xf>
    <xf numFmtId="0" fontId="0" fillId="0" borderId="0" xfId="0" applyAlignment="1">
      <alignment horizontal="center" vertical="center" wrapText="1"/>
    </xf>
    <xf numFmtId="0" fontId="55" fillId="0" borderId="2" xfId="0" applyFont="1" applyBorder="1" applyAlignment="1">
      <alignment horizontal="center" vertical="center" wrapText="1"/>
    </xf>
    <xf numFmtId="164" fontId="6" fillId="0" borderId="1" xfId="0" applyNumberFormat="1" applyFont="1" applyFill="1" applyBorder="1" applyAlignment="1">
      <alignment horizontal="center" vertical="center" wrapText="1"/>
    </xf>
    <xf numFmtId="164" fontId="6" fillId="0" borderId="4"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165" fontId="29" fillId="0" borderId="1" xfId="0" applyNumberFormat="1" applyFont="1" applyBorder="1" applyAlignment="1">
      <alignment horizontal="center" vertical="center" wrapText="1"/>
    </xf>
    <xf numFmtId="0" fontId="29" fillId="7" borderId="0" xfId="0" applyFont="1" applyFill="1" applyAlignment="1">
      <alignment horizontal="center" vertical="center" wrapText="1"/>
    </xf>
    <xf numFmtId="0" fontId="54" fillId="0" borderId="0" xfId="0" applyFont="1" applyAlignment="1">
      <alignment horizontal="center" vertical="center" wrapText="1"/>
    </xf>
    <xf numFmtId="9" fontId="54" fillId="0" borderId="0" xfId="0" applyNumberFormat="1" applyFont="1" applyBorder="1" applyAlignment="1">
      <alignment horizontal="center" vertical="center" wrapText="1"/>
    </xf>
    <xf numFmtId="9" fontId="54" fillId="0" borderId="19" xfId="0" applyNumberFormat="1" applyFont="1" applyBorder="1" applyAlignment="1">
      <alignment horizontal="center" vertical="center" wrapText="1"/>
    </xf>
    <xf numFmtId="0" fontId="54" fillId="0" borderId="0" xfId="0" applyFont="1" applyBorder="1" applyAlignment="1">
      <alignment horizontal="center" vertical="center" wrapText="1"/>
    </xf>
    <xf numFmtId="0" fontId="54" fillId="0" borderId="19" xfId="0" applyFont="1" applyBorder="1" applyAlignment="1">
      <alignment horizontal="center" vertical="center" wrapText="1"/>
    </xf>
    <xf numFmtId="0" fontId="0" fillId="0" borderId="0" xfId="0" applyBorder="1" applyAlignment="1">
      <alignment horizontal="center" wrapText="1"/>
    </xf>
    <xf numFmtId="0" fontId="0" fillId="0" borderId="0" xfId="0" applyBorder="1" applyAlignment="1">
      <alignment horizontal="center"/>
    </xf>
    <xf numFmtId="0" fontId="29" fillId="7" borderId="0" xfId="0" applyFont="1" applyFill="1" applyBorder="1" applyAlignment="1">
      <alignment horizontal="center" vertical="center" wrapText="1"/>
    </xf>
    <xf numFmtId="0" fontId="0" fillId="7" borderId="0" xfId="0" applyFill="1" applyBorder="1" applyAlignment="1">
      <alignment horizontal="center" vertical="center" wrapText="1"/>
    </xf>
    <xf numFmtId="0" fontId="0" fillId="7" borderId="19" xfId="0" applyFill="1" applyBorder="1" applyAlignment="1">
      <alignment horizontal="center" vertical="center" wrapText="1"/>
    </xf>
    <xf numFmtId="0" fontId="0" fillId="0" borderId="0" xfId="0" applyAlignment="1">
      <alignment horizontal="center" vertical="center" wrapText="1"/>
    </xf>
    <xf numFmtId="0" fontId="66" fillId="0" borderId="0" xfId="0" applyFont="1" applyBorder="1" applyAlignment="1">
      <alignment horizontal="center" vertical="center" wrapText="1"/>
    </xf>
    <xf numFmtId="0" fontId="34" fillId="0" borderId="0" xfId="0" applyFont="1" applyAlignment="1">
      <alignment horizontal="center" vertical="center" wrapText="1"/>
    </xf>
    <xf numFmtId="0" fontId="67" fillId="0" borderId="0" xfId="0" applyFont="1" applyAlignment="1">
      <alignment horizontal="center" vertical="center" wrapText="1"/>
    </xf>
    <xf numFmtId="0" fontId="67" fillId="0" borderId="19" xfId="0" applyFont="1" applyBorder="1" applyAlignment="1">
      <alignment horizontal="center" vertical="center" wrapText="1"/>
    </xf>
    <xf numFmtId="0" fontId="48" fillId="0" borderId="0" xfId="0" applyFont="1" applyBorder="1" applyAlignment="1">
      <alignment horizontal="center" vertical="center" wrapText="1"/>
    </xf>
    <xf numFmtId="0" fontId="0" fillId="0" borderId="19" xfId="0" applyBorder="1" applyAlignment="1">
      <alignment horizontal="center" vertical="center" wrapText="1"/>
    </xf>
    <xf numFmtId="0" fontId="52" fillId="0" borderId="0" xfId="0" applyFont="1" applyBorder="1" applyAlignment="1">
      <alignment horizontal="center" vertical="center" wrapText="1"/>
    </xf>
    <xf numFmtId="0" fontId="53" fillId="0" borderId="0" xfId="0" applyFont="1" applyBorder="1" applyAlignment="1">
      <alignment horizontal="center" vertical="center" wrapText="1"/>
    </xf>
    <xf numFmtId="0" fontId="10" fillId="0" borderId="0" xfId="0" applyFont="1" applyBorder="1" applyAlignment="1">
      <alignment horizontal="right" wrapText="1"/>
    </xf>
    <xf numFmtId="0" fontId="50" fillId="0" borderId="50" xfId="0" applyFont="1" applyBorder="1" applyAlignment="1">
      <alignment horizontal="center" vertical="center" wrapText="1"/>
    </xf>
    <xf numFmtId="0" fontId="50" fillId="0" borderId="6" xfId="0" applyFont="1" applyBorder="1" applyAlignment="1">
      <alignment horizontal="center" vertical="center" wrapText="1"/>
    </xf>
    <xf numFmtId="0" fontId="48" fillId="0" borderId="6" xfId="0" applyFont="1" applyBorder="1" applyAlignment="1">
      <alignment horizontal="center" vertical="center" wrapText="1"/>
    </xf>
    <xf numFmtId="0" fontId="48" fillId="0" borderId="51" xfId="0" applyFont="1" applyBorder="1" applyAlignment="1">
      <alignment horizontal="center" vertical="center" wrapText="1"/>
    </xf>
    <xf numFmtId="0" fontId="51" fillId="0" borderId="50" xfId="0" applyFont="1" applyBorder="1" applyAlignment="1">
      <alignment horizontal="center"/>
    </xf>
    <xf numFmtId="0" fontId="51" fillId="0" borderId="6" xfId="0" applyFont="1" applyBorder="1" applyAlignment="1">
      <alignment horizontal="center"/>
    </xf>
    <xf numFmtId="164" fontId="0" fillId="0" borderId="6" xfId="0" applyNumberFormat="1" applyBorder="1" applyAlignment="1">
      <alignment horizontal="center" vertical="center" wrapText="1"/>
    </xf>
    <xf numFmtId="164" fontId="0" fillId="0" borderId="51" xfId="0" applyNumberFormat="1" applyBorder="1" applyAlignment="1">
      <alignment horizontal="center" vertical="center" wrapText="1"/>
    </xf>
    <xf numFmtId="0" fontId="2" fillId="15" borderId="71" xfId="0" applyFont="1" applyFill="1" applyBorder="1" applyAlignment="1">
      <alignment horizontal="center" vertical="center" wrapText="1"/>
    </xf>
    <xf numFmtId="0" fontId="2" fillId="15" borderId="72" xfId="0" applyFont="1" applyFill="1" applyBorder="1" applyAlignment="1">
      <alignment horizontal="center" vertical="center" wrapText="1"/>
    </xf>
    <xf numFmtId="0" fontId="2" fillId="15" borderId="60" xfId="0" applyFont="1" applyFill="1" applyBorder="1" applyAlignment="1">
      <alignment horizontal="center" vertical="center" wrapText="1"/>
    </xf>
    <xf numFmtId="0" fontId="2" fillId="22" borderId="49" xfId="0" applyFont="1" applyFill="1" applyBorder="1" applyAlignment="1">
      <alignment horizontal="center" vertical="center" wrapText="1"/>
    </xf>
    <xf numFmtId="0" fontId="2" fillId="22" borderId="44" xfId="0" applyFont="1" applyFill="1" applyBorder="1" applyAlignment="1">
      <alignment horizontal="center" vertical="center" wrapText="1"/>
    </xf>
    <xf numFmtId="0" fontId="2" fillId="22" borderId="45" xfId="0" applyFont="1" applyFill="1" applyBorder="1" applyAlignment="1">
      <alignment horizontal="center" vertical="center" wrapText="1"/>
    </xf>
    <xf numFmtId="0" fontId="2" fillId="22" borderId="71" xfId="0" applyFont="1" applyFill="1" applyBorder="1" applyAlignment="1">
      <alignment horizontal="center" vertical="center" wrapText="1"/>
    </xf>
    <xf numFmtId="0" fontId="2" fillId="22" borderId="72" xfId="0" applyFont="1" applyFill="1" applyBorder="1" applyAlignment="1">
      <alignment horizontal="center" vertical="center" wrapText="1"/>
    </xf>
    <xf numFmtId="0" fontId="2" fillId="22" borderId="60" xfId="0" applyFont="1" applyFill="1" applyBorder="1" applyAlignment="1">
      <alignment horizontal="center" vertical="center" wrapText="1"/>
    </xf>
    <xf numFmtId="0" fontId="59" fillId="0" borderId="30" xfId="0" applyFont="1" applyFill="1" applyBorder="1" applyAlignment="1">
      <alignment horizontal="center" vertical="center" wrapText="1"/>
    </xf>
    <xf numFmtId="0" fontId="59" fillId="0" borderId="53" xfId="0" applyFont="1" applyFill="1" applyBorder="1" applyAlignment="1">
      <alignment horizontal="center" vertical="center" wrapText="1"/>
    </xf>
    <xf numFmtId="9" fontId="49" fillId="0" borderId="30" xfId="0" applyNumberFormat="1" applyFont="1" applyBorder="1" applyAlignment="1">
      <alignment horizontal="center" vertical="center" wrapText="1"/>
    </xf>
    <xf numFmtId="0" fontId="49" fillId="0" borderId="43" xfId="0" applyFont="1" applyBorder="1" applyAlignment="1">
      <alignment horizontal="center" vertical="center" wrapText="1"/>
    </xf>
    <xf numFmtId="0" fontId="49" fillId="0" borderId="33" xfId="0" applyFont="1" applyBorder="1" applyAlignment="1">
      <alignment horizontal="center" vertical="center" wrapText="1"/>
    </xf>
    <xf numFmtId="0" fontId="9" fillId="0" borderId="46" xfId="0" applyFont="1" applyFill="1" applyBorder="1" applyAlignment="1">
      <alignment horizontal="center" vertical="center" wrapText="1"/>
    </xf>
    <xf numFmtId="0" fontId="9" fillId="0" borderId="43" xfId="0" applyFont="1" applyFill="1" applyBorder="1" applyAlignment="1">
      <alignment horizontal="center" vertical="center" wrapText="1"/>
    </xf>
    <xf numFmtId="0" fontId="9" fillId="0" borderId="53" xfId="0" applyFont="1" applyFill="1" applyBorder="1" applyAlignment="1">
      <alignment horizontal="center" vertical="center" wrapText="1"/>
    </xf>
    <xf numFmtId="0" fontId="2" fillId="20" borderId="49" xfId="0" applyFont="1" applyFill="1" applyBorder="1" applyAlignment="1">
      <alignment horizontal="center" vertical="center" wrapText="1"/>
    </xf>
    <xf numFmtId="0" fontId="2" fillId="20" borderId="44" xfId="0" applyFont="1" applyFill="1" applyBorder="1" applyAlignment="1">
      <alignment horizontal="center" vertical="center" wrapText="1"/>
    </xf>
    <xf numFmtId="0" fontId="2" fillId="20" borderId="45" xfId="0" applyFont="1" applyFill="1" applyBorder="1" applyAlignment="1">
      <alignment horizontal="center" vertical="center" wrapText="1"/>
    </xf>
    <xf numFmtId="0" fontId="2" fillId="20" borderId="71" xfId="0" applyFont="1" applyFill="1" applyBorder="1" applyAlignment="1">
      <alignment horizontal="center" vertical="center" wrapText="1"/>
    </xf>
    <xf numFmtId="0" fontId="2" fillId="20" borderId="72" xfId="0" applyFont="1" applyFill="1" applyBorder="1" applyAlignment="1">
      <alignment horizontal="center" vertical="center" wrapText="1"/>
    </xf>
    <xf numFmtId="0" fontId="2" fillId="20" borderId="60" xfId="0" applyFont="1" applyFill="1" applyBorder="1" applyAlignment="1">
      <alignment horizontal="center" vertical="center" wrapText="1"/>
    </xf>
    <xf numFmtId="0" fontId="2" fillId="21" borderId="49" xfId="0" applyFont="1" applyFill="1" applyBorder="1" applyAlignment="1">
      <alignment horizontal="center" vertical="center" wrapText="1"/>
    </xf>
    <xf numFmtId="0" fontId="2" fillId="21" borderId="44" xfId="0" applyFont="1" applyFill="1" applyBorder="1" applyAlignment="1">
      <alignment horizontal="center" vertical="center" wrapText="1"/>
    </xf>
    <xf numFmtId="0" fontId="2" fillId="21" borderId="45" xfId="0" applyFont="1" applyFill="1" applyBorder="1" applyAlignment="1">
      <alignment horizontal="center" vertical="center" wrapText="1"/>
    </xf>
    <xf numFmtId="0" fontId="2" fillId="21" borderId="71" xfId="0" applyFont="1" applyFill="1" applyBorder="1" applyAlignment="1">
      <alignment horizontal="center" vertical="center" wrapText="1"/>
    </xf>
    <xf numFmtId="0" fontId="2" fillId="21" borderId="72" xfId="0" applyFont="1" applyFill="1" applyBorder="1" applyAlignment="1">
      <alignment horizontal="center" vertical="center" wrapText="1"/>
    </xf>
    <xf numFmtId="0" fontId="2" fillId="21" borderId="60" xfId="0" applyFont="1" applyFill="1" applyBorder="1" applyAlignment="1">
      <alignment horizontal="center" vertical="center" wrapText="1"/>
    </xf>
    <xf numFmtId="0" fontId="2" fillId="15" borderId="49" xfId="0" applyFont="1" applyFill="1" applyBorder="1" applyAlignment="1">
      <alignment horizontal="center" vertical="center" wrapText="1"/>
    </xf>
    <xf numFmtId="0" fontId="2" fillId="15" borderId="44" xfId="0" applyFont="1" applyFill="1" applyBorder="1" applyAlignment="1">
      <alignment horizontal="center" vertical="center" wrapText="1"/>
    </xf>
    <xf numFmtId="0" fontId="2" fillId="15" borderId="45" xfId="0" applyFont="1" applyFill="1" applyBorder="1" applyAlignment="1">
      <alignment horizontal="center" vertical="center" wrapText="1"/>
    </xf>
    <xf numFmtId="0" fontId="3" fillId="0" borderId="3" xfId="0" applyFont="1" applyBorder="1" applyAlignment="1">
      <alignment horizontal="center" wrapText="1"/>
    </xf>
    <xf numFmtId="0" fontId="9" fillId="20" borderId="70" xfId="0" applyFont="1" applyFill="1" applyBorder="1" applyAlignment="1">
      <alignment horizontal="center" vertical="center" wrapText="1"/>
    </xf>
    <xf numFmtId="0" fontId="9" fillId="20" borderId="42" xfId="0" applyFont="1" applyFill="1" applyBorder="1" applyAlignment="1">
      <alignment horizontal="center" vertical="center" wrapText="1"/>
    </xf>
    <xf numFmtId="0" fontId="9" fillId="20" borderId="32" xfId="0" applyFont="1" applyFill="1" applyBorder="1" applyAlignment="1">
      <alignment horizontal="center" vertical="center" wrapText="1"/>
    </xf>
    <xf numFmtId="0" fontId="9" fillId="21" borderId="70" xfId="0" applyFont="1" applyFill="1" applyBorder="1" applyAlignment="1">
      <alignment horizontal="center" vertical="center" wrapText="1"/>
    </xf>
    <xf numFmtId="0" fontId="9" fillId="21" borderId="42" xfId="0" applyFont="1" applyFill="1" applyBorder="1" applyAlignment="1">
      <alignment horizontal="center" vertical="center" wrapText="1"/>
    </xf>
    <xf numFmtId="0" fontId="9" fillId="15" borderId="70" xfId="0" applyFont="1" applyFill="1" applyBorder="1" applyAlignment="1">
      <alignment horizontal="center" vertical="center" wrapText="1"/>
    </xf>
    <xf numFmtId="0" fontId="9" fillId="15" borderId="42" xfId="0" applyFont="1" applyFill="1" applyBorder="1" applyAlignment="1">
      <alignment horizontal="center" vertical="center" wrapText="1"/>
    </xf>
    <xf numFmtId="0" fontId="9" fillId="15" borderId="32" xfId="0" applyFont="1" applyFill="1" applyBorder="1" applyAlignment="1">
      <alignment horizontal="center" vertical="center" wrapText="1"/>
    </xf>
    <xf numFmtId="0" fontId="9" fillId="22" borderId="70" xfId="0" applyFont="1" applyFill="1" applyBorder="1" applyAlignment="1">
      <alignment horizontal="center" vertical="center" wrapText="1"/>
    </xf>
    <xf numFmtId="0" fontId="9" fillId="22" borderId="42" xfId="0" applyFont="1" applyFill="1" applyBorder="1" applyAlignment="1">
      <alignment horizontal="center" vertical="center" wrapText="1"/>
    </xf>
    <xf numFmtId="0" fontId="9" fillId="22" borderId="32"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53" xfId="0" applyFont="1" applyFill="1" applyBorder="1" applyAlignment="1">
      <alignment horizontal="center" vertical="center" wrapText="1"/>
    </xf>
    <xf numFmtId="0" fontId="0" fillId="2" borderId="10" xfId="0" applyFill="1" applyBorder="1" applyAlignment="1">
      <alignment horizontal="center" vertical="center" wrapText="1"/>
    </xf>
    <xf numFmtId="0" fontId="0" fillId="2" borderId="4" xfId="0" applyFill="1" applyBorder="1" applyAlignment="1">
      <alignment horizontal="center" vertical="center" wrapText="1"/>
    </xf>
    <xf numFmtId="0" fontId="0" fillId="2" borderId="8" xfId="0" applyFill="1" applyBorder="1" applyAlignment="1">
      <alignment horizontal="center" vertical="center" wrapText="1"/>
    </xf>
    <xf numFmtId="0" fontId="0" fillId="2" borderId="7" xfId="0" applyFill="1" applyBorder="1" applyAlignment="1">
      <alignment horizontal="center" vertical="center" wrapText="1"/>
    </xf>
    <xf numFmtId="0" fontId="28" fillId="0" borderId="0" xfId="0" applyFont="1" applyBorder="1" applyAlignment="1">
      <alignment horizontal="left" vertical="center" wrapText="1"/>
    </xf>
    <xf numFmtId="0" fontId="0" fillId="0" borderId="23" xfId="0" applyBorder="1" applyAlignment="1">
      <alignment horizontal="left"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14" borderId="1" xfId="0" applyFont="1" applyFill="1" applyBorder="1" applyAlignment="1">
      <alignment horizontal="center" vertical="center" wrapText="1"/>
    </xf>
    <xf numFmtId="0" fontId="10" fillId="0" borderId="56" xfId="0" applyFont="1" applyBorder="1" applyAlignment="1">
      <alignment horizontal="center" wrapText="1"/>
    </xf>
    <xf numFmtId="0" fontId="10" fillId="0" borderId="0" xfId="0" applyFont="1" applyBorder="1" applyAlignment="1">
      <alignment horizontal="center" wrapText="1"/>
    </xf>
    <xf numFmtId="0" fontId="0" fillId="0" borderId="0" xfId="0" quotePrefix="1" applyBorder="1" applyAlignment="1">
      <alignment horizontal="center" vertical="center" wrapText="1"/>
    </xf>
    <xf numFmtId="0" fontId="0" fillId="0" borderId="0" xfId="0" applyBorder="1" applyAlignment="1">
      <alignment horizontal="center" vertical="center" wrapText="1"/>
    </xf>
    <xf numFmtId="0" fontId="29" fillId="0" borderId="35" xfId="0" applyFont="1" applyBorder="1" applyAlignment="1">
      <alignment horizontal="center" vertical="center" wrapText="1"/>
    </xf>
    <xf numFmtId="0" fontId="29" fillId="0" borderId="62" xfId="0" applyFont="1" applyBorder="1" applyAlignment="1">
      <alignment horizontal="center" vertical="center" wrapText="1"/>
    </xf>
    <xf numFmtId="0" fontId="47" fillId="0" borderId="0" xfId="0" applyFont="1" applyFill="1" applyBorder="1" applyAlignment="1">
      <alignment horizontal="center" vertical="center" wrapText="1"/>
    </xf>
    <xf numFmtId="0" fontId="39" fillId="0" borderId="14" xfId="0" applyFont="1" applyBorder="1" applyAlignment="1">
      <alignment horizontal="center" vertical="center" wrapText="1"/>
    </xf>
    <xf numFmtId="0" fontId="39" fillId="0" borderId="8" xfId="0" applyFont="1" applyBorder="1" applyAlignment="1">
      <alignment horizontal="center" vertical="center" wrapText="1"/>
    </xf>
    <xf numFmtId="0" fontId="39" fillId="0" borderId="16" xfId="0" applyFont="1" applyBorder="1" applyAlignment="1">
      <alignment horizontal="center" vertical="center" wrapText="1"/>
    </xf>
    <xf numFmtId="0" fontId="39" fillId="0" borderId="9" xfId="0" applyFont="1" applyBorder="1" applyAlignment="1">
      <alignment horizontal="center" vertical="center" wrapText="1"/>
    </xf>
    <xf numFmtId="0" fontId="48" fillId="0" borderId="15" xfId="0" applyNumberFormat="1" applyFont="1" applyBorder="1" applyAlignment="1">
      <alignment horizontal="center" vertical="center" wrapText="1"/>
    </xf>
    <xf numFmtId="0" fontId="48" fillId="0" borderId="27" xfId="0" applyNumberFormat="1" applyFont="1" applyBorder="1" applyAlignment="1">
      <alignment horizontal="center" vertical="center" wrapText="1"/>
    </xf>
    <xf numFmtId="0" fontId="48" fillId="0" borderId="4" xfId="0" applyNumberFormat="1" applyFont="1" applyBorder="1" applyAlignment="1">
      <alignment horizontal="center" vertical="center" wrapText="1"/>
    </xf>
    <xf numFmtId="0" fontId="48" fillId="0" borderId="13" xfId="0" applyFont="1" applyBorder="1" applyAlignment="1">
      <alignment horizontal="center" vertical="center" wrapText="1"/>
    </xf>
    <xf numFmtId="0" fontId="48" fillId="0" borderId="55" xfId="0" applyFont="1" applyBorder="1" applyAlignment="1">
      <alignment horizontal="center" vertical="center" wrapText="1"/>
    </xf>
    <xf numFmtId="0" fontId="48" fillId="0" borderId="58" xfId="0" applyFont="1" applyBorder="1" applyAlignment="1">
      <alignment horizontal="center" vertical="center" wrapText="1"/>
    </xf>
    <xf numFmtId="165" fontId="47" fillId="19" borderId="14" xfId="0" applyNumberFormat="1" applyFont="1" applyFill="1" applyBorder="1" applyAlignment="1">
      <alignment horizontal="center" vertical="center" wrapText="1"/>
    </xf>
    <xf numFmtId="165" fontId="47" fillId="19" borderId="10" xfId="0" applyNumberFormat="1" applyFont="1" applyFill="1" applyBorder="1" applyAlignment="1">
      <alignment horizontal="center" vertical="center" wrapText="1"/>
    </xf>
    <xf numFmtId="0" fontId="47" fillId="19" borderId="11" xfId="0" applyFont="1" applyFill="1" applyBorder="1" applyAlignment="1">
      <alignment horizontal="center" vertical="center" wrapText="1"/>
    </xf>
    <xf numFmtId="0" fontId="47" fillId="19" borderId="45" xfId="0" applyFont="1" applyFill="1" applyBorder="1" applyAlignment="1">
      <alignment horizontal="center" vertical="center" wrapText="1"/>
    </xf>
    <xf numFmtId="0" fontId="47" fillId="19" borderId="10" xfId="0" applyFont="1" applyFill="1" applyBorder="1" applyAlignment="1">
      <alignment horizontal="center" vertical="center" wrapText="1"/>
    </xf>
    <xf numFmtId="0" fontId="47" fillId="19" borderId="8" xfId="0" applyFont="1" applyFill="1" applyBorder="1" applyAlignment="1">
      <alignment horizontal="center" vertical="center" wrapText="1"/>
    </xf>
    <xf numFmtId="0" fontId="28" fillId="0" borderId="57" xfId="0" applyFont="1" applyBorder="1" applyAlignment="1">
      <alignment horizontal="center" vertical="center" wrapText="1"/>
    </xf>
    <xf numFmtId="0" fontId="28" fillId="0" borderId="55" xfId="0" applyFont="1" applyBorder="1" applyAlignment="1">
      <alignment horizontal="center" vertical="center" wrapText="1"/>
    </xf>
    <xf numFmtId="0" fontId="28" fillId="0" borderId="27" xfId="0" applyFont="1" applyBorder="1" applyAlignment="1">
      <alignment horizontal="center" vertical="center" wrapText="1"/>
    </xf>
    <xf numFmtId="165" fontId="47" fillId="19" borderId="61" xfId="0" applyNumberFormat="1" applyFont="1" applyFill="1" applyBorder="1" applyAlignment="1">
      <alignment horizontal="center" vertical="center" wrapText="1"/>
    </xf>
    <xf numFmtId="167" fontId="49" fillId="0" borderId="57" xfId="0" applyNumberFormat="1" applyFont="1" applyBorder="1" applyAlignment="1">
      <alignment horizontal="center" vertical="center" wrapText="1"/>
    </xf>
    <xf numFmtId="167" fontId="49" fillId="0" borderId="58" xfId="0" applyNumberFormat="1" applyFont="1" applyBorder="1" applyAlignment="1">
      <alignment horizontal="center" vertical="center" wrapText="1"/>
    </xf>
    <xf numFmtId="9" fontId="49" fillId="0" borderId="73" xfId="0" applyNumberFormat="1" applyFont="1" applyBorder="1" applyAlignment="1">
      <alignment horizontal="center" vertical="center" wrapText="1"/>
    </xf>
    <xf numFmtId="0" fontId="0" fillId="0" borderId="51" xfId="0" applyBorder="1" applyAlignment="1">
      <alignment horizontal="center" vertical="center" wrapText="1"/>
    </xf>
    <xf numFmtId="0" fontId="27" fillId="6" borderId="14" xfId="0" applyFont="1" applyFill="1" applyBorder="1" applyAlignment="1">
      <alignment horizontal="center" vertical="center" wrapText="1"/>
    </xf>
    <xf numFmtId="0" fontId="27" fillId="6" borderId="16" xfId="0" applyFont="1" applyFill="1" applyBorder="1" applyAlignment="1">
      <alignment horizontal="center" vertical="center" wrapText="1"/>
    </xf>
    <xf numFmtId="0" fontId="27" fillId="6" borderId="15" xfId="0" applyFont="1" applyFill="1" applyBorder="1" applyAlignment="1">
      <alignment horizontal="center" vertical="center" wrapText="1"/>
    </xf>
    <xf numFmtId="0" fontId="27" fillId="6" borderId="10"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4" xfId="0" applyFont="1" applyFill="1" applyBorder="1" applyAlignment="1">
      <alignment horizontal="center" vertical="center" wrapText="1"/>
    </xf>
    <xf numFmtId="165" fontId="28" fillId="0" borderId="42" xfId="0" applyNumberFormat="1" applyFont="1" applyBorder="1" applyAlignment="1">
      <alignment horizontal="center" vertical="center" wrapText="1"/>
    </xf>
    <xf numFmtId="165" fontId="28" fillId="0" borderId="41" xfId="0" applyNumberFormat="1" applyFont="1" applyBorder="1" applyAlignment="1">
      <alignment horizontal="center" vertical="center" wrapText="1"/>
    </xf>
    <xf numFmtId="9" fontId="49" fillId="0" borderId="63" xfId="0" applyNumberFormat="1" applyFont="1" applyBorder="1" applyAlignment="1">
      <alignment horizontal="center" vertical="center" wrapText="1"/>
    </xf>
    <xf numFmtId="9" fontId="49" fillId="0" borderId="22" xfId="0" applyNumberFormat="1" applyFont="1" applyBorder="1" applyAlignment="1">
      <alignment horizontal="center" vertical="center" wrapText="1"/>
    </xf>
    <xf numFmtId="9" fontId="28" fillId="0" borderId="20" xfId="0" applyNumberFormat="1" applyFont="1" applyBorder="1" applyAlignment="1">
      <alignment horizontal="center" vertical="center" wrapText="1"/>
    </xf>
    <xf numFmtId="9" fontId="28" fillId="0" borderId="0" xfId="0" applyNumberFormat="1" applyFont="1" applyBorder="1" applyAlignment="1">
      <alignment horizontal="center" vertical="center" wrapText="1"/>
    </xf>
    <xf numFmtId="9" fontId="28" fillId="0" borderId="64" xfId="0" applyNumberFormat="1" applyFont="1" applyBorder="1" applyAlignment="1">
      <alignment horizontal="center" vertical="center" wrapText="1"/>
    </xf>
    <xf numFmtId="9" fontId="49" fillId="0" borderId="56" xfId="0" applyNumberFormat="1" applyFont="1" applyBorder="1" applyAlignment="1">
      <alignment horizontal="center" vertical="center" wrapText="1"/>
    </xf>
    <xf numFmtId="9" fontId="49" fillId="0" borderId="0" xfId="0" applyNumberFormat="1" applyFont="1" applyBorder="1" applyAlignment="1">
      <alignment horizontal="center" vertical="center" wrapText="1"/>
    </xf>
    <xf numFmtId="9" fontId="49" fillId="0" borderId="19" xfId="0" applyNumberFormat="1" applyFont="1" applyBorder="1" applyAlignment="1">
      <alignment horizontal="center" vertical="center" wrapText="1"/>
    </xf>
    <xf numFmtId="165" fontId="28" fillId="0" borderId="64" xfId="0" applyNumberFormat="1" applyFont="1" applyBorder="1" applyAlignment="1">
      <alignment horizontal="center" vertical="center" wrapText="1"/>
    </xf>
    <xf numFmtId="9" fontId="49" fillId="0" borderId="23" xfId="0" applyNumberFormat="1" applyFont="1" applyBorder="1" applyAlignment="1">
      <alignment horizontal="center" vertical="center" wrapText="1"/>
    </xf>
    <xf numFmtId="0" fontId="27" fillId="6" borderId="46" xfId="0" applyFont="1" applyFill="1" applyBorder="1" applyAlignment="1">
      <alignment horizontal="center" vertical="center" wrapText="1"/>
    </xf>
    <xf numFmtId="0" fontId="27" fillId="6" borderId="56" xfId="0" applyFont="1" applyFill="1" applyBorder="1" applyAlignment="1">
      <alignment horizontal="center" vertical="center" wrapText="1"/>
    </xf>
    <xf numFmtId="0" fontId="27" fillId="6" borderId="65" xfId="0" applyFont="1" applyFill="1" applyBorder="1" applyAlignment="1">
      <alignment horizontal="center" vertical="center" wrapText="1"/>
    </xf>
    <xf numFmtId="0" fontId="27" fillId="18" borderId="50" xfId="0" applyFont="1" applyFill="1" applyBorder="1" applyAlignment="1">
      <alignment horizontal="center" vertical="center" wrapText="1"/>
    </xf>
    <xf numFmtId="0" fontId="27" fillId="18" borderId="6" xfId="0" applyFont="1" applyFill="1" applyBorder="1" applyAlignment="1">
      <alignment horizontal="center" vertical="center" wrapText="1"/>
    </xf>
    <xf numFmtId="0" fontId="27" fillId="18" borderId="51" xfId="0" applyFont="1" applyFill="1" applyBorder="1" applyAlignment="1">
      <alignment horizontal="center" vertical="center" wrapText="1"/>
    </xf>
    <xf numFmtId="0" fontId="40" fillId="5" borderId="50" xfId="0" applyFont="1" applyFill="1" applyBorder="1" applyAlignment="1">
      <alignment horizontal="center" vertical="center" wrapText="1"/>
    </xf>
    <xf numFmtId="0" fontId="40" fillId="5" borderId="6" xfId="0" applyFont="1" applyFill="1" applyBorder="1" applyAlignment="1">
      <alignment horizontal="center" vertical="center" wrapText="1"/>
    </xf>
    <xf numFmtId="0" fontId="40" fillId="5" borderId="51" xfId="0" applyFont="1" applyFill="1" applyBorder="1" applyAlignment="1">
      <alignment horizontal="center" vertical="center" wrapText="1"/>
    </xf>
    <xf numFmtId="0" fontId="0" fillId="14" borderId="29" xfId="0" applyFont="1" applyFill="1" applyBorder="1" applyAlignment="1">
      <alignment horizontal="center" vertical="center" wrapText="1"/>
    </xf>
    <xf numFmtId="0" fontId="0" fillId="14" borderId="5" xfId="0" applyFont="1" applyFill="1" applyBorder="1" applyAlignment="1">
      <alignment horizontal="center" vertical="center" wrapText="1"/>
    </xf>
    <xf numFmtId="0" fontId="28" fillId="15" borderId="14" xfId="0" applyFont="1" applyFill="1" applyBorder="1" applyAlignment="1">
      <alignment horizontal="center" vertical="center" wrapText="1"/>
    </xf>
    <xf numFmtId="0" fontId="28" fillId="15" borderId="10" xfId="0" applyFont="1" applyFill="1" applyBorder="1" applyAlignment="1">
      <alignment horizontal="center" vertical="center" wrapText="1"/>
    </xf>
    <xf numFmtId="0" fontId="28" fillId="15" borderId="8" xfId="0" applyFont="1" applyFill="1" applyBorder="1" applyAlignment="1">
      <alignment horizontal="center" vertical="center" wrapText="1"/>
    </xf>
    <xf numFmtId="0" fontId="0" fillId="17" borderId="22"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18" xfId="0" applyFill="1" applyBorder="1" applyAlignment="1">
      <alignment horizontal="center" vertical="center" wrapText="1"/>
    </xf>
    <xf numFmtId="0" fontId="28" fillId="15" borderId="11" xfId="0" applyFont="1" applyFill="1" applyBorder="1" applyAlignment="1">
      <alignment horizontal="center" vertical="center" wrapText="1"/>
    </xf>
    <xf numFmtId="0" fontId="28" fillId="0" borderId="8" xfId="0" applyFont="1" applyBorder="1" applyAlignment="1">
      <alignment horizontal="center" vertical="center" wrapText="1"/>
    </xf>
    <xf numFmtId="0" fontId="0" fillId="14" borderId="25" xfId="0" applyFont="1" applyFill="1" applyBorder="1" applyAlignment="1">
      <alignment horizontal="center" vertical="center" wrapText="1"/>
    </xf>
    <xf numFmtId="0" fontId="0" fillId="14" borderId="2" xfId="0" applyFont="1" applyFill="1" applyBorder="1" applyAlignment="1">
      <alignment horizontal="center" vertical="center" wrapText="1"/>
    </xf>
    <xf numFmtId="0" fontId="31" fillId="15" borderId="16" xfId="0" applyFont="1" applyFill="1" applyBorder="1" applyAlignment="1">
      <alignment horizontal="center" vertical="center" wrapText="1"/>
    </xf>
    <xf numFmtId="0" fontId="31" fillId="15" borderId="1" xfId="0" applyFont="1" applyFill="1" applyBorder="1" applyAlignment="1">
      <alignment horizontal="center" vertical="center" wrapText="1"/>
    </xf>
    <xf numFmtId="0" fontId="31" fillId="15" borderId="9" xfId="0" applyFont="1" applyFill="1" applyBorder="1" applyAlignment="1">
      <alignment horizontal="center" vertical="center" wrapText="1"/>
    </xf>
    <xf numFmtId="0" fontId="6" fillId="15" borderId="29" xfId="0" applyFont="1" applyFill="1" applyBorder="1" applyAlignment="1">
      <alignment horizontal="center" vertical="center" wrapText="1"/>
    </xf>
    <xf numFmtId="0" fontId="6" fillId="15" borderId="42" xfId="0" applyFont="1" applyFill="1" applyBorder="1" applyAlignment="1">
      <alignment horizontal="center" vertical="center" wrapText="1"/>
    </xf>
    <xf numFmtId="0" fontId="6" fillId="15" borderId="32"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41" xfId="0" applyFont="1" applyFill="1" applyBorder="1" applyAlignment="1">
      <alignment horizontal="center" vertical="center" wrapText="1"/>
    </xf>
    <xf numFmtId="0" fontId="6" fillId="15" borderId="34"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43" fillId="15" borderId="1" xfId="0" applyFont="1" applyFill="1" applyBorder="1" applyAlignment="1">
      <alignment horizontal="center" vertical="center" wrapText="1"/>
    </xf>
    <xf numFmtId="165" fontId="6" fillId="15" borderId="16" xfId="0" applyNumberFormat="1" applyFont="1" applyFill="1" applyBorder="1" applyAlignment="1">
      <alignment horizontal="center" vertical="center" wrapText="1"/>
    </xf>
    <xf numFmtId="165" fontId="6" fillId="15" borderId="15" xfId="0" applyNumberFormat="1"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5" borderId="4" xfId="0" applyFont="1" applyFill="1" applyBorder="1" applyAlignment="1">
      <alignment horizontal="center" vertical="center" wrapText="1"/>
    </xf>
    <xf numFmtId="165" fontId="6" fillId="15" borderId="1" xfId="0" applyNumberFormat="1" applyFont="1" applyFill="1" applyBorder="1" applyAlignment="1">
      <alignment horizontal="center" vertical="center" wrapText="1"/>
    </xf>
    <xf numFmtId="165" fontId="6" fillId="15" borderId="4" xfId="0" applyNumberFormat="1" applyFont="1" applyFill="1" applyBorder="1" applyAlignment="1">
      <alignment horizontal="center" vertical="center" wrapText="1"/>
    </xf>
    <xf numFmtId="165" fontId="29" fillId="14" borderId="41" xfId="0" applyNumberFormat="1" applyFont="1" applyFill="1" applyBorder="1" applyAlignment="1">
      <alignment horizontal="center" vertical="center" wrapText="1"/>
    </xf>
    <xf numFmtId="0" fontId="6" fillId="7" borderId="4"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41" xfId="0" applyFont="1" applyFill="1" applyBorder="1" applyAlignment="1">
      <alignment horizontal="center" vertical="center" wrapText="1"/>
    </xf>
    <xf numFmtId="0" fontId="6" fillId="7" borderId="34" xfId="0" applyFont="1" applyFill="1" applyBorder="1" applyAlignment="1">
      <alignment horizontal="center" vertical="center" wrapText="1"/>
    </xf>
    <xf numFmtId="0" fontId="6" fillId="7" borderId="30" xfId="0" applyFont="1" applyFill="1" applyBorder="1" applyAlignment="1">
      <alignment horizontal="center" vertical="center" wrapText="1"/>
    </xf>
    <xf numFmtId="0" fontId="6" fillId="7" borderId="43" xfId="0" applyFont="1" applyFill="1" applyBorder="1" applyAlignment="1">
      <alignment horizontal="center" vertical="center" wrapText="1"/>
    </xf>
    <xf numFmtId="0" fontId="6" fillId="7" borderId="33" xfId="0" applyFont="1" applyFill="1" applyBorder="1" applyAlignment="1">
      <alignment horizontal="center" vertical="center" wrapText="1"/>
    </xf>
    <xf numFmtId="0" fontId="33" fillId="3" borderId="16"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4" fillId="15" borderId="16" xfId="0" applyFont="1" applyFill="1" applyBorder="1" applyAlignment="1">
      <alignment horizontal="center" vertical="center" textRotation="90" wrapText="1"/>
    </xf>
    <xf numFmtId="0" fontId="4" fillId="15" borderId="15" xfId="0" applyFont="1" applyFill="1" applyBorder="1" applyAlignment="1">
      <alignment horizontal="center" vertical="center" textRotation="90" wrapText="1"/>
    </xf>
    <xf numFmtId="0" fontId="4" fillId="15" borderId="1" xfId="0" applyFont="1" applyFill="1" applyBorder="1" applyAlignment="1">
      <alignment horizontal="center" vertical="center" textRotation="90" wrapText="1"/>
    </xf>
    <xf numFmtId="0" fontId="4" fillId="15" borderId="4" xfId="0" applyFont="1" applyFill="1" applyBorder="1" applyAlignment="1">
      <alignment horizontal="center" vertical="center" textRotation="90" wrapText="1"/>
    </xf>
    <xf numFmtId="0" fontId="43" fillId="15" borderId="16" xfId="0" applyFont="1" applyFill="1" applyBorder="1" applyAlignment="1">
      <alignment horizontal="center" vertical="center" wrapText="1"/>
    </xf>
    <xf numFmtId="0" fontId="6" fillId="7" borderId="60" xfId="0" applyFont="1" applyFill="1" applyBorder="1" applyAlignment="1">
      <alignment horizontal="center" vertical="center" wrapText="1"/>
    </xf>
    <xf numFmtId="0" fontId="6" fillId="7" borderId="58" xfId="0" applyFont="1" applyFill="1" applyBorder="1" applyAlignment="1">
      <alignment horizontal="center" vertical="center" wrapText="1"/>
    </xf>
    <xf numFmtId="16" fontId="33" fillId="3" borderId="16" xfId="0" applyNumberFormat="1" applyFont="1" applyFill="1" applyBorder="1" applyAlignment="1">
      <alignment horizontal="center" vertical="center" wrapText="1"/>
    </xf>
    <xf numFmtId="0" fontId="6" fillId="7" borderId="69"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18" xfId="0" applyFont="1" applyFill="1" applyBorder="1" applyAlignment="1">
      <alignment horizontal="center" vertical="center" wrapText="1"/>
    </xf>
    <xf numFmtId="165" fontId="29" fillId="14" borderId="42" xfId="0" applyNumberFormat="1" applyFont="1" applyFill="1" applyBorder="1" applyAlignment="1">
      <alignment horizontal="center" vertical="center" wrapText="1"/>
    </xf>
    <xf numFmtId="0" fontId="6" fillId="7" borderId="12" xfId="0" applyFont="1" applyFill="1" applyBorder="1" applyAlignment="1">
      <alignment horizontal="center" vertical="center" wrapText="1"/>
    </xf>
    <xf numFmtId="0" fontId="0" fillId="0" borderId="60" xfId="0" applyBorder="1" applyAlignment="1">
      <alignment horizontal="center" vertical="center" wrapText="1"/>
    </xf>
    <xf numFmtId="0" fontId="36" fillId="6" borderId="10"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6" borderId="11" xfId="0" applyFont="1" applyFill="1" applyBorder="1" applyAlignment="1">
      <alignment horizontal="center" vertical="center" wrapText="1"/>
    </xf>
    <xf numFmtId="0" fontId="36" fillId="6" borderId="13" xfId="0" applyFont="1" applyFill="1" applyBorder="1" applyAlignment="1">
      <alignment horizontal="center" vertical="center" wrapText="1"/>
    </xf>
    <xf numFmtId="0" fontId="36" fillId="6" borderId="14" xfId="0" applyFont="1" applyFill="1" applyBorder="1" applyAlignment="1">
      <alignment horizontal="center" vertical="center" wrapText="1"/>
    </xf>
    <xf numFmtId="0" fontId="36" fillId="6" borderId="15" xfId="0" applyFont="1" applyFill="1" applyBorder="1" applyAlignment="1">
      <alignment horizontal="center" vertical="center" wrapText="1"/>
    </xf>
    <xf numFmtId="0" fontId="27" fillId="0" borderId="10" xfId="0" applyFont="1" applyBorder="1" applyAlignment="1"/>
    <xf numFmtId="0" fontId="27" fillId="0" borderId="8" xfId="0" applyFont="1" applyBorder="1" applyAlignment="1"/>
    <xf numFmtId="0" fontId="36" fillId="6" borderId="8" xfId="0" applyFont="1" applyFill="1" applyBorder="1" applyAlignment="1">
      <alignment horizontal="center" vertical="center" wrapText="1"/>
    </xf>
    <xf numFmtId="0" fontId="36" fillId="6" borderId="7" xfId="0" applyFont="1" applyFill="1" applyBorder="1" applyAlignment="1">
      <alignment horizontal="center" vertical="center" wrapText="1"/>
    </xf>
    <xf numFmtId="0" fontId="6" fillId="0" borderId="0" xfId="0" applyFont="1" applyFill="1" applyBorder="1" applyAlignment="1">
      <alignment horizontal="right" vertical="center" wrapText="1"/>
    </xf>
    <xf numFmtId="0" fontId="6" fillId="0" borderId="19" xfId="0" applyFont="1" applyFill="1" applyBorder="1" applyAlignment="1">
      <alignment horizontal="right" vertical="center" wrapText="1"/>
    </xf>
    <xf numFmtId="0" fontId="6" fillId="0" borderId="3" xfId="0" applyFont="1" applyFill="1" applyBorder="1" applyAlignment="1">
      <alignment horizontal="right" vertical="center" wrapText="1"/>
    </xf>
    <xf numFmtId="0" fontId="6" fillId="0" borderId="18" xfId="0" applyFont="1" applyFill="1" applyBorder="1" applyAlignment="1">
      <alignment horizontal="right" vertical="center" wrapText="1"/>
    </xf>
    <xf numFmtId="0" fontId="18" fillId="0" borderId="3" xfId="0" applyFont="1" applyBorder="1" applyAlignment="1">
      <alignment horizontal="center" wrapText="1"/>
    </xf>
    <xf numFmtId="0" fontId="6" fillId="0" borderId="20" xfId="0" applyFont="1" applyBorder="1" applyAlignment="1">
      <alignment horizontal="right" wrapText="1"/>
    </xf>
    <xf numFmtId="0" fontId="6" fillId="0" borderId="0" xfId="0" applyFont="1" applyBorder="1" applyAlignment="1">
      <alignment horizontal="right" wrapText="1"/>
    </xf>
    <xf numFmtId="0" fontId="6" fillId="0" borderId="17" xfId="0" applyFont="1" applyBorder="1" applyAlignment="1">
      <alignment horizontal="right" wrapText="1"/>
    </xf>
    <xf numFmtId="0" fontId="6" fillId="0" borderId="3" xfId="0" applyFont="1" applyBorder="1" applyAlignment="1">
      <alignment horizontal="right" wrapText="1"/>
    </xf>
    <xf numFmtId="0" fontId="36" fillId="6" borderId="47" xfId="0" applyFont="1" applyFill="1" applyBorder="1" applyAlignment="1">
      <alignment horizontal="center" vertical="center" wrapText="1"/>
    </xf>
    <xf numFmtId="0" fontId="36" fillId="6" borderId="34" xfId="0" applyFont="1" applyFill="1" applyBorder="1" applyAlignment="1">
      <alignment horizontal="center" vertical="center" wrapText="1"/>
    </xf>
    <xf numFmtId="0" fontId="37" fillId="6" borderId="21" xfId="0" applyFont="1" applyFill="1" applyBorder="1" applyAlignment="1">
      <alignment horizontal="center" vertical="center" wrapText="1"/>
    </xf>
    <xf numFmtId="0" fontId="37" fillId="6" borderId="22" xfId="0" applyFont="1" applyFill="1" applyBorder="1" applyAlignment="1">
      <alignment horizontal="center" vertical="center" wrapText="1"/>
    </xf>
    <xf numFmtId="9" fontId="8" fillId="0" borderId="57" xfId="0" applyNumberFormat="1" applyFont="1" applyBorder="1" applyAlignment="1">
      <alignment horizontal="center" vertical="center" wrapText="1"/>
    </xf>
    <xf numFmtId="9" fontId="8" fillId="0" borderId="58" xfId="0" applyNumberFormat="1" applyFont="1" applyBorder="1" applyAlignment="1">
      <alignment horizontal="center" vertical="center" wrapText="1"/>
    </xf>
    <xf numFmtId="0" fontId="37" fillId="6" borderId="23"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8" xfId="0" applyFont="1" applyBorder="1" applyAlignment="1">
      <alignment horizontal="center" vertical="center" wrapText="1"/>
    </xf>
    <xf numFmtId="0" fontId="36" fillId="6" borderId="49" xfId="0" applyFont="1" applyFill="1" applyBorder="1" applyAlignment="1">
      <alignment horizontal="center" vertical="center" wrapText="1"/>
    </xf>
    <xf numFmtId="0" fontId="36" fillId="6" borderId="44" xfId="0" applyFont="1" applyFill="1" applyBorder="1" applyAlignment="1">
      <alignment horizontal="center" vertical="center" wrapText="1"/>
    </xf>
    <xf numFmtId="0" fontId="36" fillId="6" borderId="45" xfId="0" applyFont="1" applyFill="1" applyBorder="1" applyAlignment="1">
      <alignment horizontal="center" vertical="center" wrapText="1"/>
    </xf>
    <xf numFmtId="0" fontId="4" fillId="0" borderId="0" xfId="0" applyFont="1" applyBorder="1" applyAlignment="1">
      <alignment horizontal="left" vertical="center" wrapText="1"/>
    </xf>
    <xf numFmtId="0" fontId="10" fillId="0" borderId="3" xfId="0" applyFont="1" applyBorder="1" applyAlignment="1" applyProtection="1">
      <alignment horizontal="right"/>
      <protection locked="0"/>
    </xf>
    <xf numFmtId="0" fontId="26" fillId="6" borderId="8" xfId="0" applyFont="1" applyFill="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40" fillId="6" borderId="10" xfId="0" applyFont="1" applyFill="1" applyBorder="1" applyAlignment="1" applyProtection="1">
      <alignment horizontal="center" vertical="center" wrapText="1"/>
      <protection locked="0"/>
    </xf>
    <xf numFmtId="0" fontId="40" fillId="6" borderId="4" xfId="0" applyFont="1" applyFill="1" applyBorder="1" applyAlignment="1" applyProtection="1">
      <alignment horizontal="center" vertical="center" wrapText="1"/>
      <protection locked="0"/>
    </xf>
    <xf numFmtId="0" fontId="26" fillId="6" borderId="10" xfId="0" applyFont="1" applyFill="1" applyBorder="1" applyAlignment="1" applyProtection="1">
      <alignment horizontal="center" vertical="center" wrapText="1"/>
    </xf>
    <xf numFmtId="0" fontId="27" fillId="6" borderId="4" xfId="0" applyFont="1" applyFill="1" applyBorder="1" applyAlignment="1" applyProtection="1">
      <alignment horizontal="center" vertical="center" wrapText="1"/>
    </xf>
    <xf numFmtId="0" fontId="26" fillId="6" borderId="10" xfId="0" applyFont="1" applyFill="1" applyBorder="1" applyAlignment="1" applyProtection="1">
      <alignment horizontal="center" vertical="center" wrapText="1"/>
      <protection locked="0"/>
    </xf>
    <xf numFmtId="0" fontId="27" fillId="6" borderId="4" xfId="0" applyFont="1" applyFill="1" applyBorder="1" applyAlignment="1" applyProtection="1">
      <alignment horizontal="center" vertical="center" wrapText="1"/>
      <protection locked="0"/>
    </xf>
    <xf numFmtId="0" fontId="26" fillId="6" borderId="10" xfId="0" applyFont="1" applyFill="1" applyBorder="1" applyAlignment="1">
      <alignment horizontal="center" vertical="center" wrapText="1"/>
    </xf>
    <xf numFmtId="0" fontId="40" fillId="6" borderId="14" xfId="0" applyFont="1" applyFill="1" applyBorder="1" applyAlignment="1" applyProtection="1">
      <alignment horizontal="center" vertical="center" wrapText="1"/>
      <protection locked="0"/>
    </xf>
    <xf numFmtId="0" fontId="40" fillId="6" borderId="15" xfId="0" applyFont="1" applyFill="1" applyBorder="1" applyAlignment="1" applyProtection="1">
      <alignment horizontal="center" vertical="center" wrapText="1"/>
      <protection locked="0"/>
    </xf>
    <xf numFmtId="164" fontId="40" fillId="6" borderId="10" xfId="0" applyNumberFormat="1" applyFont="1" applyFill="1" applyBorder="1" applyAlignment="1" applyProtection="1">
      <alignment horizontal="center" vertical="center" wrapText="1"/>
      <protection locked="0"/>
    </xf>
    <xf numFmtId="164" fontId="40" fillId="6" borderId="4" xfId="0" applyNumberFormat="1" applyFont="1" applyFill="1" applyBorder="1" applyAlignment="1" applyProtection="1">
      <alignment horizontal="center" vertical="center" wrapText="1"/>
      <protection locked="0"/>
    </xf>
    <xf numFmtId="0" fontId="38" fillId="6" borderId="47" xfId="0" applyFont="1" applyFill="1" applyBorder="1" applyAlignment="1" applyProtection="1">
      <alignment horizontal="center" vertical="center" wrapText="1"/>
      <protection locked="0"/>
    </xf>
    <xf numFmtId="0" fontId="38" fillId="6" borderId="34" xfId="0" applyFont="1" applyFill="1" applyBorder="1" applyAlignment="1" applyProtection="1">
      <alignment horizontal="center" vertical="center" wrapText="1"/>
      <protection locked="0"/>
    </xf>
    <xf numFmtId="0" fontId="42" fillId="0" borderId="3" xfId="0" applyFont="1" applyBorder="1" applyAlignment="1">
      <alignment horizontal="right"/>
    </xf>
    <xf numFmtId="0" fontId="38" fillId="6" borderId="10" xfId="0" applyFont="1" applyFill="1" applyBorder="1" applyAlignment="1">
      <alignment horizontal="center" vertical="center" wrapText="1"/>
    </xf>
    <xf numFmtId="0" fontId="38" fillId="6" borderId="4" xfId="0" applyFont="1" applyFill="1" applyBorder="1" applyAlignment="1">
      <alignment horizontal="center" vertical="center" wrapText="1"/>
    </xf>
    <xf numFmtId="0" fontId="38" fillId="6" borderId="11" xfId="0" applyFont="1" applyFill="1" applyBorder="1" applyAlignment="1">
      <alignment horizontal="center" vertical="center" wrapText="1"/>
    </xf>
    <xf numFmtId="0" fontId="38" fillId="6" borderId="13" xfId="0" applyFont="1" applyFill="1" applyBorder="1" applyAlignment="1">
      <alignment horizontal="center" vertical="center" wrapText="1"/>
    </xf>
    <xf numFmtId="0" fontId="38" fillId="6" borderId="31" xfId="0" applyFont="1" applyFill="1" applyBorder="1" applyAlignment="1">
      <alignment horizontal="center" vertical="center" wrapText="1"/>
    </xf>
    <xf numFmtId="0" fontId="38" fillId="6" borderId="38" xfId="0" applyFont="1" applyFill="1" applyBorder="1" applyAlignment="1">
      <alignment horizontal="center" vertical="center" wrapText="1"/>
    </xf>
    <xf numFmtId="0" fontId="41" fillId="0" borderId="3" xfId="0" applyFont="1" applyBorder="1" applyAlignment="1">
      <alignment horizontal="right" wrapText="1"/>
    </xf>
    <xf numFmtId="0" fontId="10" fillId="0" borderId="3" xfId="0" applyFont="1" applyBorder="1" applyAlignment="1">
      <alignment horizontal="center" wrapText="1"/>
    </xf>
    <xf numFmtId="0" fontId="27" fillId="6" borderId="45" xfId="0" applyFont="1" applyFill="1" applyBorder="1" applyAlignment="1">
      <alignment horizontal="center" vertical="center" wrapText="1"/>
    </xf>
    <xf numFmtId="0" fontId="27" fillId="6" borderId="60" xfId="0" applyFont="1" applyFill="1" applyBorder="1" applyAlignment="1">
      <alignment horizontal="center" vertical="center" wrapText="1"/>
    </xf>
    <xf numFmtId="0" fontId="27" fillId="6" borderId="58" xfId="0" applyFont="1" applyFill="1" applyBorder="1" applyAlignment="1">
      <alignment horizontal="center" vertical="center" wrapText="1"/>
    </xf>
    <xf numFmtId="0" fontId="27" fillId="6" borderId="8" xfId="0" applyFont="1" applyFill="1" applyBorder="1" applyAlignment="1">
      <alignment horizontal="center" vertical="center" wrapText="1"/>
    </xf>
    <xf numFmtId="0" fontId="27" fillId="6" borderId="9"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27" fillId="6" borderId="29"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6" borderId="61" xfId="0" applyFont="1" applyFill="1" applyBorder="1" applyAlignment="1">
      <alignment horizontal="center" vertical="center" wrapText="1"/>
    </xf>
    <xf numFmtId="0" fontId="27" fillId="6" borderId="63" xfId="0" applyFont="1" applyFill="1" applyBorder="1" applyAlignment="1">
      <alignment horizontal="center" vertical="center" wrapText="1"/>
    </xf>
    <xf numFmtId="0" fontId="27" fillId="6" borderId="22" xfId="0" applyFont="1" applyFill="1" applyBorder="1" applyAlignment="1">
      <alignment horizontal="center" vertical="center" wrapText="1"/>
    </xf>
    <xf numFmtId="0" fontId="27" fillId="6" borderId="28" xfId="0" applyFont="1" applyFill="1" applyBorder="1" applyAlignment="1">
      <alignment horizontal="center" vertical="center" wrapText="1"/>
    </xf>
    <xf numFmtId="0" fontId="27" fillId="6" borderId="68" xfId="0" applyFont="1" applyFill="1" applyBorder="1" applyAlignment="1">
      <alignment horizontal="center" vertical="center" wrapText="1"/>
    </xf>
    <xf numFmtId="0" fontId="65" fillId="6" borderId="10" xfId="2" applyFill="1" applyBorder="1" applyAlignment="1">
      <alignment horizontal="center" vertical="center" wrapText="1"/>
    </xf>
    <xf numFmtId="0" fontId="65" fillId="6" borderId="1" xfId="2" applyFill="1" applyBorder="1" applyAlignment="1">
      <alignment horizontal="center" vertical="center" wrapText="1"/>
    </xf>
    <xf numFmtId="0" fontId="65" fillId="6" borderId="5" xfId="2" applyFill="1" applyBorder="1" applyAlignment="1">
      <alignment horizontal="center" vertical="center" wrapText="1"/>
    </xf>
    <xf numFmtId="0" fontId="6" fillId="0" borderId="0" xfId="0" applyFont="1" applyBorder="1" applyAlignment="1">
      <alignment horizontal="left" vertical="center" wrapText="1"/>
    </xf>
    <xf numFmtId="0" fontId="14" fillId="0" borderId="0" xfId="0" applyFont="1" applyBorder="1" applyAlignment="1">
      <alignment horizontal="center" vertical="center" wrapText="1"/>
    </xf>
    <xf numFmtId="0" fontId="44" fillId="0" borderId="0" xfId="0" applyFont="1" applyBorder="1" applyAlignment="1">
      <alignment horizontal="center" vertical="center" wrapText="1"/>
    </xf>
    <xf numFmtId="0" fontId="62" fillId="24" borderId="0"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7" fillId="6" borderId="13" xfId="0" applyFont="1" applyFill="1" applyBorder="1" applyAlignment="1">
      <alignment horizontal="center" vertical="center" wrapText="1"/>
    </xf>
    <xf numFmtId="0" fontId="27" fillId="6" borderId="47" xfId="0" applyFont="1" applyFill="1" applyBorder="1" applyAlignment="1">
      <alignment horizontal="center" vertical="center" wrapText="1"/>
    </xf>
    <xf numFmtId="0" fontId="27" fillId="6" borderId="34" xfId="0" applyFont="1" applyFill="1" applyBorder="1" applyAlignment="1">
      <alignment horizontal="center" vertical="center" wrapText="1"/>
    </xf>
    <xf numFmtId="0" fontId="44" fillId="0" borderId="3" xfId="0" applyFont="1" applyBorder="1" applyAlignment="1">
      <alignment horizontal="center" wrapText="1"/>
    </xf>
    <xf numFmtId="0" fontId="10" fillId="0" borderId="3" xfId="0" applyFont="1" applyBorder="1" applyAlignment="1">
      <alignment horizontal="right" wrapText="1"/>
    </xf>
    <xf numFmtId="0" fontId="15" fillId="0" borderId="6" xfId="0" applyFont="1" applyBorder="1" applyAlignment="1">
      <alignment horizontal="center"/>
    </xf>
    <xf numFmtId="14" fontId="14" fillId="0" borderId="6" xfId="0" applyNumberFormat="1" applyFont="1" applyBorder="1" applyAlignment="1">
      <alignment horizontal="center"/>
    </xf>
    <xf numFmtId="0" fontId="11" fillId="0" borderId="6" xfId="0" applyFont="1" applyBorder="1" applyAlignment="1">
      <alignment horizontal="right"/>
    </xf>
    <xf numFmtId="0" fontId="0" fillId="0" borderId="20" xfId="0" applyBorder="1" applyAlignment="1">
      <alignment horizontal="center" vertical="center" wrapText="1"/>
    </xf>
    <xf numFmtId="0" fontId="5" fillId="0" borderId="48"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40" xfId="0" applyFont="1" applyBorder="1" applyAlignment="1">
      <alignment horizontal="center" vertical="center" wrapText="1"/>
    </xf>
    <xf numFmtId="0" fontId="11" fillId="0" borderId="3" xfId="0" applyFont="1" applyBorder="1" applyAlignment="1">
      <alignment horizontal="left" vertical="top" wrapText="1"/>
    </xf>
    <xf numFmtId="0" fontId="11" fillId="0" borderId="3" xfId="0" applyFont="1" applyBorder="1" applyAlignment="1">
      <alignment horizontal="left" vertical="top"/>
    </xf>
    <xf numFmtId="0" fontId="6" fillId="0" borderId="19" xfId="0" applyFont="1" applyBorder="1" applyAlignment="1">
      <alignment horizontal="left" vertical="center" wrapText="1"/>
    </xf>
    <xf numFmtId="0" fontId="16" fillId="2" borderId="49" xfId="0" applyFont="1" applyFill="1" applyBorder="1" applyAlignment="1">
      <alignment horizontal="center" vertical="center" wrapText="1"/>
    </xf>
    <xf numFmtId="0" fontId="16" fillId="2" borderId="44" xfId="0" applyFont="1" applyFill="1" applyBorder="1" applyAlignment="1">
      <alignment horizontal="center" vertical="center" wrapText="1"/>
    </xf>
    <xf numFmtId="0" fontId="16" fillId="2" borderId="45"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5" fillId="4" borderId="52"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40" xfId="0" applyFont="1" applyFill="1" applyBorder="1" applyAlignment="1">
      <alignment horizontal="center" vertical="center" wrapText="1"/>
    </xf>
  </cellXfs>
  <cellStyles count="4">
    <cellStyle name="Lien hypertexte" xfId="2" builtinId="8"/>
    <cellStyle name="Normal" xfId="0" builtinId="0"/>
    <cellStyle name="Normal 2" xfId="1"/>
    <cellStyle name="Normal 5" xfId="3"/>
  </cellStyles>
  <dxfs count="16984">
    <dxf>
      <font>
        <color theme="0"/>
      </font>
      <fill>
        <patternFill>
          <bgColor rgb="FFFF0000"/>
        </patternFill>
      </fill>
    </dxf>
    <dxf>
      <font>
        <color auto="1"/>
      </font>
      <fill>
        <patternFill patternType="none">
          <bgColor auto="1"/>
        </patternFill>
      </fill>
    </dxf>
    <dxf>
      <fill>
        <patternFill>
          <bgColor theme="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font>
      <fill>
        <patternFill patternType="lightUp"/>
      </fill>
    </dxf>
    <dxf>
      <font>
        <color theme="0"/>
      </font>
      <fill>
        <patternFill patternType="lightUp"/>
      </fill>
    </dxf>
    <dxf>
      <font>
        <color theme="0"/>
      </font>
      <fill>
        <patternFill patternType="lightUp"/>
      </fill>
    </dxf>
    <dxf>
      <font>
        <color theme="0"/>
      </font>
      <fill>
        <patternFill patternType="lightUp"/>
      </fill>
    </dxf>
    <dxf>
      <fill>
        <patternFill>
          <bgColor rgb="FF92D050"/>
        </patternFill>
      </fill>
    </dxf>
    <dxf>
      <fill>
        <patternFill>
          <bgColor rgb="FFFFC000"/>
        </patternFill>
      </fill>
    </dxf>
    <dxf>
      <fill>
        <patternFill>
          <bgColor rgb="FFFF0000"/>
        </patternFill>
      </fill>
    </dxf>
    <dxf>
      <font>
        <color theme="0"/>
      </font>
      <fill>
        <patternFill patternType="lightUp"/>
      </fill>
    </dxf>
    <dxf>
      <font>
        <color theme="0"/>
      </font>
      <fill>
        <patternFill patternType="lightUp"/>
      </fill>
    </dxf>
    <dxf>
      <fill>
        <patternFill patternType="lightUp"/>
      </fill>
    </dxf>
    <dxf>
      <fill>
        <patternFill patternType="lightUp"/>
      </fill>
    </dxf>
    <dxf>
      <fill>
        <patternFill patternType="lightUp"/>
      </fill>
    </dxf>
    <dxf>
      <font>
        <b/>
        <i val="0"/>
        <color rgb="FFFFFF00"/>
      </font>
      <fill>
        <patternFill>
          <bgColor rgb="FFFF0000"/>
        </patternFill>
      </fill>
    </dxf>
    <dxf>
      <fill>
        <patternFill patternType="lightUp"/>
      </fill>
    </dxf>
    <dxf>
      <fill>
        <patternFill>
          <bgColor rgb="FF92D050"/>
        </patternFill>
      </fill>
    </dxf>
    <dxf>
      <fill>
        <patternFill>
          <bgColor rgb="FF92D050"/>
        </patternFill>
      </fill>
    </dxf>
    <dxf>
      <fill>
        <patternFill>
          <bgColor rgb="FF92D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patternType="lightDown"/>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patternType="lightDown">
          <bgColor theme="0" tint="-0.14996795556505021"/>
        </patternFill>
      </fill>
    </dxf>
    <dxf>
      <fill>
        <patternFill>
          <bgColor theme="2" tint="-9.9948118533890809E-2"/>
        </patternFill>
      </fill>
    </dxf>
    <dxf>
      <fill>
        <patternFill>
          <bgColor theme="9" tint="0.39994506668294322"/>
        </patternFill>
      </fill>
    </dxf>
    <dxf>
      <fill>
        <patternFill>
          <bgColor rgb="FFFFC000"/>
        </patternFill>
      </fill>
    </dxf>
    <dxf>
      <fill>
        <patternFill>
          <bgColor theme="3" tint="0.59996337778862885"/>
        </patternFill>
      </fill>
    </dxf>
    <dxf>
      <fill>
        <patternFill>
          <bgColor theme="5" tint="0.39994506668294322"/>
        </patternFill>
      </fill>
    </dxf>
    <dxf>
      <fill>
        <patternFill>
          <bgColor theme="7" tint="0.59996337778862885"/>
        </patternFill>
      </fill>
    </dxf>
    <dxf>
      <fill>
        <patternFill>
          <bgColor theme="2" tint="-0.24994659260841701"/>
        </patternFill>
      </fill>
    </dxf>
    <dxf>
      <font>
        <color theme="0"/>
      </font>
      <fill>
        <patternFill>
          <bgColor theme="1"/>
        </patternFill>
      </fill>
    </dxf>
    <dxf>
      <fill>
        <patternFill>
          <bgColor rgb="FF00B050"/>
        </patternFill>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
      <fill>
        <patternFill>
          <bgColor theme="9" tint="0.39994506668294322"/>
        </patternFill>
      </fill>
    </dxf>
    <dxf>
      <fill>
        <patternFill>
          <bgColor rgb="FFFFC000"/>
        </patternFill>
      </fill>
    </dxf>
    <dxf>
      <fill>
        <patternFill>
          <bgColor theme="7" tint="0.59996337778862885"/>
        </patternFill>
      </fill>
    </dxf>
    <dxf>
      <fill>
        <patternFill>
          <bgColor theme="3" tint="0.59996337778862885"/>
        </patternFill>
      </fill>
    </dxf>
    <dxf>
      <fill>
        <patternFill>
          <bgColor theme="2" tint="-0.24994659260841701"/>
        </patternFill>
      </fill>
    </dxf>
    <dxf>
      <fill>
        <patternFill>
          <bgColor rgb="FF00B050"/>
        </patternFill>
      </fill>
    </dxf>
    <dxf>
      <font>
        <color theme="0"/>
      </font>
      <fill>
        <patternFill>
          <bgColor theme="1"/>
        </patternFill>
      </fill>
    </dxf>
    <dxf>
      <fill>
        <patternFill>
          <bgColor theme="5" tint="0.39994506668294322"/>
        </patternFill>
      </fill>
    </dxf>
    <dxf>
      <fill>
        <patternFill patternType="lightDown">
          <bgColor theme="0" tint="-0.14996795556505021"/>
        </patternFill>
      </fill>
    </dxf>
    <dxf>
      <fill>
        <patternFill>
          <bgColor theme="2" tint="-9.9948118533890809E-2"/>
        </patternFill>
      </fill>
    </dxf>
    <dxf>
      <fill>
        <patternFill patternType="lightDown"/>
      </fill>
    </dxf>
    <dxf>
      <fill>
        <patternFill patternType="lightDown"/>
      </fill>
    </dxf>
    <dxf>
      <fill>
        <patternFill patternType="lightDown"/>
      </fill>
    </dxf>
    <dxf>
      <fill>
        <patternFill patternType="lightUp"/>
      </fill>
    </dxf>
    <dxf>
      <fill>
        <patternFill patternType="lightDown"/>
      </fill>
    </dxf>
    <dxf>
      <fill>
        <patternFill patternType="lightDown"/>
      </fill>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8.7819148234611372E-2"/>
          <c:y val="5.5672903272412047E-2"/>
          <c:w val="0.90883076801329477"/>
          <c:h val="0.45385730453418094"/>
        </c:manualLayout>
      </c:layout>
      <c:bar3DChart>
        <c:barDir val="col"/>
        <c:grouping val="clustered"/>
        <c:varyColors val="0"/>
        <c:ser>
          <c:idx val="0"/>
          <c:order val="0"/>
          <c:invertIfNegative val="0"/>
          <c:cat>
            <c:numRef>
              <c:f>'Calcul qualite (ne pas toucher)'!$I$2:$I$10</c:f>
              <c:numCache>
                <c:formatCode>General</c:formatCode>
                <c:ptCount val="9"/>
                <c:pt idx="0">
                  <c:v>0</c:v>
                </c:pt>
                <c:pt idx="1">
                  <c:v>0</c:v>
                </c:pt>
                <c:pt idx="2">
                  <c:v>0</c:v>
                </c:pt>
                <c:pt idx="3">
                  <c:v>0</c:v>
                </c:pt>
                <c:pt idx="4">
                  <c:v>0</c:v>
                </c:pt>
                <c:pt idx="5">
                  <c:v>0</c:v>
                </c:pt>
                <c:pt idx="6">
                  <c:v>0</c:v>
                </c:pt>
                <c:pt idx="7">
                  <c:v>0</c:v>
                </c:pt>
                <c:pt idx="8">
                  <c:v>0</c:v>
                </c:pt>
              </c:numCache>
            </c:numRef>
          </c:cat>
          <c:val>
            <c:numRef>
              <c:f>'Calcul qualite (ne pas toucher)'!$J$2:$J$10</c:f>
              <c:numCache>
                <c:formatCode>General</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150"/>
        <c:shape val="cylinder"/>
        <c:axId val="144699600"/>
        <c:axId val="144700384"/>
        <c:axId val="0"/>
      </c:bar3DChart>
      <c:catAx>
        <c:axId val="144699600"/>
        <c:scaling>
          <c:orientation val="minMax"/>
        </c:scaling>
        <c:delete val="0"/>
        <c:axPos val="b"/>
        <c:numFmt formatCode="General" sourceLinked="1"/>
        <c:majorTickMark val="out"/>
        <c:minorTickMark val="none"/>
        <c:tickLblPos val="nextTo"/>
        <c:txPr>
          <a:bodyPr rot="-2700000" vert="horz"/>
          <a:lstStyle/>
          <a:p>
            <a:pPr>
              <a:defRPr sz="900" b="0" i="0" u="none" strike="noStrike" baseline="0">
                <a:solidFill>
                  <a:srgbClr val="000000"/>
                </a:solidFill>
                <a:latin typeface="Calibri"/>
                <a:ea typeface="Calibri"/>
                <a:cs typeface="Calibri"/>
              </a:defRPr>
            </a:pPr>
            <a:endParaRPr lang="fr-FR"/>
          </a:p>
        </c:txPr>
        <c:crossAx val="144700384"/>
        <c:crosses val="autoZero"/>
        <c:auto val="1"/>
        <c:lblAlgn val="ctr"/>
        <c:lblOffset val="100"/>
        <c:noMultiLvlLbl val="0"/>
      </c:catAx>
      <c:valAx>
        <c:axId val="144700384"/>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44699600"/>
        <c:crosses val="autoZero"/>
        <c:crossBetween val="between"/>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906972154796443E-2"/>
          <c:y val="3.7776790059287489E-2"/>
          <c:w val="0.5562876031215106"/>
          <c:h val="0.91984541302415934"/>
        </c:manualLayout>
      </c:layout>
      <c:pieChart>
        <c:varyColors val="1"/>
        <c:ser>
          <c:idx val="0"/>
          <c:order val="0"/>
          <c:dPt>
            <c:idx val="0"/>
            <c:bubble3D val="0"/>
          </c:dPt>
          <c:dPt>
            <c:idx val="1"/>
            <c:bubble3D val="0"/>
          </c:dPt>
          <c:dPt>
            <c:idx val="2"/>
            <c:bubble3D val="0"/>
          </c:dPt>
          <c:dPt>
            <c:idx val="3"/>
            <c:bubble3D val="0"/>
          </c:dPt>
          <c:dPt>
            <c:idx val="4"/>
            <c:bubble3D val="0"/>
          </c:dPt>
          <c:cat>
            <c:strRef>
              <c:f>'Calcul qualite (ne pas toucher)'!$C$11:$C$15</c:f>
              <c:strCache>
                <c:ptCount val="5"/>
                <c:pt idx="0">
                  <c:v>Management/ Pilotage</c:v>
                </c:pt>
                <c:pt idx="1">
                  <c:v>Vente</c:v>
                </c:pt>
                <c:pt idx="2">
                  <c:v>Installation</c:v>
                </c:pt>
                <c:pt idx="3">
                  <c:v>Service/ Installation</c:v>
                </c:pt>
                <c:pt idx="4">
                  <c:v>Support (RH, HA, Matériel..)</c:v>
                </c:pt>
              </c:strCache>
            </c:strRef>
          </c:cat>
          <c:val>
            <c:numRef>
              <c:f>'Calcul qualite (ne pas toucher)'!$F$11:$F$15</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59817143323405819"/>
          <c:y val="3.4943076910338891E-2"/>
          <c:w val="0.38362395115118386"/>
          <c:h val="0.94359488975549977"/>
        </c:manualLayout>
      </c:layout>
      <c:overlay val="0"/>
      <c:txPr>
        <a:bodyPr/>
        <a:lstStyle/>
        <a:p>
          <a:pPr>
            <a:defRPr sz="1100" b="0" i="0" u="none" strike="noStrike" baseline="0">
              <a:solidFill>
                <a:srgbClr val="000000"/>
              </a:solidFill>
              <a:latin typeface="Calibri"/>
              <a:ea typeface="Calibri"/>
              <a:cs typeface="Calibri"/>
            </a:defRPr>
          </a:pPr>
          <a:endParaRPr lang="fr-FR"/>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100001879604085E-2"/>
          <c:y val="4.214129483814523E-2"/>
          <c:w val="0.93042586240383751"/>
          <c:h val="0.76728914482704591"/>
        </c:manualLayout>
      </c:layout>
      <c:barChart>
        <c:barDir val="col"/>
        <c:grouping val="clustered"/>
        <c:varyColors val="0"/>
        <c:ser>
          <c:idx val="0"/>
          <c:order val="0"/>
          <c:invertIfNegative val="0"/>
          <c:cat>
            <c:strRef>
              <c:f>'Calcul qualite (ne pas toucher)'!$E$20:$E$24</c:f>
              <c:strCache>
                <c:ptCount val="5"/>
                <c:pt idx="0">
                  <c:v>Taux d'actions définies</c:v>
                </c:pt>
                <c:pt idx="1">
                  <c:v>Taux d'avancement</c:v>
                </c:pt>
                <c:pt idx="2">
                  <c:v>Taux Soldé/Nb de dysfonctionnements</c:v>
                </c:pt>
                <c:pt idx="3">
                  <c:v>Taux de vérification d'efficacité/ Soldés</c:v>
                </c:pt>
                <c:pt idx="4">
                  <c:v>Taux de vérification d'efficacité/ Total</c:v>
                </c:pt>
              </c:strCache>
            </c:strRef>
          </c:cat>
          <c:val>
            <c:numRef>
              <c:f>'Calcul qualite (ne pas toucher)'!$F$20:$F$24</c:f>
              <c:numCache>
                <c:formatCode>General</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44702736"/>
        <c:axId val="144700776"/>
      </c:barChart>
      <c:catAx>
        <c:axId val="14470273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44700776"/>
        <c:crosses val="autoZero"/>
        <c:auto val="1"/>
        <c:lblAlgn val="ctr"/>
        <c:lblOffset val="100"/>
        <c:noMultiLvlLbl val="0"/>
      </c:catAx>
      <c:valAx>
        <c:axId val="144700776"/>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447027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http://www.google.co.uk/url?sa=i&amp;rct=j&amp;q=&amp;esrc=s&amp;source=images&amp;cd=&amp;cad=rja&amp;uact=8&amp;ved=&amp;url=http://sante-securite.over-blog.com/article-les-freins-a-la-formation-des-agents-territoriaux-de-categorie-c-117398745.html&amp;bvm=bv.118443451,d.bGg&amp;psig=AFQjCNGV2VPAY80ImIwOp4SwtAUU-MI6UA&amp;ust=1459935481148582" TargetMode="External"/><Relationship Id="rId3" Type="http://schemas.openxmlformats.org/officeDocument/2006/relationships/image" Target="../media/image3.jpeg"/><Relationship Id="rId7" Type="http://schemas.openxmlformats.org/officeDocument/2006/relationships/image" Target="../media/image6.jpeg"/><Relationship Id="rId12"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www.google.co.uk/url?sa=i&amp;rct=j&amp;q=&amp;esrc=s&amp;source=images&amp;cd=&amp;cad=rja&amp;uact=8&amp;ved=&amp;url=http://www.mfq-alsace.com/actualites/18-journee-technique-du-club-d-audis-croises.html&amp;psig=AFQjCNGO8bTMygh-zSsADNawsXZo9udiZQ&amp;ust=1459942241835988" TargetMode="External"/><Relationship Id="rId11" Type="http://schemas.openxmlformats.org/officeDocument/2006/relationships/image" Target="../media/image9.png"/><Relationship Id="rId5" Type="http://schemas.openxmlformats.org/officeDocument/2006/relationships/image" Target="../media/image5.jpeg"/><Relationship Id="rId10" Type="http://schemas.openxmlformats.org/officeDocument/2006/relationships/image" Target="../media/image8.png"/><Relationship Id="rId4" Type="http://schemas.openxmlformats.org/officeDocument/2006/relationships/image" Target="../media/image4.jpg"/><Relationship Id="rId9" Type="http://schemas.openxmlformats.org/officeDocument/2006/relationships/image" Target="../media/image7.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1.png"/><Relationship Id="rId5" Type="http://schemas.openxmlformats.org/officeDocument/2006/relationships/image" Target="../media/image13.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4.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289986</xdr:colOff>
      <xdr:row>33</xdr:row>
      <xdr:rowOff>46567</xdr:rowOff>
    </xdr:from>
    <xdr:to>
      <xdr:col>24</xdr:col>
      <xdr:colOff>60920</xdr:colOff>
      <xdr:row>36</xdr:row>
      <xdr:rowOff>135466</xdr:rowOff>
    </xdr:to>
    <xdr:pic>
      <xdr:nvPicPr>
        <xdr:cNvPr id="2" name="Image 1"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0786" y="6752167"/>
          <a:ext cx="6565434" cy="641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67731</xdr:colOff>
      <xdr:row>4</xdr:row>
      <xdr:rowOff>42330</xdr:rowOff>
    </xdr:from>
    <xdr:to>
      <xdr:col>28</xdr:col>
      <xdr:colOff>237067</xdr:colOff>
      <xdr:row>7</xdr:row>
      <xdr:rowOff>76769</xdr:rowOff>
    </xdr:to>
    <xdr:sp macro="" textlink="">
      <xdr:nvSpPr>
        <xdr:cNvPr id="17" name="ZoneTexte 7"/>
        <xdr:cNvSpPr txBox="1"/>
      </xdr:nvSpPr>
      <xdr:spPr>
        <a:xfrm>
          <a:off x="4474631" y="1629830"/>
          <a:ext cx="5236636" cy="586889"/>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1600" b="1" i="1">
              <a:solidFill>
                <a:schemeClr val="tx2"/>
              </a:solidFill>
            </a:rPr>
            <a:t>Pour réduire le nombre d’accidents, </a:t>
          </a:r>
        </a:p>
        <a:p>
          <a:r>
            <a:rPr lang="fr-FR" sz="1600" b="1" i="1">
              <a:solidFill>
                <a:schemeClr val="tx2"/>
              </a:solidFill>
            </a:rPr>
            <a:t>restez toujours vigilant quel que soit votre lieu de travail</a:t>
          </a:r>
        </a:p>
      </xdr:txBody>
    </xdr:sp>
    <xdr:clientData/>
  </xdr:twoCellAnchor>
  <xdr:twoCellAnchor editAs="oneCell">
    <xdr:from>
      <xdr:col>8</xdr:col>
      <xdr:colOff>127000</xdr:colOff>
      <xdr:row>7</xdr:row>
      <xdr:rowOff>8466</xdr:rowOff>
    </xdr:from>
    <xdr:to>
      <xdr:col>11</xdr:col>
      <xdr:colOff>16933</xdr:colOff>
      <xdr:row>12</xdr:row>
      <xdr:rowOff>42330</xdr:rowOff>
    </xdr:to>
    <xdr:pic>
      <xdr:nvPicPr>
        <xdr:cNvPr id="18" name="Picture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8600" y="2148416"/>
          <a:ext cx="956733" cy="95461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13</xdr:col>
      <xdr:colOff>118534</xdr:colOff>
      <xdr:row>8</xdr:row>
      <xdr:rowOff>33865</xdr:rowOff>
    </xdr:from>
    <xdr:to>
      <xdr:col>15</xdr:col>
      <xdr:colOff>292353</xdr:colOff>
      <xdr:row>14</xdr:row>
      <xdr:rowOff>925</xdr:rowOff>
    </xdr:to>
    <xdr:pic>
      <xdr:nvPicPr>
        <xdr:cNvPr id="19" name="Picture 3"/>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4467" t="22709" r="29586" b="14533"/>
        <a:stretch/>
      </xdr:blipFill>
      <xdr:spPr bwMode="auto">
        <a:xfrm>
          <a:off x="4525434" y="2357965"/>
          <a:ext cx="796119" cy="1071960"/>
        </a:xfrm>
        <a:prstGeom prst="rect">
          <a:avLst/>
        </a:prstGeom>
        <a:ln w="9525">
          <a:solidFill>
            <a:schemeClr val="tx1"/>
          </a:solidFill>
          <a:miter lim="800000"/>
          <a:headEnd/>
          <a:tailEnd/>
        </a:ln>
        <a:effectLst>
          <a:outerShdw blurRad="292100" dist="139700" dir="2700000" algn="tl" rotWithShape="0">
            <a:srgbClr val="333333">
              <a:alpha val="65000"/>
            </a:srgbClr>
          </a:outerShdw>
        </a:effectLst>
        <a:extLst>
          <a:ext uri="{909E8E84-426E-40DD-AFC4-6F175D3DCCD1}">
            <a14:hiddenFill xmlns:a14="http://schemas.microsoft.com/office/drawing/2010/main">
              <a:solidFill>
                <a:schemeClr val="accent1"/>
              </a:solidFill>
            </a14:hiddenFill>
          </a:ext>
        </a:extLst>
      </xdr:spPr>
    </xdr:pic>
    <xdr:clientData/>
  </xdr:twoCellAnchor>
  <xdr:twoCellAnchor editAs="oneCell">
    <xdr:from>
      <xdr:col>17</xdr:col>
      <xdr:colOff>364065</xdr:colOff>
      <xdr:row>8</xdr:row>
      <xdr:rowOff>33864</xdr:rowOff>
    </xdr:from>
    <xdr:to>
      <xdr:col>21</xdr:col>
      <xdr:colOff>7642</xdr:colOff>
      <xdr:row>13</xdr:row>
      <xdr:rowOff>8466</xdr:rowOff>
    </xdr:to>
    <xdr:pic>
      <xdr:nvPicPr>
        <xdr:cNvPr id="20" name="Image 19"/>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1765" y="2357964"/>
          <a:ext cx="964377" cy="895352"/>
        </a:xfrm>
        <a:prstGeom prst="rect">
          <a:avLst/>
        </a:prstGeom>
      </xdr:spPr>
    </xdr:pic>
    <xdr:clientData/>
  </xdr:twoCellAnchor>
  <xdr:twoCellAnchor editAs="oneCell">
    <xdr:from>
      <xdr:col>23</xdr:col>
      <xdr:colOff>194734</xdr:colOff>
      <xdr:row>8</xdr:row>
      <xdr:rowOff>12698</xdr:rowOff>
    </xdr:from>
    <xdr:to>
      <xdr:col>26</xdr:col>
      <xdr:colOff>35667</xdr:colOff>
      <xdr:row>13</xdr:row>
      <xdr:rowOff>169334</xdr:rowOff>
    </xdr:to>
    <xdr:pic>
      <xdr:nvPicPr>
        <xdr:cNvPr id="21" name="Picture 5"/>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4465" t="24282" r="29578" b="15547"/>
        <a:stretch/>
      </xdr:blipFill>
      <xdr:spPr bwMode="auto">
        <a:xfrm>
          <a:off x="7655984" y="2341031"/>
          <a:ext cx="825183" cy="1109136"/>
        </a:xfrm>
        <a:prstGeom prst="rect">
          <a:avLst/>
        </a:prstGeom>
        <a:ln w="9525">
          <a:solidFill>
            <a:schemeClr val="tx1"/>
          </a:solidFill>
          <a:miter lim="800000"/>
          <a:headEnd/>
          <a:tailEnd/>
        </a:ln>
        <a:effectLst>
          <a:outerShdw blurRad="292100" dist="139700" dir="2700000" algn="tl" rotWithShape="0">
            <a:srgbClr val="333333">
              <a:alpha val="65000"/>
            </a:srgbClr>
          </a:outerShdw>
        </a:effectLst>
        <a:extLst>
          <a:ext uri="{909E8E84-426E-40DD-AFC4-6F175D3DCCD1}">
            <a14:hiddenFill xmlns:a14="http://schemas.microsoft.com/office/drawing/2010/main">
              <a:solidFill>
                <a:schemeClr val="accent1"/>
              </a:solidFill>
            </a14:hiddenFill>
          </a:ext>
        </a:extLst>
      </xdr:spPr>
    </xdr:pic>
    <xdr:clientData/>
  </xdr:twoCellAnchor>
  <xdr:twoCellAnchor>
    <xdr:from>
      <xdr:col>13</xdr:col>
      <xdr:colOff>57152</xdr:colOff>
      <xdr:row>14</xdr:row>
      <xdr:rowOff>67733</xdr:rowOff>
    </xdr:from>
    <xdr:to>
      <xdr:col>16</xdr:col>
      <xdr:colOff>63502</xdr:colOff>
      <xdr:row>16</xdr:row>
      <xdr:rowOff>137585</xdr:rowOff>
    </xdr:to>
    <xdr:sp macro="" textlink="">
      <xdr:nvSpPr>
        <xdr:cNvPr id="22" name="ZoneTexte 14"/>
        <xdr:cNvSpPr txBox="1"/>
      </xdr:nvSpPr>
      <xdr:spPr>
        <a:xfrm>
          <a:off x="4279902" y="3539066"/>
          <a:ext cx="958850" cy="450852"/>
        </a:xfrm>
        <a:prstGeom prst="rect">
          <a:avLst/>
        </a:prstGeom>
        <a:solidFill>
          <a:schemeClr val="bg1"/>
        </a:solidFill>
        <a:ln w="25400">
          <a:solidFill>
            <a:schemeClr val="accent1"/>
          </a:solidFill>
        </a:ln>
      </xdr:spPr>
      <xdr:txBody>
        <a:bodyPr wrap="square"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200" b="1">
              <a:solidFill>
                <a:schemeClr val="tx2"/>
              </a:solidFill>
            </a:rPr>
            <a:t>Portez vos EPI</a:t>
          </a:r>
        </a:p>
      </xdr:txBody>
    </xdr:sp>
    <xdr:clientData/>
  </xdr:twoCellAnchor>
  <xdr:twoCellAnchor>
    <xdr:from>
      <xdr:col>17</xdr:col>
      <xdr:colOff>292099</xdr:colOff>
      <xdr:row>13</xdr:row>
      <xdr:rowOff>12696</xdr:rowOff>
    </xdr:from>
    <xdr:to>
      <xdr:col>21</xdr:col>
      <xdr:colOff>63499</xdr:colOff>
      <xdr:row>16</xdr:row>
      <xdr:rowOff>148166</xdr:rowOff>
    </xdr:to>
    <xdr:sp macro="" textlink="">
      <xdr:nvSpPr>
        <xdr:cNvPr id="23" name="ZoneTexte 20"/>
        <xdr:cNvSpPr txBox="1"/>
      </xdr:nvSpPr>
      <xdr:spPr>
        <a:xfrm>
          <a:off x="5784849" y="3293529"/>
          <a:ext cx="1073150" cy="706970"/>
        </a:xfrm>
        <a:prstGeom prst="rect">
          <a:avLst/>
        </a:prstGeom>
        <a:solidFill>
          <a:schemeClr val="bg1"/>
        </a:solidFill>
        <a:ln w="25400">
          <a:solidFill>
            <a:schemeClr val="accent1"/>
          </a:solidFill>
        </a:ln>
      </xdr:spPr>
      <xdr:txBody>
        <a:bodyPr wrap="square"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200" b="1">
              <a:solidFill>
                <a:schemeClr val="tx2"/>
              </a:solidFill>
            </a:rPr>
            <a:t>Analysez les risques avant d’intervenir</a:t>
          </a:r>
        </a:p>
      </xdr:txBody>
    </xdr:sp>
    <xdr:clientData/>
  </xdr:twoCellAnchor>
  <xdr:twoCellAnchor>
    <xdr:from>
      <xdr:col>22</xdr:col>
      <xdr:colOff>65624</xdr:colOff>
      <xdr:row>13</xdr:row>
      <xdr:rowOff>55038</xdr:rowOff>
    </xdr:from>
    <xdr:to>
      <xdr:col>28</xdr:col>
      <xdr:colOff>23290</xdr:colOff>
      <xdr:row>16</xdr:row>
      <xdr:rowOff>152187</xdr:rowOff>
    </xdr:to>
    <xdr:sp macro="" textlink="">
      <xdr:nvSpPr>
        <xdr:cNvPr id="24" name="ZoneTexte 21"/>
        <xdr:cNvSpPr txBox="1"/>
      </xdr:nvSpPr>
      <xdr:spPr>
        <a:xfrm>
          <a:off x="7177624" y="3335871"/>
          <a:ext cx="1926166" cy="668649"/>
        </a:xfrm>
        <a:prstGeom prst="rect">
          <a:avLst/>
        </a:prstGeom>
        <a:solidFill>
          <a:schemeClr val="bg1"/>
        </a:solidFill>
        <a:ln w="25400">
          <a:solidFill>
            <a:schemeClr val="accent1"/>
          </a:solidFill>
        </a:ln>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200" b="1">
              <a:solidFill>
                <a:schemeClr val="tx2"/>
              </a:solidFill>
            </a:rPr>
            <a:t>Utilisez les fiches pratiques et respectez les consignes de sécurité</a:t>
          </a:r>
        </a:p>
      </xdr:txBody>
    </xdr:sp>
    <xdr:clientData/>
  </xdr:twoCellAnchor>
  <xdr:twoCellAnchor>
    <xdr:from>
      <xdr:col>16</xdr:col>
      <xdr:colOff>23282</xdr:colOff>
      <xdr:row>9</xdr:row>
      <xdr:rowOff>139699</xdr:rowOff>
    </xdr:from>
    <xdr:to>
      <xdr:col>17</xdr:col>
      <xdr:colOff>112382</xdr:colOff>
      <xdr:row>12</xdr:row>
      <xdr:rowOff>8666</xdr:rowOff>
    </xdr:to>
    <xdr:grpSp>
      <xdr:nvGrpSpPr>
        <xdr:cNvPr id="25" name="Groupe 24"/>
        <xdr:cNvGrpSpPr/>
      </xdr:nvGrpSpPr>
      <xdr:grpSpPr>
        <a:xfrm>
          <a:off x="5198532" y="2658532"/>
          <a:ext cx="406600" cy="440467"/>
          <a:chOff x="2978058" y="2318172"/>
          <a:chExt cx="648072" cy="611932"/>
        </a:xfrm>
      </xdr:grpSpPr>
      <xdr:sp macro="" textlink="">
        <xdr:nvSpPr>
          <xdr:cNvPr id="26" name="Ellipse 25"/>
          <xdr:cNvSpPr/>
        </xdr:nvSpPr>
        <xdr:spPr>
          <a:xfrm>
            <a:off x="2978058" y="2318172"/>
            <a:ext cx="648072" cy="61193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27" name="ZoneTexte 24"/>
          <xdr:cNvSpPr txBox="1"/>
        </xdr:nvSpPr>
        <xdr:spPr>
          <a:xfrm>
            <a:off x="3063497" y="2336887"/>
            <a:ext cx="476820" cy="574298"/>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2000" b="1">
                <a:solidFill>
                  <a:schemeClr val="bg1"/>
                </a:solidFill>
              </a:rPr>
              <a:t>1</a:t>
            </a:r>
          </a:p>
        </xdr:txBody>
      </xdr:sp>
    </xdr:grpSp>
    <xdr:clientData/>
  </xdr:twoCellAnchor>
  <xdr:twoCellAnchor>
    <xdr:from>
      <xdr:col>20</xdr:col>
      <xdr:colOff>296335</xdr:colOff>
      <xdr:row>9</xdr:row>
      <xdr:rowOff>127001</xdr:rowOff>
    </xdr:from>
    <xdr:to>
      <xdr:col>22</xdr:col>
      <xdr:colOff>67935</xdr:colOff>
      <xdr:row>12</xdr:row>
      <xdr:rowOff>201</xdr:rowOff>
    </xdr:to>
    <xdr:grpSp>
      <xdr:nvGrpSpPr>
        <xdr:cNvPr id="28" name="Groupe 27"/>
        <xdr:cNvGrpSpPr/>
      </xdr:nvGrpSpPr>
      <xdr:grpSpPr>
        <a:xfrm>
          <a:off x="6773335" y="2645834"/>
          <a:ext cx="406600" cy="444700"/>
          <a:chOff x="2978058" y="2318172"/>
          <a:chExt cx="648072" cy="611932"/>
        </a:xfrm>
      </xdr:grpSpPr>
      <xdr:sp macro="" textlink="">
        <xdr:nvSpPr>
          <xdr:cNvPr id="29" name="Ellipse 28"/>
          <xdr:cNvSpPr/>
        </xdr:nvSpPr>
        <xdr:spPr>
          <a:xfrm>
            <a:off x="2978058" y="2318172"/>
            <a:ext cx="648072" cy="61193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30" name="ZoneTexte 24"/>
          <xdr:cNvSpPr txBox="1"/>
        </xdr:nvSpPr>
        <xdr:spPr>
          <a:xfrm>
            <a:off x="3063497" y="2336887"/>
            <a:ext cx="476820" cy="574298"/>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2000" b="1">
                <a:solidFill>
                  <a:schemeClr val="bg1"/>
                </a:solidFill>
              </a:rPr>
              <a:t>2</a:t>
            </a:r>
          </a:p>
        </xdr:txBody>
      </xdr:sp>
    </xdr:grpSp>
    <xdr:clientData/>
  </xdr:twoCellAnchor>
  <xdr:twoCellAnchor>
    <xdr:from>
      <xdr:col>26</xdr:col>
      <xdr:colOff>101602</xdr:colOff>
      <xdr:row>9</xdr:row>
      <xdr:rowOff>154519</xdr:rowOff>
    </xdr:from>
    <xdr:to>
      <xdr:col>27</xdr:col>
      <xdr:colOff>203402</xdr:colOff>
      <xdr:row>12</xdr:row>
      <xdr:rowOff>23486</xdr:rowOff>
    </xdr:to>
    <xdr:grpSp>
      <xdr:nvGrpSpPr>
        <xdr:cNvPr id="31" name="Groupe 30"/>
        <xdr:cNvGrpSpPr/>
      </xdr:nvGrpSpPr>
      <xdr:grpSpPr>
        <a:xfrm>
          <a:off x="8547102" y="2673352"/>
          <a:ext cx="419300" cy="440467"/>
          <a:chOff x="2945344" y="2318172"/>
          <a:chExt cx="648072" cy="611932"/>
        </a:xfrm>
      </xdr:grpSpPr>
      <xdr:sp macro="" textlink="">
        <xdr:nvSpPr>
          <xdr:cNvPr id="32" name="Ellipse 31"/>
          <xdr:cNvSpPr/>
        </xdr:nvSpPr>
        <xdr:spPr>
          <a:xfrm>
            <a:off x="2945344" y="2318172"/>
            <a:ext cx="648072" cy="611932"/>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33" name="ZoneTexte 24"/>
          <xdr:cNvSpPr txBox="1"/>
        </xdr:nvSpPr>
        <xdr:spPr>
          <a:xfrm>
            <a:off x="3063497" y="2336887"/>
            <a:ext cx="476820" cy="574298"/>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2000" b="1">
                <a:solidFill>
                  <a:schemeClr val="bg1"/>
                </a:solidFill>
              </a:rPr>
              <a:t>3</a:t>
            </a:r>
          </a:p>
        </xdr:txBody>
      </xdr:sp>
    </xdr:grpSp>
    <xdr:clientData/>
  </xdr:twoCellAnchor>
  <xdr:twoCellAnchor editAs="oneCell">
    <xdr:from>
      <xdr:col>0</xdr:col>
      <xdr:colOff>101599</xdr:colOff>
      <xdr:row>19</xdr:row>
      <xdr:rowOff>50801</xdr:rowOff>
    </xdr:from>
    <xdr:to>
      <xdr:col>3</xdr:col>
      <xdr:colOff>275164</xdr:colOff>
      <xdr:row>22</xdr:row>
      <xdr:rowOff>182033</xdr:rowOff>
    </xdr:to>
    <xdr:pic>
      <xdr:nvPicPr>
        <xdr:cNvPr id="34" name="Picture 2" descr="http://www.lvls.fr/images/audit.jpg">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599" y="4286251"/>
          <a:ext cx="1126065" cy="836082"/>
        </a:xfrm>
        <a:prstGeom prst="rect">
          <a:avLst/>
        </a:prstGeom>
        <a:ln>
          <a:solidFill>
            <a:schemeClr val="tx1"/>
          </a:solid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84667</xdr:colOff>
      <xdr:row>19</xdr:row>
      <xdr:rowOff>33868</xdr:rowOff>
    </xdr:from>
    <xdr:to>
      <xdr:col>22</xdr:col>
      <xdr:colOff>317501</xdr:colOff>
      <xdr:row>22</xdr:row>
      <xdr:rowOff>173221</xdr:rowOff>
    </xdr:to>
    <xdr:pic>
      <xdr:nvPicPr>
        <xdr:cNvPr id="35" name="Picture 4" descr="http://www.euratechnologies.com/images/logo_formation_2.jpg">
          <a:hlinkClick xmlns:r="http://schemas.openxmlformats.org/officeDocument/2006/relationships" r:id="rId8"/>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841067" y="4269318"/>
          <a:ext cx="855134" cy="844203"/>
        </a:xfrm>
        <a:prstGeom prst="rect">
          <a:avLst/>
        </a:prstGeom>
        <a:ln>
          <a:solidFill>
            <a:schemeClr val="tx1"/>
          </a:solid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152400</xdr:colOff>
      <xdr:row>19</xdr:row>
      <xdr:rowOff>8465</xdr:rowOff>
    </xdr:from>
    <xdr:to>
      <xdr:col>11</xdr:col>
      <xdr:colOff>152400</xdr:colOff>
      <xdr:row>24</xdr:row>
      <xdr:rowOff>25398</xdr:rowOff>
    </xdr:to>
    <xdr:cxnSp macro="">
      <xdr:nvCxnSpPr>
        <xdr:cNvPr id="36" name="Connecteur droit 35"/>
        <xdr:cNvCxnSpPr/>
      </xdr:nvCxnSpPr>
      <xdr:spPr>
        <a:xfrm>
          <a:off x="3898900" y="4243915"/>
          <a:ext cx="0" cy="937683"/>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169333</xdr:colOff>
      <xdr:row>21</xdr:row>
      <xdr:rowOff>8464</xdr:rowOff>
    </xdr:from>
    <xdr:to>
      <xdr:col>7</xdr:col>
      <xdr:colOff>169333</xdr:colOff>
      <xdr:row>24</xdr:row>
      <xdr:rowOff>25664</xdr:rowOff>
    </xdr:to>
    <xdr:cxnSp macro="">
      <xdr:nvCxnSpPr>
        <xdr:cNvPr id="37" name="Connecteur droit 36"/>
        <xdr:cNvCxnSpPr/>
      </xdr:nvCxnSpPr>
      <xdr:spPr>
        <a:xfrm>
          <a:off x="2480733" y="4612214"/>
          <a:ext cx="0" cy="56965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160869</xdr:colOff>
      <xdr:row>21</xdr:row>
      <xdr:rowOff>8458</xdr:rowOff>
    </xdr:from>
    <xdr:to>
      <xdr:col>15</xdr:col>
      <xdr:colOff>160869</xdr:colOff>
      <xdr:row>24</xdr:row>
      <xdr:rowOff>25658</xdr:rowOff>
    </xdr:to>
    <xdr:cxnSp macro="">
      <xdr:nvCxnSpPr>
        <xdr:cNvPr id="38" name="Connecteur droit 37"/>
        <xdr:cNvCxnSpPr/>
      </xdr:nvCxnSpPr>
      <xdr:spPr>
        <a:xfrm>
          <a:off x="5228169" y="4612208"/>
          <a:ext cx="0" cy="56965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118534</xdr:colOff>
      <xdr:row>26</xdr:row>
      <xdr:rowOff>76202</xdr:rowOff>
    </xdr:from>
    <xdr:to>
      <xdr:col>4</xdr:col>
      <xdr:colOff>226682</xdr:colOff>
      <xdr:row>31</xdr:row>
      <xdr:rowOff>107059</xdr:rowOff>
    </xdr:to>
    <xdr:pic>
      <xdr:nvPicPr>
        <xdr:cNvPr id="39" name="Picture 2" descr="http://img.over-blog-kiwi.com/0/93/18/70/20160108/ob_9a4552_stats.png"/>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8534" y="5486402"/>
          <a:ext cx="1390848" cy="1146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186266</xdr:colOff>
      <xdr:row>28</xdr:row>
      <xdr:rowOff>186264</xdr:rowOff>
    </xdr:from>
    <xdr:to>
      <xdr:col>8</xdr:col>
      <xdr:colOff>186266</xdr:colOff>
      <xdr:row>32</xdr:row>
      <xdr:rowOff>17198</xdr:rowOff>
    </xdr:to>
    <xdr:cxnSp macro="">
      <xdr:nvCxnSpPr>
        <xdr:cNvPr id="40" name="Connecteur droit 39"/>
        <xdr:cNvCxnSpPr/>
      </xdr:nvCxnSpPr>
      <xdr:spPr>
        <a:xfrm>
          <a:off x="2827866" y="6036731"/>
          <a:ext cx="0" cy="57600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177800</xdr:colOff>
      <xdr:row>26</xdr:row>
      <xdr:rowOff>76198</xdr:rowOff>
    </xdr:from>
    <xdr:to>
      <xdr:col>16</xdr:col>
      <xdr:colOff>177800</xdr:colOff>
      <xdr:row>32</xdr:row>
      <xdr:rowOff>93134</xdr:rowOff>
    </xdr:to>
    <xdr:cxnSp macro="">
      <xdr:nvCxnSpPr>
        <xdr:cNvPr id="41" name="Connecteur droit 40"/>
        <xdr:cNvCxnSpPr/>
      </xdr:nvCxnSpPr>
      <xdr:spPr>
        <a:xfrm>
          <a:off x="5575300" y="5486398"/>
          <a:ext cx="0" cy="1121836"/>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50800</xdr:rowOff>
    </xdr:from>
    <xdr:to>
      <xdr:col>28</xdr:col>
      <xdr:colOff>364066</xdr:colOff>
      <xdr:row>0</xdr:row>
      <xdr:rowOff>1151477</xdr:rowOff>
    </xdr:to>
    <xdr:grpSp>
      <xdr:nvGrpSpPr>
        <xdr:cNvPr id="42" name="Groupe 41"/>
        <xdr:cNvGrpSpPr/>
      </xdr:nvGrpSpPr>
      <xdr:grpSpPr>
        <a:xfrm>
          <a:off x="0" y="50800"/>
          <a:ext cx="9435041" cy="1100677"/>
          <a:chOff x="6098079" y="3564456"/>
          <a:chExt cx="9253569" cy="1202368"/>
        </a:xfrm>
      </xdr:grpSpPr>
      <xdr:sp macro="" textlink="">
        <xdr:nvSpPr>
          <xdr:cNvPr id="43" name="Organigramme : Processus 42"/>
          <xdr:cNvSpPr/>
        </xdr:nvSpPr>
        <xdr:spPr>
          <a:xfrm>
            <a:off x="6106546" y="4263974"/>
            <a:ext cx="9157074" cy="214818"/>
          </a:xfrm>
          <a:prstGeom prst="flowChartProcess">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solidFill>
                <a:schemeClr val="tx1"/>
              </a:solidFill>
            </a:endParaRPr>
          </a:p>
        </xdr:txBody>
      </xdr:sp>
      <xdr:sp macro="" textlink="">
        <xdr:nvSpPr>
          <xdr:cNvPr id="44" name="Rectangle 43"/>
          <xdr:cNvSpPr/>
        </xdr:nvSpPr>
        <xdr:spPr>
          <a:xfrm rot="21419042">
            <a:off x="13390271" y="4284940"/>
            <a:ext cx="1880561" cy="249547"/>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45" name="Rectangle 44"/>
          <xdr:cNvSpPr/>
        </xdr:nvSpPr>
        <xdr:spPr>
          <a:xfrm rot="21336737">
            <a:off x="14440156" y="4213627"/>
            <a:ext cx="911492" cy="338554"/>
          </a:xfrm>
          <a:prstGeom prst="rect">
            <a:avLst/>
          </a:prstGeom>
        </xdr:spPr>
        <xdr:txBody>
          <a:bodyPr wrap="square">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1600" b="1" i="1">
                <a:solidFill>
                  <a:schemeClr val="bg1"/>
                </a:solidFill>
              </a:rPr>
              <a:t>Sécurité</a:t>
            </a:r>
            <a:r>
              <a:rPr lang="fr-FR" sz="1600" i="1">
                <a:solidFill>
                  <a:schemeClr val="bg1"/>
                </a:solidFill>
              </a:rPr>
              <a:t> </a:t>
            </a:r>
            <a:endParaRPr lang="fr-FR" sz="1600"/>
          </a:p>
        </xdr:txBody>
      </xdr:sp>
      <xdr:sp macro="" textlink="">
        <xdr:nvSpPr>
          <xdr:cNvPr id="46" name="ZoneTexte 19"/>
          <xdr:cNvSpPr txBox="1"/>
        </xdr:nvSpPr>
        <xdr:spPr>
          <a:xfrm>
            <a:off x="8597080" y="4262768"/>
            <a:ext cx="3974132" cy="261610"/>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1100" i="1">
                <a:solidFill>
                  <a:schemeClr val="bg1"/>
                </a:solidFill>
              </a:rPr>
              <a:t>Hygiène    Environnement    Management </a:t>
            </a:r>
          </a:p>
        </xdr:txBody>
      </xdr:sp>
      <xdr:sp macro="" textlink="">
        <xdr:nvSpPr>
          <xdr:cNvPr id="47" name="Forme libre 46"/>
          <xdr:cNvSpPr/>
        </xdr:nvSpPr>
        <xdr:spPr>
          <a:xfrm>
            <a:off x="6098079" y="4466597"/>
            <a:ext cx="382868" cy="147918"/>
          </a:xfrm>
          <a:custGeom>
            <a:avLst/>
            <a:gdLst>
              <a:gd name="connsiteX0" fmla="*/ 0 w 376518"/>
              <a:gd name="connsiteY0" fmla="*/ 0 h 147918"/>
              <a:gd name="connsiteX1" fmla="*/ 376518 w 376518"/>
              <a:gd name="connsiteY1" fmla="*/ 0 h 147918"/>
              <a:gd name="connsiteX2" fmla="*/ 376518 w 376518"/>
              <a:gd name="connsiteY2" fmla="*/ 147918 h 147918"/>
              <a:gd name="connsiteX3" fmla="*/ 0 w 376518"/>
              <a:gd name="connsiteY3" fmla="*/ 0 h 147918"/>
            </a:gdLst>
            <a:ahLst/>
            <a:cxnLst>
              <a:cxn ang="0">
                <a:pos x="connsiteX0" y="connsiteY0"/>
              </a:cxn>
              <a:cxn ang="0">
                <a:pos x="connsiteX1" y="connsiteY1"/>
              </a:cxn>
              <a:cxn ang="0">
                <a:pos x="connsiteX2" y="connsiteY2"/>
              </a:cxn>
              <a:cxn ang="0">
                <a:pos x="connsiteX3" y="connsiteY3"/>
              </a:cxn>
            </a:cxnLst>
            <a:rect l="l" t="t" r="r" b="b"/>
            <a:pathLst>
              <a:path w="376518" h="147918">
                <a:moveTo>
                  <a:pt x="0" y="0"/>
                </a:moveTo>
                <a:lnTo>
                  <a:pt x="376518" y="0"/>
                </a:lnTo>
                <a:lnTo>
                  <a:pt x="376518" y="147918"/>
                </a:lnTo>
                <a:lnTo>
                  <a:pt x="0" y="0"/>
                </a:lnTo>
                <a:close/>
              </a:path>
            </a:pathLst>
          </a:cu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48" name="Organigramme : Processus 47"/>
          <xdr:cNvSpPr/>
        </xdr:nvSpPr>
        <xdr:spPr>
          <a:xfrm>
            <a:off x="6444182" y="3974736"/>
            <a:ext cx="2041080" cy="792088"/>
          </a:xfrm>
          <a:prstGeom prst="flowChart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cxnSp macro="">
        <xdr:nvCxnSpPr>
          <xdr:cNvPr id="49" name="Connecteur droit 48"/>
          <xdr:cNvCxnSpPr/>
        </xdr:nvCxnSpPr>
        <xdr:spPr>
          <a:xfrm>
            <a:off x="7098604" y="4118752"/>
            <a:ext cx="0" cy="50405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0" name="ZoneTexte 23"/>
          <xdr:cNvSpPr txBox="1"/>
        </xdr:nvSpPr>
        <xdr:spPr>
          <a:xfrm>
            <a:off x="7249480" y="3990498"/>
            <a:ext cx="383170" cy="7078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4000"/>
              <a:t>H</a:t>
            </a:r>
          </a:p>
        </xdr:txBody>
      </xdr:sp>
      <xdr:sp macro="" textlink="">
        <xdr:nvSpPr>
          <xdr:cNvPr id="51" name="ZoneTexte 24"/>
          <xdr:cNvSpPr txBox="1"/>
        </xdr:nvSpPr>
        <xdr:spPr>
          <a:xfrm>
            <a:off x="7980739" y="4000546"/>
            <a:ext cx="369478" cy="7078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4000" b="1">
                <a:solidFill>
                  <a:schemeClr val="accent2">
                    <a:lumMod val="75000"/>
                  </a:schemeClr>
                </a:solidFill>
              </a:rPr>
              <a:t>S</a:t>
            </a:r>
          </a:p>
        </xdr:txBody>
      </xdr:sp>
      <xdr:sp macro="" textlink="">
        <xdr:nvSpPr>
          <xdr:cNvPr id="52" name="ZoneTexte 25"/>
          <xdr:cNvSpPr txBox="1"/>
        </xdr:nvSpPr>
        <xdr:spPr>
          <a:xfrm>
            <a:off x="6587165" y="3998460"/>
            <a:ext cx="383170" cy="7078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fr-FR" sz="4000"/>
              <a:t>E</a:t>
            </a:r>
          </a:p>
        </xdr:txBody>
      </xdr:sp>
      <xdr:cxnSp macro="">
        <xdr:nvCxnSpPr>
          <xdr:cNvPr id="53" name="Connecteur droit 52"/>
          <xdr:cNvCxnSpPr/>
        </xdr:nvCxnSpPr>
        <xdr:spPr>
          <a:xfrm>
            <a:off x="7818684" y="4118752"/>
            <a:ext cx="0" cy="50405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4" name="Pentagone 53"/>
          <xdr:cNvSpPr/>
        </xdr:nvSpPr>
        <xdr:spPr>
          <a:xfrm>
            <a:off x="6437859" y="4263974"/>
            <a:ext cx="115686" cy="214818"/>
          </a:xfrm>
          <a:prstGeom prst="homePlate">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pic>
        <xdr:nvPicPr>
          <xdr:cNvPr id="55" name="Image 54"/>
          <xdr:cNvPicPr>
            <a:picLocks noChangeAspect="1"/>
          </xdr:cNvPicPr>
        </xdr:nvPicPr>
        <xdr:blipFill>
          <a:blip xmlns:r="http://schemas.openxmlformats.org/officeDocument/2006/relationships" r:embed="rId11">
            <a:duotone>
              <a:schemeClr val="accent2">
                <a:shade val="45000"/>
                <a:satMod val="135000"/>
              </a:schemeClr>
              <a:prstClr val="white"/>
            </a:duotone>
            <a:extLst>
              <a:ext uri="{BEBA8EAE-BF5A-486C-A8C5-ECC9F3942E4B}">
                <a14:imgProps xmlns:a14="http://schemas.microsoft.com/office/drawing/2010/main">
                  <a14:imgLayer r:embed="rId12">
                    <a14:imgEffect>
                      <a14:artisticGlowEdges/>
                    </a14:imgEffect>
                  </a14:imgLayer>
                </a14:imgProps>
              </a:ext>
              <a:ext uri="{28A0092B-C50C-407E-A947-70E740481C1C}">
                <a14:useLocalDpi xmlns:a14="http://schemas.microsoft.com/office/drawing/2010/main" val="0"/>
              </a:ext>
            </a:extLst>
          </a:blip>
          <a:stretch>
            <a:fillRect/>
          </a:stretch>
        </xdr:blipFill>
        <xdr:spPr>
          <a:xfrm>
            <a:off x="7756105" y="3564456"/>
            <a:ext cx="830886" cy="563523"/>
          </a:xfrm>
          <a:prstGeom prst="rect">
            <a:avLst/>
          </a:prstGeom>
        </xdr:spPr>
      </xdr:pic>
    </xdr:grpSp>
    <xdr:clientData/>
  </xdr:twoCellAnchor>
  <xdr:twoCellAnchor>
    <xdr:from>
      <xdr:col>12</xdr:col>
      <xdr:colOff>177799</xdr:colOff>
      <xdr:row>28</xdr:row>
      <xdr:rowOff>186264</xdr:rowOff>
    </xdr:from>
    <xdr:to>
      <xdr:col>12</xdr:col>
      <xdr:colOff>177799</xdr:colOff>
      <xdr:row>32</xdr:row>
      <xdr:rowOff>17198</xdr:rowOff>
    </xdr:to>
    <xdr:cxnSp macro="">
      <xdr:nvCxnSpPr>
        <xdr:cNvPr id="56" name="Connecteur droit 55"/>
        <xdr:cNvCxnSpPr/>
      </xdr:nvCxnSpPr>
      <xdr:spPr>
        <a:xfrm>
          <a:off x="4267199" y="6036731"/>
          <a:ext cx="0" cy="57600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12700</xdr:rowOff>
    </xdr:from>
    <xdr:to>
      <xdr:col>2</xdr:col>
      <xdr:colOff>2463800</xdr:colOff>
      <xdr:row>0</xdr:row>
      <xdr:rowOff>425450</xdr:rowOff>
    </xdr:to>
    <xdr:pic>
      <xdr:nvPicPr>
        <xdr:cNvPr id="9" name="Image 8"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12700"/>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241300</xdr:colOff>
      <xdr:row>13</xdr:row>
      <xdr:rowOff>31749</xdr:rowOff>
    </xdr:from>
    <xdr:to>
      <xdr:col>1</xdr:col>
      <xdr:colOff>986500</xdr:colOff>
      <xdr:row>16</xdr:row>
      <xdr:rowOff>159049</xdr:rowOff>
    </xdr:to>
    <xdr:pic>
      <xdr:nvPicPr>
        <xdr:cNvPr id="10" name="Image 9"/>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8616"/>
        <a:stretch/>
      </xdr:blipFill>
      <xdr:spPr>
        <a:xfrm>
          <a:off x="787400" y="2686049"/>
          <a:ext cx="745200" cy="648000"/>
        </a:xfrm>
        <a:prstGeom prst="rect">
          <a:avLst/>
        </a:prstGeom>
      </xdr:spPr>
    </xdr:pic>
    <xdr:clientData/>
  </xdr:twoCellAnchor>
  <xdr:twoCellAnchor editAs="oneCell">
    <xdr:from>
      <xdr:col>1</xdr:col>
      <xdr:colOff>850904</xdr:colOff>
      <xdr:row>4</xdr:row>
      <xdr:rowOff>127001</xdr:rowOff>
    </xdr:from>
    <xdr:to>
      <xdr:col>1</xdr:col>
      <xdr:colOff>1246904</xdr:colOff>
      <xdr:row>7</xdr:row>
      <xdr:rowOff>2301</xdr:rowOff>
    </xdr:to>
    <xdr:pic>
      <xdr:nvPicPr>
        <xdr:cNvPr id="11" name="Picture 2" descr="C:\Users\BD\AppData\Local\Microsoft\Windows\Temporary Internet Files\Content.Outlook\IPO639NJ\Hygiène2.png"/>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97004" y="1212851"/>
          <a:ext cx="396000"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431805</xdr:colOff>
      <xdr:row>4</xdr:row>
      <xdr:rowOff>133351</xdr:rowOff>
    </xdr:from>
    <xdr:to>
      <xdr:col>1</xdr:col>
      <xdr:colOff>827805</xdr:colOff>
      <xdr:row>7</xdr:row>
      <xdr:rowOff>8651</xdr:rowOff>
    </xdr:to>
    <xdr:pic>
      <xdr:nvPicPr>
        <xdr:cNvPr id="12" name="Image 11"/>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7910"/>
        <a:stretch/>
      </xdr:blipFill>
      <xdr:spPr>
        <a:xfrm>
          <a:off x="977905" y="1219201"/>
          <a:ext cx="396000" cy="396000"/>
        </a:xfrm>
        <a:prstGeom prst="rect">
          <a:avLst/>
        </a:prstGeom>
      </xdr:spPr>
    </xdr:pic>
    <xdr:clientData/>
  </xdr:twoCellAnchor>
  <xdr:twoCellAnchor editAs="oneCell">
    <xdr:from>
      <xdr:col>0</xdr:col>
      <xdr:colOff>533400</xdr:colOff>
      <xdr:row>4</xdr:row>
      <xdr:rowOff>133349</xdr:rowOff>
    </xdr:from>
    <xdr:to>
      <xdr:col>1</xdr:col>
      <xdr:colOff>442700</xdr:colOff>
      <xdr:row>7</xdr:row>
      <xdr:rowOff>8649</xdr:rowOff>
    </xdr:to>
    <xdr:pic>
      <xdr:nvPicPr>
        <xdr:cNvPr id="13" name="Image 12"/>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18616"/>
        <a:stretch/>
      </xdr:blipFill>
      <xdr:spPr>
        <a:xfrm>
          <a:off x="533400" y="1219199"/>
          <a:ext cx="455400" cy="396000"/>
        </a:xfrm>
        <a:prstGeom prst="rect">
          <a:avLst/>
        </a:prstGeom>
      </xdr:spPr>
    </xdr:pic>
    <xdr:clientData/>
  </xdr:twoCellAnchor>
  <xdr:twoCellAnchor editAs="oneCell">
    <xdr:from>
      <xdr:col>1</xdr:col>
      <xdr:colOff>292100</xdr:colOff>
      <xdr:row>31</xdr:row>
      <xdr:rowOff>31750</xdr:rowOff>
    </xdr:from>
    <xdr:to>
      <xdr:col>1</xdr:col>
      <xdr:colOff>940100</xdr:colOff>
      <xdr:row>34</xdr:row>
      <xdr:rowOff>159050</xdr:rowOff>
    </xdr:to>
    <xdr:pic>
      <xdr:nvPicPr>
        <xdr:cNvPr id="14" name="Image 13"/>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7910"/>
        <a:stretch/>
      </xdr:blipFill>
      <xdr:spPr>
        <a:xfrm>
          <a:off x="838200" y="5816600"/>
          <a:ext cx="648000" cy="648000"/>
        </a:xfrm>
        <a:prstGeom prst="rect">
          <a:avLst/>
        </a:prstGeom>
      </xdr:spPr>
    </xdr:pic>
    <xdr:clientData/>
  </xdr:twoCellAnchor>
  <xdr:twoCellAnchor editAs="oneCell">
    <xdr:from>
      <xdr:col>1</xdr:col>
      <xdr:colOff>292104</xdr:colOff>
      <xdr:row>22</xdr:row>
      <xdr:rowOff>31751</xdr:rowOff>
    </xdr:from>
    <xdr:to>
      <xdr:col>1</xdr:col>
      <xdr:colOff>940104</xdr:colOff>
      <xdr:row>25</xdr:row>
      <xdr:rowOff>159051</xdr:rowOff>
    </xdr:to>
    <xdr:pic>
      <xdr:nvPicPr>
        <xdr:cNvPr id="15" name="Picture 2" descr="C:\Users\BD\AppData\Local\Microsoft\Windows\Temporary Internet Files\Content.Outlook\IPO639NJ\Hygiène2.png"/>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8204" y="4254501"/>
          <a:ext cx="648000" cy="6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149411</xdr:colOff>
      <xdr:row>0</xdr:row>
      <xdr:rowOff>67236</xdr:rowOff>
    </xdr:from>
    <xdr:to>
      <xdr:col>4</xdr:col>
      <xdr:colOff>426943</xdr:colOff>
      <xdr:row>0</xdr:row>
      <xdr:rowOff>479986</xdr:rowOff>
    </xdr:to>
    <xdr:pic>
      <xdr:nvPicPr>
        <xdr:cNvPr id="2" name="Image 1"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11" y="67236"/>
          <a:ext cx="4189132"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88900</xdr:rowOff>
    </xdr:from>
    <xdr:to>
      <xdr:col>4</xdr:col>
      <xdr:colOff>1714500</xdr:colOff>
      <xdr:row>0</xdr:row>
      <xdr:rowOff>501650</xdr:rowOff>
    </xdr:to>
    <xdr:pic>
      <xdr:nvPicPr>
        <xdr:cNvPr id="4" name="Image 3"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8900"/>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101600</xdr:colOff>
      <xdr:row>0</xdr:row>
      <xdr:rowOff>38100</xdr:rowOff>
    </xdr:from>
    <xdr:to>
      <xdr:col>5</xdr:col>
      <xdr:colOff>450850</xdr:colOff>
      <xdr:row>0</xdr:row>
      <xdr:rowOff>450850</xdr:rowOff>
    </xdr:to>
    <xdr:pic>
      <xdr:nvPicPr>
        <xdr:cNvPr id="5" name="Image 4"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38100"/>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50800</xdr:rowOff>
    </xdr:from>
    <xdr:to>
      <xdr:col>3</xdr:col>
      <xdr:colOff>762000</xdr:colOff>
      <xdr:row>0</xdr:row>
      <xdr:rowOff>324505</xdr:rowOff>
    </xdr:to>
    <xdr:pic>
      <xdr:nvPicPr>
        <xdr:cNvPr id="5" name="Image 4"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50800"/>
          <a:ext cx="2774950" cy="273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50800</xdr:rowOff>
    </xdr:from>
    <xdr:to>
      <xdr:col>3</xdr:col>
      <xdr:colOff>488950</xdr:colOff>
      <xdr:row>0</xdr:row>
      <xdr:rowOff>463550</xdr:rowOff>
    </xdr:to>
    <xdr:pic>
      <xdr:nvPicPr>
        <xdr:cNvPr id="3" name="Image 2"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50800"/>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16933</xdr:rowOff>
    </xdr:from>
    <xdr:to>
      <xdr:col>5</xdr:col>
      <xdr:colOff>188383</xdr:colOff>
      <xdr:row>0</xdr:row>
      <xdr:rowOff>429683</xdr:rowOff>
    </xdr:to>
    <xdr:pic>
      <xdr:nvPicPr>
        <xdr:cNvPr id="3" name="Image 2"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933"/>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57149</xdr:colOff>
      <xdr:row>0</xdr:row>
      <xdr:rowOff>0</xdr:rowOff>
    </xdr:from>
    <xdr:to>
      <xdr:col>4</xdr:col>
      <xdr:colOff>9524</xdr:colOff>
      <xdr:row>0</xdr:row>
      <xdr:rowOff>412750</xdr:rowOff>
    </xdr:to>
    <xdr:pic>
      <xdr:nvPicPr>
        <xdr:cNvPr id="3" name="Image 2"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49" y="0"/>
          <a:ext cx="3781425"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1670050</xdr:colOff>
      <xdr:row>0</xdr:row>
      <xdr:rowOff>412750</xdr:rowOff>
    </xdr:to>
    <xdr:pic>
      <xdr:nvPicPr>
        <xdr:cNvPr id="3" name="Image 2" descr="Logo signature ajout Cemi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84650" cy="41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257175</xdr:colOff>
      <xdr:row>0</xdr:row>
      <xdr:rowOff>371475</xdr:rowOff>
    </xdr:to>
    <xdr:pic>
      <xdr:nvPicPr>
        <xdr:cNvPr id="1196264" name="Image 1" descr="3 LOGOS  CHUBB-COFISEC-SICLI.jp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9050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228600</xdr:colOff>
      <xdr:row>8</xdr:row>
      <xdr:rowOff>85725</xdr:rowOff>
    </xdr:from>
    <xdr:to>
      <xdr:col>21</xdr:col>
      <xdr:colOff>38100</xdr:colOff>
      <xdr:row>8</xdr:row>
      <xdr:rowOff>85725</xdr:rowOff>
    </xdr:to>
    <xdr:cxnSp macro="">
      <xdr:nvCxnSpPr>
        <xdr:cNvPr id="24" name="Connecteur droit avec flèche 23"/>
        <xdr:cNvCxnSpPr/>
      </xdr:nvCxnSpPr>
      <xdr:spPr>
        <a:xfrm>
          <a:off x="3838575" y="2028825"/>
          <a:ext cx="3105150" cy="0"/>
        </a:xfrm>
        <a:prstGeom prst="straightConnector1">
          <a:avLst/>
        </a:prstGeom>
        <a:ln w="285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114300</xdr:colOff>
      <xdr:row>4</xdr:row>
      <xdr:rowOff>85725</xdr:rowOff>
    </xdr:from>
    <xdr:to>
      <xdr:col>13</xdr:col>
      <xdr:colOff>114300</xdr:colOff>
      <xdr:row>5</xdr:row>
      <xdr:rowOff>152400</xdr:rowOff>
    </xdr:to>
    <xdr:sp macro="" textlink="">
      <xdr:nvSpPr>
        <xdr:cNvPr id="25" name="ZoneTexte 24"/>
        <xdr:cNvSpPr txBox="1"/>
      </xdr:nvSpPr>
      <xdr:spPr>
        <a:xfrm>
          <a:off x="3724275" y="1257300"/>
          <a:ext cx="6667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MILIEU</a:t>
          </a:r>
        </a:p>
      </xdr:txBody>
    </xdr:sp>
    <xdr:clientData/>
  </xdr:twoCellAnchor>
  <xdr:twoCellAnchor>
    <xdr:from>
      <xdr:col>11</xdr:col>
      <xdr:colOff>123824</xdr:colOff>
      <xdr:row>11</xdr:row>
      <xdr:rowOff>0</xdr:rowOff>
    </xdr:from>
    <xdr:to>
      <xdr:col>13</xdr:col>
      <xdr:colOff>209549</xdr:colOff>
      <xdr:row>13</xdr:row>
      <xdr:rowOff>66675</xdr:rowOff>
    </xdr:to>
    <xdr:sp macro="" textlink="">
      <xdr:nvSpPr>
        <xdr:cNvPr id="26" name="ZoneTexte 25"/>
        <xdr:cNvSpPr txBox="1"/>
      </xdr:nvSpPr>
      <xdr:spPr>
        <a:xfrm>
          <a:off x="3733799" y="2514600"/>
          <a:ext cx="752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MATIERE</a:t>
          </a:r>
        </a:p>
      </xdr:txBody>
    </xdr:sp>
    <xdr:clientData/>
  </xdr:twoCellAnchor>
  <xdr:twoCellAnchor>
    <xdr:from>
      <xdr:col>14</xdr:col>
      <xdr:colOff>114299</xdr:colOff>
      <xdr:row>11</xdr:row>
      <xdr:rowOff>0</xdr:rowOff>
    </xdr:from>
    <xdr:to>
      <xdr:col>16</xdr:col>
      <xdr:colOff>266700</xdr:colOff>
      <xdr:row>13</xdr:row>
      <xdr:rowOff>66675</xdr:rowOff>
    </xdr:to>
    <xdr:sp macro="" textlink="">
      <xdr:nvSpPr>
        <xdr:cNvPr id="27" name="ZoneTexte 26"/>
        <xdr:cNvSpPr txBox="1"/>
      </xdr:nvSpPr>
      <xdr:spPr>
        <a:xfrm>
          <a:off x="4705349" y="2514600"/>
          <a:ext cx="8191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MATERIEL</a:t>
          </a:r>
        </a:p>
      </xdr:txBody>
    </xdr:sp>
    <xdr:clientData/>
  </xdr:twoCellAnchor>
  <xdr:twoCellAnchor>
    <xdr:from>
      <xdr:col>14</xdr:col>
      <xdr:colOff>123824</xdr:colOff>
      <xdr:row>4</xdr:row>
      <xdr:rowOff>85725</xdr:rowOff>
    </xdr:from>
    <xdr:to>
      <xdr:col>16</xdr:col>
      <xdr:colOff>276225</xdr:colOff>
      <xdr:row>5</xdr:row>
      <xdr:rowOff>152400</xdr:rowOff>
    </xdr:to>
    <xdr:sp macro="" textlink="">
      <xdr:nvSpPr>
        <xdr:cNvPr id="28" name="ZoneTexte 27"/>
        <xdr:cNvSpPr txBox="1"/>
      </xdr:nvSpPr>
      <xdr:spPr>
        <a:xfrm>
          <a:off x="4714874" y="1257300"/>
          <a:ext cx="8191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METHODE</a:t>
          </a:r>
        </a:p>
      </xdr:txBody>
    </xdr:sp>
    <xdr:clientData/>
  </xdr:twoCellAnchor>
  <xdr:twoCellAnchor>
    <xdr:from>
      <xdr:col>11</xdr:col>
      <xdr:colOff>257175</xdr:colOff>
      <xdr:row>5</xdr:row>
      <xdr:rowOff>142875</xdr:rowOff>
    </xdr:from>
    <xdr:to>
      <xdr:col>11</xdr:col>
      <xdr:colOff>257175</xdr:colOff>
      <xdr:row>8</xdr:row>
      <xdr:rowOff>47625</xdr:rowOff>
    </xdr:to>
    <xdr:cxnSp macro="">
      <xdr:nvCxnSpPr>
        <xdr:cNvPr id="29" name="Connecteur droit avec flèche 28"/>
        <xdr:cNvCxnSpPr/>
      </xdr:nvCxnSpPr>
      <xdr:spPr>
        <a:xfrm>
          <a:off x="3867150" y="1504950"/>
          <a:ext cx="0" cy="4857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266700</xdr:colOff>
      <xdr:row>5</xdr:row>
      <xdr:rowOff>142875</xdr:rowOff>
    </xdr:from>
    <xdr:to>
      <xdr:col>14</xdr:col>
      <xdr:colOff>266700</xdr:colOff>
      <xdr:row>8</xdr:row>
      <xdr:rowOff>47625</xdr:rowOff>
    </xdr:to>
    <xdr:cxnSp macro="">
      <xdr:nvCxnSpPr>
        <xdr:cNvPr id="30" name="Connecteur droit avec flèche 29"/>
        <xdr:cNvCxnSpPr/>
      </xdr:nvCxnSpPr>
      <xdr:spPr>
        <a:xfrm>
          <a:off x="4857750" y="1504950"/>
          <a:ext cx="0" cy="4857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47624</xdr:colOff>
      <xdr:row>4</xdr:row>
      <xdr:rowOff>85725</xdr:rowOff>
    </xdr:from>
    <xdr:to>
      <xdr:col>21</xdr:col>
      <xdr:colOff>57150</xdr:colOff>
      <xdr:row>5</xdr:row>
      <xdr:rowOff>152400</xdr:rowOff>
    </xdr:to>
    <xdr:sp macro="" textlink="">
      <xdr:nvSpPr>
        <xdr:cNvPr id="31" name="ZoneTexte 30"/>
        <xdr:cNvSpPr txBox="1"/>
      </xdr:nvSpPr>
      <xdr:spPr>
        <a:xfrm>
          <a:off x="5619749" y="1257300"/>
          <a:ext cx="13430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MAIN D'OEUVRE</a:t>
          </a:r>
        </a:p>
      </xdr:txBody>
    </xdr:sp>
    <xdr:clientData/>
  </xdr:twoCellAnchor>
  <xdr:twoCellAnchor>
    <xdr:from>
      <xdr:col>17</xdr:col>
      <xdr:colOff>266700</xdr:colOff>
      <xdr:row>5</xdr:row>
      <xdr:rowOff>142875</xdr:rowOff>
    </xdr:from>
    <xdr:to>
      <xdr:col>17</xdr:col>
      <xdr:colOff>266700</xdr:colOff>
      <xdr:row>8</xdr:row>
      <xdr:rowOff>47625</xdr:rowOff>
    </xdr:to>
    <xdr:cxnSp macro="">
      <xdr:nvCxnSpPr>
        <xdr:cNvPr id="32" name="Connecteur droit avec flèche 31"/>
        <xdr:cNvCxnSpPr/>
      </xdr:nvCxnSpPr>
      <xdr:spPr>
        <a:xfrm>
          <a:off x="5838825" y="1504950"/>
          <a:ext cx="0" cy="48577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257175</xdr:colOff>
      <xdr:row>8</xdr:row>
      <xdr:rowOff>133350</xdr:rowOff>
    </xdr:from>
    <xdr:to>
      <xdr:col>11</xdr:col>
      <xdr:colOff>257175</xdr:colOff>
      <xdr:row>11</xdr:row>
      <xdr:rowOff>38100</xdr:rowOff>
    </xdr:to>
    <xdr:cxnSp macro="">
      <xdr:nvCxnSpPr>
        <xdr:cNvPr id="33" name="Connecteur droit avec flèche 32"/>
        <xdr:cNvCxnSpPr/>
      </xdr:nvCxnSpPr>
      <xdr:spPr>
        <a:xfrm flipV="1">
          <a:off x="3867150" y="2076450"/>
          <a:ext cx="0" cy="4762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266700</xdr:colOff>
      <xdr:row>8</xdr:row>
      <xdr:rowOff>142875</xdr:rowOff>
    </xdr:from>
    <xdr:to>
      <xdr:col>14</xdr:col>
      <xdr:colOff>266700</xdr:colOff>
      <xdr:row>11</xdr:row>
      <xdr:rowOff>47625</xdr:rowOff>
    </xdr:to>
    <xdr:cxnSp macro="">
      <xdr:nvCxnSpPr>
        <xdr:cNvPr id="34" name="Connecteur droit avec flèche 33"/>
        <xdr:cNvCxnSpPr/>
      </xdr:nvCxnSpPr>
      <xdr:spPr>
        <a:xfrm flipV="1">
          <a:off x="4857750" y="2085975"/>
          <a:ext cx="0" cy="4762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266700</xdr:colOff>
      <xdr:row>8</xdr:row>
      <xdr:rowOff>142875</xdr:rowOff>
    </xdr:from>
    <xdr:to>
      <xdr:col>17</xdr:col>
      <xdr:colOff>266700</xdr:colOff>
      <xdr:row>11</xdr:row>
      <xdr:rowOff>47625</xdr:rowOff>
    </xdr:to>
    <xdr:cxnSp macro="">
      <xdr:nvCxnSpPr>
        <xdr:cNvPr id="35" name="Connecteur droit avec flèche 34"/>
        <xdr:cNvCxnSpPr/>
      </xdr:nvCxnSpPr>
      <xdr:spPr>
        <a:xfrm flipV="1">
          <a:off x="5838825" y="2085975"/>
          <a:ext cx="0" cy="4762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47624</xdr:colOff>
      <xdr:row>11</xdr:row>
      <xdr:rowOff>0</xdr:rowOff>
    </xdr:from>
    <xdr:to>
      <xdr:col>20</xdr:col>
      <xdr:colOff>333375</xdr:colOff>
      <xdr:row>13</xdr:row>
      <xdr:rowOff>66675</xdr:rowOff>
    </xdr:to>
    <xdr:sp macro="" textlink="">
      <xdr:nvSpPr>
        <xdr:cNvPr id="36" name="ZoneTexte 35"/>
        <xdr:cNvSpPr txBox="1"/>
      </xdr:nvSpPr>
      <xdr:spPr>
        <a:xfrm>
          <a:off x="5619749" y="2514600"/>
          <a:ext cx="12668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100"/>
            <a:t>MANAGEMENT</a:t>
          </a:r>
        </a:p>
      </xdr:txBody>
    </xdr:sp>
    <xdr:clientData/>
  </xdr:twoCellAnchor>
  <xdr:twoCellAnchor>
    <xdr:from>
      <xdr:col>0</xdr:col>
      <xdr:colOff>0</xdr:colOff>
      <xdr:row>4</xdr:row>
      <xdr:rowOff>19050</xdr:rowOff>
    </xdr:from>
    <xdr:to>
      <xdr:col>10</xdr:col>
      <xdr:colOff>495300</xdr:colOff>
      <xdr:row>14</xdr:row>
      <xdr:rowOff>180975</xdr:rowOff>
    </xdr:to>
    <xdr:graphicFrame macro="">
      <xdr:nvGraphicFramePr>
        <xdr:cNvPr id="1196278" name="Graphique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16</xdr:row>
      <xdr:rowOff>133350</xdr:rowOff>
    </xdr:from>
    <xdr:to>
      <xdr:col>10</xdr:col>
      <xdr:colOff>466725</xdr:colOff>
      <xdr:row>31</xdr:row>
      <xdr:rowOff>47625</xdr:rowOff>
    </xdr:to>
    <xdr:graphicFrame macro="">
      <xdr:nvGraphicFramePr>
        <xdr:cNvPr id="1196279"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104775</xdr:colOff>
      <xdr:row>19</xdr:row>
      <xdr:rowOff>133350</xdr:rowOff>
    </xdr:from>
    <xdr:to>
      <xdr:col>29</xdr:col>
      <xdr:colOff>323850</xdr:colOff>
      <xdr:row>31</xdr:row>
      <xdr:rowOff>152400</xdr:rowOff>
    </xdr:to>
    <xdr:graphicFrame macro="">
      <xdr:nvGraphicFramePr>
        <xdr:cNvPr id="1196280"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4</xdr:row>
      <xdr:rowOff>66675</xdr:rowOff>
    </xdr:from>
    <xdr:to>
      <xdr:col>0</xdr:col>
      <xdr:colOff>285750</xdr:colOff>
      <xdr:row>5</xdr:row>
      <xdr:rowOff>142875</xdr:rowOff>
    </xdr:to>
    <xdr:sp macro="" textlink="">
      <xdr:nvSpPr>
        <xdr:cNvPr id="79" name="ZoneTexte 78"/>
        <xdr:cNvSpPr txBox="1"/>
      </xdr:nvSpPr>
      <xdr:spPr>
        <a:xfrm>
          <a:off x="57150" y="1238250"/>
          <a:ext cx="2286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t>
          </a:r>
        </a:p>
      </xdr:txBody>
    </xdr:sp>
    <xdr:clientData/>
  </xdr:twoCellAnchor>
  <xdr:twoCellAnchor>
    <xdr:from>
      <xdr:col>11</xdr:col>
      <xdr:colOff>85725</xdr:colOff>
      <xdr:row>18</xdr:row>
      <xdr:rowOff>76200</xdr:rowOff>
    </xdr:from>
    <xdr:to>
      <xdr:col>11</xdr:col>
      <xdr:colOff>314325</xdr:colOff>
      <xdr:row>19</xdr:row>
      <xdr:rowOff>152400</xdr:rowOff>
    </xdr:to>
    <xdr:sp macro="" textlink="">
      <xdr:nvSpPr>
        <xdr:cNvPr id="80" name="ZoneTexte 79"/>
        <xdr:cNvSpPr txBox="1"/>
      </xdr:nvSpPr>
      <xdr:spPr>
        <a:xfrm>
          <a:off x="3914775" y="4010025"/>
          <a:ext cx="2286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HS\03%20-%20Planning\reporting%20EHS\2018\TDB%20EHS%2031%2012%2018\Tableau%20de%20bord%20Qualit&#233;-EHS%20Nancy_Strasbourg%20Services%20Portab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Management"/>
      <sheetName val="Suivi des actions Qualite-EHS"/>
      <sheetName val="Gestion EHS Nancy"/>
      <sheetName val="Gestion EHS Strasbourg"/>
      <sheetName val="Suivi des AT"/>
      <sheetName val="Suivi des Sinistres Auto"/>
      <sheetName val="Contrôles réglementaires"/>
      <sheetName val="Gestion nouveaux"/>
      <sheetName val="Gestion Sous-traitants"/>
      <sheetName val="Audit Eqpt Pression"/>
      <sheetName val="Indicateurs EHS Nancy"/>
      <sheetName val="Indicateurs Qualité"/>
      <sheetName val="Calcul qualite (ne pas toucher)"/>
      <sheetName val="Indicateurs EHS Strasbourg"/>
      <sheetName val="Indicateurs EHS Nancy Strasb."/>
      <sheetName val="Données (ne pas toucher)"/>
      <sheetName val="Calcul base"/>
      <sheetName val="Feui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file:///\\CFRCHF02\ehsRegions$\R&#233;gion%20Est\Commun\Formation\Accueil%20des%20nouveaux\Demande%20interim%20Pontoon.doc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AI33"/>
  <sheetViews>
    <sheetView zoomScale="90" zoomScaleNormal="90" workbookViewId="0">
      <selection activeCell="AI15" sqref="AI15"/>
    </sheetView>
  </sheetViews>
  <sheetFormatPr baseColWidth="10" defaultColWidth="11.42578125" defaultRowHeight="15" x14ac:dyDescent="0.25"/>
  <cols>
    <col min="1" max="8" width="4.7109375" style="106" customWidth="1"/>
    <col min="9" max="11" width="5.28515625" style="106" customWidth="1"/>
    <col min="12" max="17" width="4.7109375" style="106" customWidth="1"/>
    <col min="18" max="18" width="5.28515625" style="106" customWidth="1"/>
    <col min="19" max="22" width="4.7109375" style="106" customWidth="1"/>
    <col min="23" max="23" width="5.28515625" style="106" customWidth="1"/>
    <col min="24" max="25" width="4.7109375" style="106" customWidth="1"/>
    <col min="26" max="26" width="5.28515625" style="106" customWidth="1"/>
    <col min="27" max="28" width="4.7109375" style="106" customWidth="1"/>
    <col min="29" max="29" width="5.28515625" style="106" customWidth="1"/>
    <col min="30" max="31" width="11.42578125" style="106"/>
    <col min="32" max="33" width="11.42578125" style="106" hidden="1" customWidth="1"/>
    <col min="34" max="16384" width="11.42578125" style="106"/>
  </cols>
  <sheetData>
    <row r="1" spans="1:35" ht="96" customHeight="1" x14ac:dyDescent="0.5">
      <c r="A1" s="402"/>
      <c r="B1" s="402"/>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c r="AC1" s="402"/>
    </row>
    <row r="2" spans="1:35" ht="5.0999999999999996" customHeight="1" thickBot="1" x14ac:dyDescent="0.3">
      <c r="F2"/>
      <c r="G2"/>
    </row>
    <row r="3" spans="1:35" ht="19.5" thickBot="1" x14ac:dyDescent="0.35">
      <c r="A3" s="403" t="s">
        <v>239</v>
      </c>
      <c r="B3" s="404"/>
      <c r="C3" s="404"/>
      <c r="D3" s="404"/>
      <c r="E3" s="405"/>
      <c r="F3" s="405"/>
      <c r="G3" s="405"/>
      <c r="H3" s="405"/>
      <c r="I3" s="405"/>
      <c r="J3" s="405"/>
      <c r="K3" s="405"/>
      <c r="L3" s="405"/>
      <c r="M3" s="405"/>
      <c r="N3" s="406"/>
      <c r="O3" s="20"/>
      <c r="P3" s="407" t="s">
        <v>21</v>
      </c>
      <c r="Q3" s="408"/>
      <c r="R3" s="408"/>
      <c r="S3" s="408"/>
      <c r="T3" s="408"/>
      <c r="U3" s="408"/>
      <c r="V3" s="409"/>
      <c r="W3" s="409"/>
      <c r="X3" s="409"/>
      <c r="Y3" s="409"/>
      <c r="Z3" s="409"/>
      <c r="AA3" s="409"/>
      <c r="AB3" s="409"/>
      <c r="AC3" s="410"/>
    </row>
    <row r="4" spans="1:35" ht="5.0999999999999996" customHeight="1" thickBot="1" x14ac:dyDescent="0.3">
      <c r="F4"/>
      <c r="G4"/>
      <c r="L4"/>
      <c r="M4"/>
      <c r="N4"/>
      <c r="O4"/>
      <c r="P4"/>
    </row>
    <row r="5" spans="1:35" x14ac:dyDescent="0.25">
      <c r="A5" s="46"/>
      <c r="B5" s="62"/>
      <c r="C5" s="62"/>
      <c r="D5" s="62"/>
      <c r="E5" s="62"/>
      <c r="F5" s="63"/>
      <c r="G5" s="63"/>
      <c r="H5" s="62"/>
      <c r="I5" s="62"/>
      <c r="J5" s="62"/>
      <c r="K5" s="62"/>
      <c r="L5" s="63"/>
      <c r="M5" s="63"/>
      <c r="N5" s="63"/>
      <c r="O5" s="63"/>
      <c r="P5" s="63"/>
      <c r="Q5" s="62"/>
      <c r="R5" s="62"/>
      <c r="S5" s="226"/>
      <c r="T5" s="62"/>
      <c r="U5" s="62"/>
      <c r="V5" s="62"/>
      <c r="W5" s="62"/>
      <c r="X5" s="62"/>
      <c r="Y5" s="62"/>
      <c r="Z5" s="62"/>
      <c r="AA5" s="62"/>
      <c r="AB5" s="62"/>
      <c r="AC5" s="47"/>
    </row>
    <row r="6" spans="1:35" x14ac:dyDescent="0.25">
      <c r="A6" s="228"/>
      <c r="B6" s="227"/>
      <c r="C6" s="227"/>
      <c r="D6" s="227"/>
      <c r="E6" s="227"/>
      <c r="F6" s="18"/>
      <c r="G6" s="227"/>
      <c r="H6" s="227"/>
      <c r="I6" s="227"/>
      <c r="J6" s="227"/>
      <c r="K6" s="227"/>
      <c r="L6" s="18"/>
      <c r="M6" s="18"/>
      <c r="N6" s="18"/>
      <c r="O6" s="18"/>
      <c r="P6" s="18"/>
      <c r="Q6" s="227"/>
      <c r="R6" s="227"/>
      <c r="S6" s="18"/>
      <c r="T6" s="227"/>
      <c r="U6" s="227"/>
      <c r="V6" s="227"/>
      <c r="W6" s="227"/>
      <c r="X6" s="227"/>
      <c r="Y6" s="227"/>
      <c r="Z6" s="227"/>
      <c r="AA6" s="227"/>
      <c r="AB6" s="227"/>
      <c r="AC6" s="231"/>
    </row>
    <row r="7" spans="1:35" x14ac:dyDescent="0.25">
      <c r="A7" s="228"/>
      <c r="B7" s="401">
        <f ca="1">'Suivi des AT'!I3</f>
        <v>6977</v>
      </c>
      <c r="C7" s="401"/>
      <c r="D7" s="401"/>
      <c r="E7" s="401"/>
      <c r="F7" s="401"/>
      <c r="G7" s="401"/>
      <c r="H7" s="401"/>
      <c r="I7" s="227"/>
      <c r="J7" s="227"/>
      <c r="K7" s="227"/>
      <c r="L7" s="18"/>
      <c r="M7" s="18"/>
      <c r="N7" s="18"/>
      <c r="O7" s="18"/>
      <c r="P7" s="18"/>
      <c r="Q7" s="227"/>
      <c r="R7" s="227"/>
      <c r="S7" s="18"/>
      <c r="T7" s="227"/>
      <c r="U7" s="227"/>
      <c r="V7" s="227"/>
      <c r="W7" s="227"/>
      <c r="X7" s="227"/>
      <c r="Y7" s="227"/>
      <c r="Z7" s="227"/>
      <c r="AA7" s="227"/>
      <c r="AB7" s="227"/>
      <c r="AC7" s="231"/>
    </row>
    <row r="8" spans="1:35" x14ac:dyDescent="0.25">
      <c r="A8" s="228"/>
      <c r="B8" s="401"/>
      <c r="C8" s="401"/>
      <c r="D8" s="401"/>
      <c r="E8" s="401"/>
      <c r="F8" s="401"/>
      <c r="G8" s="401"/>
      <c r="H8" s="401"/>
      <c r="I8" s="227"/>
      <c r="J8" s="227"/>
      <c r="K8" s="227"/>
      <c r="L8" s="18"/>
      <c r="M8" s="18"/>
      <c r="N8" s="18"/>
      <c r="O8" s="18"/>
      <c r="P8" s="18"/>
      <c r="Q8" s="227"/>
      <c r="R8" s="227"/>
      <c r="S8" s="18"/>
      <c r="T8" s="227"/>
      <c r="U8" s="227"/>
      <c r="V8" s="227"/>
      <c r="W8" s="227"/>
      <c r="X8" s="227"/>
      <c r="Y8" s="227"/>
      <c r="Z8" s="227"/>
      <c r="AA8" s="227"/>
      <c r="AB8" s="227"/>
      <c r="AC8" s="231"/>
    </row>
    <row r="9" spans="1:35" x14ac:dyDescent="0.25">
      <c r="A9" s="228"/>
      <c r="B9" s="401"/>
      <c r="C9" s="401"/>
      <c r="D9" s="401"/>
      <c r="E9" s="401"/>
      <c r="F9" s="401"/>
      <c r="G9" s="401"/>
      <c r="H9" s="401"/>
      <c r="I9" s="227"/>
      <c r="J9" s="227"/>
      <c r="K9" s="227"/>
      <c r="L9" s="18"/>
      <c r="M9" s="18"/>
      <c r="N9" s="18"/>
      <c r="O9" s="18"/>
      <c r="P9" s="18"/>
      <c r="Q9" s="227"/>
      <c r="R9" s="227"/>
      <c r="S9" s="18"/>
      <c r="T9" s="227"/>
      <c r="U9" s="227"/>
      <c r="V9" s="227"/>
      <c r="W9" s="227"/>
      <c r="X9" s="227"/>
      <c r="Y9" s="227"/>
      <c r="Z9" s="227"/>
      <c r="AA9" s="227"/>
      <c r="AB9" s="227"/>
      <c r="AC9" s="231"/>
    </row>
    <row r="10" spans="1:35" x14ac:dyDescent="0.25">
      <c r="A10" s="228"/>
      <c r="B10" s="401"/>
      <c r="C10" s="401"/>
      <c r="D10" s="401"/>
      <c r="E10" s="401"/>
      <c r="F10" s="401"/>
      <c r="G10" s="401"/>
      <c r="H10" s="401"/>
      <c r="I10" s="227"/>
      <c r="J10" s="227"/>
      <c r="K10" s="227"/>
      <c r="L10" s="18"/>
      <c r="M10" s="18"/>
      <c r="N10" s="18"/>
      <c r="O10" s="18"/>
      <c r="P10" s="18"/>
      <c r="Q10" s="227"/>
      <c r="R10" s="227"/>
      <c r="S10" s="18"/>
      <c r="T10" s="227"/>
      <c r="U10" s="227"/>
      <c r="V10" s="227"/>
      <c r="W10" s="227"/>
      <c r="X10" s="227"/>
      <c r="Y10" s="227"/>
      <c r="Z10" s="227"/>
      <c r="AA10" s="227"/>
      <c r="AB10" s="227"/>
      <c r="AC10" s="231"/>
    </row>
    <row r="11" spans="1:35" x14ac:dyDescent="0.25">
      <c r="A11" s="228"/>
      <c r="B11" s="401"/>
      <c r="C11" s="401"/>
      <c r="D11" s="401"/>
      <c r="E11" s="401"/>
      <c r="F11" s="401"/>
      <c r="G11" s="401"/>
      <c r="H11" s="401"/>
      <c r="I11" s="227"/>
      <c r="J11" s="227"/>
      <c r="K11" s="227"/>
      <c r="L11" s="18"/>
      <c r="M11" s="18"/>
      <c r="N11" s="18"/>
      <c r="O11" s="18"/>
      <c r="P11" s="18"/>
      <c r="Q11" s="227"/>
      <c r="R11" s="227"/>
      <c r="S11" s="18"/>
      <c r="T11" s="227"/>
      <c r="U11" s="227"/>
      <c r="V11" s="227"/>
      <c r="W11" s="227"/>
      <c r="X11" s="227"/>
      <c r="Y11" s="227"/>
      <c r="Z11" s="227"/>
      <c r="AA11" s="227"/>
      <c r="AB11" s="227"/>
      <c r="AC11" s="231"/>
    </row>
    <row r="12" spans="1:35" x14ac:dyDescent="0.25">
      <c r="A12" s="228"/>
      <c r="B12" s="401"/>
      <c r="C12" s="401"/>
      <c r="D12" s="401"/>
      <c r="E12" s="401"/>
      <c r="F12" s="401"/>
      <c r="G12" s="401"/>
      <c r="H12" s="401"/>
      <c r="I12" s="227"/>
      <c r="J12" s="227"/>
      <c r="K12" s="227"/>
      <c r="L12" s="18"/>
      <c r="M12" s="18"/>
      <c r="N12" s="18"/>
      <c r="O12" s="18"/>
      <c r="P12" s="18"/>
      <c r="Q12" s="227"/>
      <c r="R12" s="227"/>
      <c r="S12" s="18"/>
      <c r="T12" s="227"/>
      <c r="U12" s="227"/>
      <c r="V12" s="227"/>
      <c r="W12" s="227"/>
      <c r="X12" s="227"/>
      <c r="Y12" s="227"/>
      <c r="Z12" s="227"/>
      <c r="AA12" s="227"/>
      <c r="AB12" s="227"/>
      <c r="AC12" s="231"/>
    </row>
    <row r="13" spans="1:35" x14ac:dyDescent="0.25">
      <c r="A13" s="228"/>
      <c r="B13" s="401"/>
      <c r="C13" s="401"/>
      <c r="D13" s="401"/>
      <c r="E13" s="401"/>
      <c r="F13" s="401"/>
      <c r="G13" s="401"/>
      <c r="H13" s="401"/>
      <c r="I13" s="227"/>
      <c r="J13" s="227"/>
      <c r="K13" s="227"/>
      <c r="L13" s="18"/>
      <c r="M13" s="18"/>
      <c r="N13" s="18"/>
      <c r="O13" s="18"/>
      <c r="P13" s="18"/>
      <c r="Q13" s="227"/>
      <c r="R13" s="227"/>
      <c r="S13" s="18"/>
      <c r="T13" s="227"/>
      <c r="U13" s="227"/>
      <c r="V13" s="227"/>
      <c r="W13" s="227"/>
      <c r="X13" s="227"/>
      <c r="Y13" s="227"/>
      <c r="Z13" s="227"/>
      <c r="AA13" s="227"/>
      <c r="AB13" s="227"/>
      <c r="AC13" s="231"/>
    </row>
    <row r="14" spans="1:35" x14ac:dyDescent="0.25">
      <c r="A14" s="228"/>
      <c r="B14" s="400" t="s">
        <v>240</v>
      </c>
      <c r="C14" s="400"/>
      <c r="D14" s="400"/>
      <c r="E14" s="400"/>
      <c r="F14" s="400"/>
      <c r="G14" s="400"/>
      <c r="H14" s="400"/>
      <c r="I14" s="400"/>
      <c r="J14" s="400"/>
      <c r="K14" s="400"/>
      <c r="L14" s="400"/>
      <c r="M14" s="18"/>
      <c r="N14" s="18"/>
      <c r="O14" s="18"/>
      <c r="P14" s="18"/>
      <c r="Q14" s="227"/>
      <c r="R14" s="227"/>
      <c r="S14" s="18"/>
      <c r="T14" s="227"/>
      <c r="U14" s="227"/>
      <c r="V14" s="227"/>
      <c r="W14" s="227"/>
      <c r="X14" s="227"/>
      <c r="Y14" s="227"/>
      <c r="Z14" s="227"/>
      <c r="AA14" s="227"/>
      <c r="AB14" s="227"/>
      <c r="AC14" s="231"/>
    </row>
    <row r="15" spans="1:35" x14ac:dyDescent="0.25">
      <c r="A15" s="228"/>
      <c r="B15" s="400"/>
      <c r="C15" s="400"/>
      <c r="D15" s="400"/>
      <c r="E15" s="400"/>
      <c r="F15" s="400"/>
      <c r="G15" s="400"/>
      <c r="H15" s="400"/>
      <c r="I15" s="400"/>
      <c r="J15" s="400"/>
      <c r="K15" s="400"/>
      <c r="L15" s="400"/>
      <c r="M15" s="18"/>
      <c r="N15" s="18"/>
      <c r="O15" s="18"/>
      <c r="P15" s="18"/>
      <c r="Q15" s="227"/>
      <c r="R15" s="227"/>
      <c r="S15" s="18"/>
      <c r="T15" s="227"/>
      <c r="U15" s="227"/>
      <c r="V15" s="227"/>
      <c r="W15" s="227"/>
      <c r="X15" s="227"/>
      <c r="Y15" s="227"/>
      <c r="Z15" s="227"/>
      <c r="AA15" s="227"/>
      <c r="AB15" s="227"/>
      <c r="AC15" s="231"/>
      <c r="AI15" s="14"/>
    </row>
    <row r="16" spans="1:35" x14ac:dyDescent="0.25">
      <c r="A16" s="228"/>
      <c r="B16" s="400"/>
      <c r="C16" s="400"/>
      <c r="D16" s="400"/>
      <c r="E16" s="400"/>
      <c r="F16" s="400"/>
      <c r="G16" s="400"/>
      <c r="H16" s="400"/>
      <c r="I16" s="400"/>
      <c r="J16" s="400"/>
      <c r="K16" s="400"/>
      <c r="L16" s="400"/>
      <c r="M16" s="18"/>
      <c r="N16" s="18"/>
      <c r="O16" s="18"/>
      <c r="P16" s="18"/>
      <c r="Q16" s="227"/>
      <c r="R16" s="227"/>
      <c r="S16" s="18"/>
      <c r="T16" s="227"/>
      <c r="U16" s="227"/>
      <c r="V16" s="227"/>
      <c r="W16" s="227"/>
      <c r="X16" s="227"/>
      <c r="Y16" s="227"/>
      <c r="Z16" s="227"/>
      <c r="AA16" s="227"/>
      <c r="AB16" s="227"/>
      <c r="AC16" s="231"/>
    </row>
    <row r="17" spans="1:29" ht="15.75" thickBot="1" x14ac:dyDescent="0.3">
      <c r="A17" s="25"/>
      <c r="B17" s="7"/>
      <c r="C17" s="7"/>
      <c r="D17" s="7"/>
      <c r="E17" s="7"/>
      <c r="F17" s="7"/>
      <c r="G17" s="7"/>
      <c r="H17" s="7"/>
      <c r="I17" s="7"/>
      <c r="J17" s="7"/>
      <c r="K17" s="7"/>
      <c r="L17" s="7"/>
      <c r="M17" s="7"/>
      <c r="N17" s="7"/>
      <c r="O17" s="7"/>
      <c r="P17" s="7"/>
      <c r="Q17" s="7"/>
      <c r="R17" s="7"/>
      <c r="S17" s="28"/>
      <c r="T17" s="7"/>
      <c r="U17" s="7"/>
      <c r="V17" s="7"/>
      <c r="W17" s="7"/>
      <c r="X17" s="7"/>
      <c r="Y17" s="7"/>
      <c r="Z17" s="7"/>
      <c r="AA17" s="7"/>
      <c r="AB17" s="7"/>
      <c r="AC17" s="27"/>
    </row>
    <row r="18" spans="1:29" ht="5.0999999999999996" customHeight="1" thickBot="1" x14ac:dyDescent="0.3">
      <c r="S18"/>
    </row>
    <row r="19" spans="1:29" x14ac:dyDescent="0.25">
      <c r="A19" s="46"/>
      <c r="B19" s="62"/>
      <c r="C19" s="62"/>
      <c r="D19" s="62"/>
      <c r="E19" s="62"/>
      <c r="F19" s="63"/>
      <c r="G19" s="63"/>
      <c r="H19" s="62"/>
      <c r="I19" s="62"/>
      <c r="J19" s="62"/>
      <c r="K19" s="62"/>
      <c r="L19" s="63"/>
      <c r="M19" s="63"/>
      <c r="N19" s="63"/>
      <c r="O19" s="63"/>
      <c r="P19" s="63"/>
      <c r="Q19" s="62"/>
      <c r="R19" s="62"/>
      <c r="S19" s="226"/>
      <c r="T19" s="62"/>
      <c r="U19" s="62"/>
      <c r="V19" s="62"/>
      <c r="W19" s="62"/>
      <c r="X19" s="62"/>
      <c r="Y19" s="62"/>
      <c r="Z19" s="62"/>
      <c r="AA19" s="62"/>
      <c r="AB19" s="62"/>
      <c r="AC19" s="47"/>
    </row>
    <row r="20" spans="1:29" ht="14.45" customHeight="1" x14ac:dyDescent="0.25">
      <c r="A20" s="228"/>
      <c r="B20" s="227"/>
      <c r="C20" s="227"/>
      <c r="D20" s="227"/>
      <c r="E20" s="386" t="s">
        <v>455</v>
      </c>
      <c r="F20" s="393"/>
      <c r="G20" s="393"/>
      <c r="H20" s="393"/>
      <c r="I20" s="393"/>
      <c r="J20" s="393"/>
      <c r="K20" s="393"/>
      <c r="L20" s="18"/>
      <c r="M20" s="386" t="s">
        <v>457</v>
      </c>
      <c r="N20" s="393"/>
      <c r="O20" s="393"/>
      <c r="P20" s="393"/>
      <c r="Q20" s="393"/>
      <c r="R20" s="393"/>
      <c r="S20" s="393"/>
      <c r="T20" s="227"/>
      <c r="U20" s="227"/>
      <c r="V20" s="227"/>
      <c r="W20" s="227"/>
      <c r="X20" s="386" t="s">
        <v>460</v>
      </c>
      <c r="Y20" s="396"/>
      <c r="Z20" s="396"/>
      <c r="AA20" s="396"/>
      <c r="AB20" s="396"/>
      <c r="AC20" s="397"/>
    </row>
    <row r="21" spans="1:29" ht="26.25" customHeight="1" x14ac:dyDescent="0.25">
      <c r="A21" s="228"/>
      <c r="B21" s="227"/>
      <c r="C21" s="227"/>
      <c r="D21" s="227"/>
      <c r="E21" s="386" t="s">
        <v>280</v>
      </c>
      <c r="F21" s="393"/>
      <c r="G21" s="393"/>
      <c r="I21" s="383" t="s">
        <v>456</v>
      </c>
      <c r="J21" s="383"/>
      <c r="K21" s="383"/>
      <c r="L21" s="18"/>
      <c r="M21" s="394" t="s">
        <v>458</v>
      </c>
      <c r="N21" s="395"/>
      <c r="O21" s="395"/>
      <c r="P21" s="313"/>
      <c r="Q21" s="394" t="s">
        <v>241</v>
      </c>
      <c r="R21" s="395"/>
      <c r="S21" s="395"/>
      <c r="T21" s="227"/>
      <c r="U21" s="227"/>
      <c r="V21" s="227"/>
      <c r="W21" s="227"/>
      <c r="X21" s="398" t="s">
        <v>459</v>
      </c>
      <c r="Y21" s="393"/>
      <c r="Z21" s="393"/>
      <c r="AA21" s="393"/>
      <c r="AB21" s="393"/>
      <c r="AC21" s="399"/>
    </row>
    <row r="22" spans="1:29" x14ac:dyDescent="0.25">
      <c r="A22" s="228"/>
      <c r="B22" s="227"/>
      <c r="C22" s="227"/>
      <c r="D22" s="227"/>
      <c r="E22" s="391" t="s">
        <v>238</v>
      </c>
      <c r="F22" s="391"/>
      <c r="G22" s="391"/>
      <c r="H22" s="227"/>
      <c r="I22" s="391" t="s">
        <v>242</v>
      </c>
      <c r="J22" s="391"/>
      <c r="K22" s="391"/>
      <c r="L22" s="18"/>
      <c r="M22" s="391" t="s">
        <v>238</v>
      </c>
      <c r="N22" s="391"/>
      <c r="O22" s="391"/>
      <c r="P22" s="18"/>
      <c r="Q22" s="391" t="s">
        <v>242</v>
      </c>
      <c r="R22" s="391"/>
      <c r="S22" s="391"/>
      <c r="T22" s="227"/>
      <c r="U22" s="227"/>
      <c r="V22" s="227"/>
      <c r="W22" s="227"/>
      <c r="X22" s="391" t="s">
        <v>238</v>
      </c>
      <c r="Y22" s="391"/>
      <c r="Z22" s="391"/>
      <c r="AA22" s="391" t="s">
        <v>244</v>
      </c>
      <c r="AB22" s="391"/>
      <c r="AC22" s="392"/>
    </row>
    <row r="23" spans="1:29" x14ac:dyDescent="0.25">
      <c r="A23" s="228"/>
      <c r="B23" s="227"/>
      <c r="C23" s="227"/>
      <c r="D23" s="227"/>
      <c r="E23" s="384" t="e">
        <f>'Gestion EHS'!O7</f>
        <v>#DIV/0!</v>
      </c>
      <c r="F23" s="384"/>
      <c r="G23" s="384"/>
      <c r="H23" s="227"/>
      <c r="I23" s="384" t="e">
        <f>'Gestion EHS'!Y7</f>
        <v>#DIV/0!</v>
      </c>
      <c r="J23" s="386"/>
      <c r="K23" s="386"/>
      <c r="L23" s="18"/>
      <c r="M23" s="384" t="e">
        <f>'Gestion EHS'!AL7</f>
        <v>#DIV/0!</v>
      </c>
      <c r="N23" s="384"/>
      <c r="O23" s="384"/>
      <c r="P23" s="18"/>
      <c r="Q23" s="384" t="e">
        <f>'Gestion EHS'!AF7</f>
        <v>#DIV/0!</v>
      </c>
      <c r="R23" s="386"/>
      <c r="S23" s="386"/>
      <c r="T23" s="227"/>
      <c r="U23" s="227"/>
      <c r="V23" s="227"/>
      <c r="W23" s="227"/>
      <c r="X23" s="384" t="e">
        <f>IF(AA22="Causerie Q1",'Gestion EHS'!BA7,IF(AA22="Causerie Q2",'Gestion EHS'!BC7,IF(AA22="Causerie Q3",'Gestion EHS'!BE7,IF(AA22="Causerie Q4",'Gestion EHS'!BG7))))</f>
        <v>#DIV/0!</v>
      </c>
      <c r="Y23" s="384"/>
      <c r="Z23" s="384"/>
      <c r="AA23" s="384"/>
      <c r="AB23" s="384"/>
      <c r="AC23" s="385"/>
    </row>
    <row r="24" spans="1:29" x14ac:dyDescent="0.25">
      <c r="A24" s="228"/>
      <c r="B24" s="227"/>
      <c r="C24" s="227"/>
      <c r="D24" s="227"/>
      <c r="E24" s="384"/>
      <c r="F24" s="384"/>
      <c r="G24" s="384"/>
      <c r="H24" s="227"/>
      <c r="I24" s="386"/>
      <c r="J24" s="386"/>
      <c r="K24" s="386"/>
      <c r="L24" s="18"/>
      <c r="M24" s="384"/>
      <c r="N24" s="384"/>
      <c r="O24" s="384"/>
      <c r="P24" s="18"/>
      <c r="Q24" s="386"/>
      <c r="R24" s="386"/>
      <c r="S24" s="386"/>
      <c r="T24" s="227"/>
      <c r="U24" s="227"/>
      <c r="V24" s="227"/>
      <c r="W24" s="227"/>
      <c r="X24" s="384"/>
      <c r="Y24" s="384"/>
      <c r="Z24" s="384"/>
      <c r="AA24" s="384"/>
      <c r="AB24" s="384"/>
      <c r="AC24" s="385"/>
    </row>
    <row r="25" spans="1:29" ht="15.75" thickBot="1" x14ac:dyDescent="0.3">
      <c r="A25" s="25"/>
      <c r="B25" s="7"/>
      <c r="C25" s="7"/>
      <c r="D25" s="7"/>
      <c r="E25" s="7"/>
      <c r="F25" s="28"/>
      <c r="G25" s="28"/>
      <c r="H25" s="7"/>
      <c r="I25" s="7"/>
      <c r="J25" s="7"/>
      <c r="K25" s="7"/>
      <c r="L25" s="28"/>
      <c r="M25" s="28"/>
      <c r="N25" s="28"/>
      <c r="O25" s="28"/>
      <c r="P25" s="28"/>
      <c r="Q25" s="7"/>
      <c r="R25" s="7"/>
      <c r="S25" s="229"/>
      <c r="T25" s="7"/>
      <c r="U25" s="7"/>
      <c r="V25" s="7"/>
      <c r="W25" s="7"/>
      <c r="X25" s="7"/>
      <c r="Y25" s="7"/>
      <c r="Z25" s="7"/>
      <c r="AA25" s="7"/>
      <c r="AB25" s="7"/>
      <c r="AC25" s="27"/>
    </row>
    <row r="26" spans="1:29" ht="5.0999999999999996" customHeight="1" thickBot="1" x14ac:dyDescent="0.3">
      <c r="A26" s="227"/>
      <c r="B26" s="227"/>
      <c r="C26" s="227"/>
      <c r="D26" s="227"/>
      <c r="E26" s="227"/>
      <c r="F26" s="18"/>
      <c r="G26" s="227"/>
      <c r="H26" s="227"/>
      <c r="I26" s="227"/>
      <c r="J26" s="227"/>
      <c r="K26" s="227"/>
      <c r="L26" s="18"/>
      <c r="M26" s="18"/>
      <c r="N26" s="18"/>
      <c r="O26" s="18"/>
      <c r="P26" s="18"/>
      <c r="Q26" s="227"/>
      <c r="R26" s="227"/>
      <c r="S26" s="18"/>
      <c r="T26" s="227"/>
      <c r="U26" s="227"/>
      <c r="V26" s="227"/>
      <c r="W26" s="227"/>
      <c r="X26" s="227"/>
      <c r="Y26" s="227"/>
      <c r="Z26" s="227"/>
      <c r="AA26" s="227"/>
      <c r="AB26" s="227"/>
      <c r="AC26" s="227"/>
    </row>
    <row r="27" spans="1:29" x14ac:dyDescent="0.25">
      <c r="A27" s="46"/>
      <c r="B27" s="62"/>
      <c r="C27" s="62"/>
      <c r="D27" s="62"/>
      <c r="E27" s="62"/>
      <c r="F27" s="63"/>
      <c r="G27" s="62"/>
      <c r="H27" s="62"/>
      <c r="I27" s="62"/>
      <c r="J27" s="62"/>
      <c r="K27" s="62"/>
      <c r="L27" s="63"/>
      <c r="M27" s="63"/>
      <c r="N27" s="63"/>
      <c r="O27" s="63"/>
      <c r="P27" s="63"/>
      <c r="Q27" s="62"/>
      <c r="R27" s="62"/>
      <c r="S27" s="63"/>
      <c r="T27" s="62"/>
      <c r="U27" s="62"/>
      <c r="V27" s="62"/>
      <c r="W27" s="62"/>
      <c r="X27" s="62"/>
      <c r="Y27" s="62"/>
      <c r="Z27" s="62"/>
      <c r="AA27" s="62"/>
      <c r="AB27" s="62"/>
      <c r="AC27" s="47"/>
    </row>
    <row r="28" spans="1:29" ht="18" customHeight="1" x14ac:dyDescent="0.25">
      <c r="A28" s="228"/>
      <c r="B28" s="227"/>
      <c r="C28" s="227"/>
      <c r="D28" s="227"/>
      <c r="E28" s="227"/>
      <c r="F28" s="388" t="s">
        <v>315</v>
      </c>
      <c r="G28" s="389"/>
      <c r="H28" s="389"/>
      <c r="I28" s="389"/>
      <c r="J28" s="389"/>
      <c r="K28" s="389"/>
      <c r="L28" s="389"/>
      <c r="M28" s="389"/>
      <c r="N28" s="389"/>
      <c r="O28" s="389"/>
      <c r="P28" s="389"/>
      <c r="Q28" s="227"/>
      <c r="R28" s="386" t="s">
        <v>316</v>
      </c>
      <c r="S28" s="386"/>
      <c r="T28" s="386"/>
      <c r="U28" s="386"/>
      <c r="V28" s="386"/>
      <c r="W28" s="386"/>
      <c r="X28" s="386"/>
      <c r="Y28" s="386"/>
      <c r="Z28" s="386"/>
      <c r="AA28" s="386"/>
      <c r="AB28" s="386"/>
      <c r="AC28" s="387"/>
    </row>
    <row r="29" spans="1:29" ht="18" customHeight="1" x14ac:dyDescent="0.25">
      <c r="A29" s="228"/>
      <c r="B29" s="227"/>
      <c r="C29" s="227"/>
      <c r="D29" s="227"/>
      <c r="E29" s="227"/>
      <c r="F29" s="389"/>
      <c r="G29" s="389"/>
      <c r="H29" s="389"/>
      <c r="I29" s="389"/>
      <c r="J29" s="389"/>
      <c r="K29" s="389"/>
      <c r="L29" s="389"/>
      <c r="M29" s="389"/>
      <c r="N29" s="389"/>
      <c r="O29" s="389"/>
      <c r="P29" s="389"/>
      <c r="Q29" s="227"/>
      <c r="R29" s="386"/>
      <c r="S29" s="386"/>
      <c r="T29" s="386"/>
      <c r="U29" s="386"/>
      <c r="V29" s="386"/>
      <c r="W29" s="386"/>
      <c r="X29" s="386"/>
      <c r="Y29" s="386"/>
      <c r="Z29" s="386"/>
      <c r="AA29" s="386"/>
      <c r="AB29" s="386"/>
      <c r="AC29" s="387"/>
    </row>
    <row r="30" spans="1:29" ht="21" customHeight="1" x14ac:dyDescent="0.25">
      <c r="A30" s="228"/>
      <c r="B30" s="227"/>
      <c r="C30" s="227"/>
      <c r="D30" s="227"/>
      <c r="E30" s="227"/>
      <c r="F30" s="390" t="s">
        <v>238</v>
      </c>
      <c r="G30" s="390"/>
      <c r="H30" s="390"/>
      <c r="I30" s="21"/>
      <c r="J30" s="390" t="s">
        <v>354</v>
      </c>
      <c r="K30" s="390"/>
      <c r="L30" s="390"/>
      <c r="M30" s="21"/>
      <c r="N30" s="382" t="s">
        <v>355</v>
      </c>
      <c r="O30" s="382"/>
      <c r="P30" s="382"/>
      <c r="Q30" s="227"/>
      <c r="R30" s="386">
        <f>'Suivi des actions Qualite-EHS'!G4</f>
        <v>0</v>
      </c>
      <c r="S30" s="386"/>
      <c r="T30" s="386"/>
      <c r="U30" s="386"/>
      <c r="V30" s="386"/>
      <c r="W30" s="386"/>
      <c r="X30" s="386"/>
      <c r="Y30" s="386"/>
      <c r="Z30" s="386"/>
      <c r="AA30" s="386"/>
      <c r="AB30" s="386"/>
      <c r="AC30" s="387"/>
    </row>
    <row r="31" spans="1:29" ht="14.45" customHeight="1" x14ac:dyDescent="0.25">
      <c r="A31" s="228"/>
      <c r="B31" s="227"/>
      <c r="C31" s="227"/>
      <c r="D31" s="227"/>
      <c r="E31" s="227"/>
      <c r="F31" s="384" t="e">
        <f>'Suivi des actions Qualite-EHS'!N4</f>
        <v>#DIV/0!</v>
      </c>
      <c r="G31" s="384"/>
      <c r="H31" s="384"/>
      <c r="I31" s="260"/>
      <c r="J31" s="386">
        <f>'Suivi des actions Qualite-EHS'!B4</f>
        <v>0</v>
      </c>
      <c r="K31" s="386"/>
      <c r="L31" s="386"/>
      <c r="M31" s="260"/>
      <c r="N31" s="383">
        <f ca="1">'Suivi des actions Qualite-EHS'!C4</f>
        <v>0</v>
      </c>
      <c r="O31" s="383"/>
      <c r="P31" s="383"/>
      <c r="Q31" s="227"/>
      <c r="R31" s="386"/>
      <c r="S31" s="386"/>
      <c r="T31" s="386"/>
      <c r="U31" s="386"/>
      <c r="V31" s="386"/>
      <c r="W31" s="386"/>
      <c r="X31" s="386"/>
      <c r="Y31" s="386"/>
      <c r="Z31" s="386"/>
      <c r="AA31" s="386"/>
      <c r="AB31" s="386"/>
      <c r="AC31" s="387"/>
    </row>
    <row r="32" spans="1:29" ht="14.45" customHeight="1" x14ac:dyDescent="0.25">
      <c r="A32" s="228"/>
      <c r="B32" s="227"/>
      <c r="C32" s="227"/>
      <c r="D32" s="227"/>
      <c r="E32" s="227"/>
      <c r="F32" s="384"/>
      <c r="G32" s="384"/>
      <c r="H32" s="384"/>
      <c r="I32" s="260"/>
      <c r="J32" s="386"/>
      <c r="K32" s="386"/>
      <c r="L32" s="386"/>
      <c r="M32" s="260"/>
      <c r="N32" s="383"/>
      <c r="O32" s="383"/>
      <c r="P32" s="383"/>
      <c r="Q32" s="227"/>
      <c r="R32" s="386"/>
      <c r="S32" s="386"/>
      <c r="T32" s="386"/>
      <c r="U32" s="386"/>
      <c r="V32" s="386"/>
      <c r="W32" s="386"/>
      <c r="X32" s="386"/>
      <c r="Y32" s="386"/>
      <c r="Z32" s="386"/>
      <c r="AA32" s="386"/>
      <c r="AB32" s="386"/>
      <c r="AC32" s="387"/>
    </row>
    <row r="33" spans="1:29" ht="15.75" thickBot="1" x14ac:dyDescent="0.3">
      <c r="A33" s="25"/>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27"/>
    </row>
  </sheetData>
  <mergeCells count="35">
    <mergeCell ref="B14:L16"/>
    <mergeCell ref="B7:H13"/>
    <mergeCell ref="A1:AC1"/>
    <mergeCell ref="A3:D3"/>
    <mergeCell ref="E3:N3"/>
    <mergeCell ref="P3:U3"/>
    <mergeCell ref="V3:AC3"/>
    <mergeCell ref="AA22:AC22"/>
    <mergeCell ref="E20:K20"/>
    <mergeCell ref="E21:G21"/>
    <mergeCell ref="I21:K21"/>
    <mergeCell ref="M20:S20"/>
    <mergeCell ref="M21:O21"/>
    <mergeCell ref="E22:G22"/>
    <mergeCell ref="I22:K22"/>
    <mergeCell ref="M22:O22"/>
    <mergeCell ref="Q22:S22"/>
    <mergeCell ref="X22:Z22"/>
    <mergeCell ref="Q21:S21"/>
    <mergeCell ref="X20:AC20"/>
    <mergeCell ref="X21:AC21"/>
    <mergeCell ref="N30:P30"/>
    <mergeCell ref="N31:P32"/>
    <mergeCell ref="X23:AC24"/>
    <mergeCell ref="R30:AC32"/>
    <mergeCell ref="F28:P29"/>
    <mergeCell ref="R28:AC29"/>
    <mergeCell ref="E23:G24"/>
    <mergeCell ref="I23:K24"/>
    <mergeCell ref="M23:O24"/>
    <mergeCell ref="Q23:S24"/>
    <mergeCell ref="F30:H30"/>
    <mergeCell ref="F31:H32"/>
    <mergeCell ref="J30:L30"/>
    <mergeCell ref="J31:L32"/>
  </mergeCells>
  <pageMargins left="1.1811023622047245" right="0.70866141732283472" top="0.74803149606299213" bottom="0.74803149606299213" header="0.31496062992125984" footer="0.31496062992125984"/>
  <pageSetup paperSize="9" scale="8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x14:formula1>
            <xm:f>'Données (ne pas toucher)'!$M$2:$M$5</xm:f>
          </x14:formula1>
          <xm:sqref>AA22:AC22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rgb="FF00B050"/>
    <pageSetUpPr fitToPage="1"/>
  </sheetPr>
  <dimension ref="A1:M324"/>
  <sheetViews>
    <sheetView workbookViewId="0">
      <pane ySplit="4" topLeftCell="A5" activePane="bottomLeft" state="frozenSplit"/>
      <selection pane="bottomLeft" activeCell="C29" sqref="C29:M29"/>
    </sheetView>
  </sheetViews>
  <sheetFormatPr baseColWidth="10" defaultColWidth="11.42578125" defaultRowHeight="15" x14ac:dyDescent="0.25"/>
  <cols>
    <col min="1" max="1" width="7.85546875" style="106" bestFit="1" customWidth="1"/>
    <col min="2" max="2" width="18" style="106" customWidth="1"/>
    <col min="3" max="3" width="42.28515625" style="106" customWidth="1"/>
    <col min="4" max="4" width="18.28515625" style="106" customWidth="1"/>
    <col min="5" max="5" width="14" style="106" customWidth="1"/>
    <col min="6" max="6" width="15" style="106" customWidth="1"/>
    <col min="7" max="7" width="11.42578125" style="106"/>
    <col min="8" max="8" width="15.28515625" style="106" customWidth="1"/>
    <col min="9" max="9" width="11.42578125" style="106"/>
    <col min="10" max="10" width="18.28515625" style="106" customWidth="1"/>
    <col min="11" max="11" width="13" style="106" customWidth="1"/>
    <col min="12" max="12" width="20.42578125" style="106" customWidth="1"/>
    <col min="13" max="13" width="22.85546875" style="106" customWidth="1"/>
    <col min="14" max="14" width="2.28515625" style="106" customWidth="1"/>
    <col min="15" max="16384" width="11.42578125" style="106"/>
  </cols>
  <sheetData>
    <row r="1" spans="1:13" ht="34.5" customHeight="1" thickBot="1" x14ac:dyDescent="0.55000000000000004">
      <c r="A1" s="443" t="s">
        <v>380</v>
      </c>
      <c r="B1" s="443"/>
      <c r="C1" s="443"/>
      <c r="D1" s="443"/>
      <c r="E1" s="443"/>
      <c r="F1" s="443"/>
      <c r="G1" s="443"/>
      <c r="H1" s="443"/>
      <c r="I1" s="443"/>
      <c r="J1" s="443"/>
      <c r="K1" s="443"/>
      <c r="L1" s="443"/>
      <c r="M1" s="443"/>
    </row>
    <row r="2" spans="1:13" s="276" customFormat="1" ht="21.75" customHeight="1" thickBot="1" x14ac:dyDescent="0.3">
      <c r="A2" s="461" t="s">
        <v>362</v>
      </c>
      <c r="B2" s="461"/>
      <c r="C2" s="21" t="s">
        <v>363</v>
      </c>
      <c r="D2" s="291" t="s">
        <v>364</v>
      </c>
      <c r="E2" s="304" t="e">
        <f>AVERAGE(B11,B20,B29,B38)</f>
        <v>#DIV/0!</v>
      </c>
      <c r="F2" s="275"/>
      <c r="G2" s="462" t="s">
        <v>381</v>
      </c>
      <c r="H2" s="462"/>
      <c r="K2" s="36"/>
      <c r="L2" s="36"/>
    </row>
    <row r="3" spans="1:13" ht="14.45" customHeight="1" x14ac:dyDescent="0.25">
      <c r="A3" s="463"/>
      <c r="B3" s="457"/>
      <c r="C3" s="457" t="s">
        <v>365</v>
      </c>
      <c r="D3" s="457" t="s">
        <v>366</v>
      </c>
      <c r="E3" s="457" t="s">
        <v>1</v>
      </c>
      <c r="F3" s="457"/>
      <c r="G3" s="457" t="s">
        <v>367</v>
      </c>
      <c r="H3" s="457" t="s">
        <v>368</v>
      </c>
      <c r="I3" s="457" t="s">
        <v>377</v>
      </c>
      <c r="J3" s="457"/>
      <c r="K3" s="457" t="s">
        <v>369</v>
      </c>
      <c r="L3" s="457" t="s">
        <v>370</v>
      </c>
      <c r="M3" s="459" t="s">
        <v>28</v>
      </c>
    </row>
    <row r="4" spans="1:13" ht="15.75" thickBot="1" x14ac:dyDescent="0.3">
      <c r="A4" s="464"/>
      <c r="B4" s="458"/>
      <c r="C4" s="458"/>
      <c r="D4" s="458"/>
      <c r="E4" s="293" t="s">
        <v>371</v>
      </c>
      <c r="F4" s="293" t="s">
        <v>372</v>
      </c>
      <c r="G4" s="458"/>
      <c r="H4" s="458"/>
      <c r="I4" s="293" t="s">
        <v>378</v>
      </c>
      <c r="J4" s="293" t="s">
        <v>379</v>
      </c>
      <c r="K4" s="458"/>
      <c r="L4" s="458"/>
      <c r="M4" s="460"/>
    </row>
    <row r="5" spans="1:13" s="277" customFormat="1" ht="15" customHeight="1" x14ac:dyDescent="0.25">
      <c r="A5" s="444" t="s">
        <v>373</v>
      </c>
      <c r="B5" s="425"/>
      <c r="C5" s="428"/>
      <c r="D5" s="429"/>
      <c r="E5" s="429"/>
      <c r="F5" s="429"/>
      <c r="G5" s="429"/>
      <c r="H5" s="429"/>
      <c r="I5" s="429"/>
      <c r="J5" s="429"/>
      <c r="K5" s="429"/>
      <c r="L5" s="429"/>
      <c r="M5" s="430"/>
    </row>
    <row r="6" spans="1:13" s="277" customFormat="1" ht="12.75" x14ac:dyDescent="0.25">
      <c r="A6" s="445"/>
      <c r="B6" s="426"/>
      <c r="C6" s="292"/>
      <c r="D6" s="235"/>
      <c r="E6" s="278"/>
      <c r="F6" s="236"/>
      <c r="G6" s="279"/>
      <c r="H6" s="279"/>
      <c r="I6" s="279"/>
      <c r="J6" s="279"/>
      <c r="K6" s="279"/>
      <c r="L6" s="279"/>
      <c r="M6" s="280"/>
    </row>
    <row r="7" spans="1:13" s="277" customFormat="1" ht="12.75" x14ac:dyDescent="0.25">
      <c r="A7" s="445"/>
      <c r="B7" s="426"/>
      <c r="C7" s="292"/>
      <c r="D7" s="235"/>
      <c r="E7" s="278"/>
      <c r="F7" s="236"/>
      <c r="G7" s="235"/>
      <c r="H7" s="279"/>
      <c r="I7" s="279"/>
      <c r="J7" s="279"/>
      <c r="K7" s="279"/>
      <c r="L7" s="279"/>
      <c r="M7" s="280"/>
    </row>
    <row r="8" spans="1:13" s="277" customFormat="1" ht="15" customHeight="1" x14ac:dyDescent="0.25">
      <c r="A8" s="445"/>
      <c r="B8" s="427"/>
      <c r="C8" s="431"/>
      <c r="D8" s="432"/>
      <c r="E8" s="432"/>
      <c r="F8" s="432"/>
      <c r="G8" s="432"/>
      <c r="H8" s="432"/>
      <c r="I8" s="432"/>
      <c r="J8" s="432"/>
      <c r="K8" s="432"/>
      <c r="L8" s="432"/>
      <c r="M8" s="433"/>
    </row>
    <row r="9" spans="1:13" s="277" customFormat="1" ht="12.75" x14ac:dyDescent="0.25">
      <c r="A9" s="445"/>
      <c r="B9" s="455" t="s">
        <v>382</v>
      </c>
      <c r="C9" s="292"/>
      <c r="D9" s="235"/>
      <c r="E9" s="278"/>
      <c r="F9" s="236"/>
      <c r="G9" s="279"/>
      <c r="H9" s="279"/>
      <c r="I9" s="279"/>
      <c r="J9" s="279"/>
      <c r="K9" s="279"/>
      <c r="L9" s="279"/>
      <c r="M9" s="280"/>
    </row>
    <row r="10" spans="1:13" s="277" customFormat="1" ht="12.75" x14ac:dyDescent="0.25">
      <c r="A10" s="445"/>
      <c r="B10" s="456"/>
      <c r="C10" s="292"/>
      <c r="D10" s="235"/>
      <c r="E10" s="278"/>
      <c r="F10" s="236"/>
      <c r="G10" s="279"/>
      <c r="H10" s="279"/>
      <c r="I10" s="279"/>
      <c r="J10" s="279"/>
      <c r="K10" s="279"/>
      <c r="L10" s="279"/>
      <c r="M10" s="280"/>
    </row>
    <row r="11" spans="1:13" s="277" customFormat="1" ht="15" customHeight="1" x14ac:dyDescent="0.25">
      <c r="A11" s="445"/>
      <c r="B11" s="422" t="e">
        <f>AVERAGE(F6,F7,F9,F10,F12,F13)</f>
        <v>#DIV/0!</v>
      </c>
      <c r="C11" s="431"/>
      <c r="D11" s="432"/>
      <c r="E11" s="432"/>
      <c r="F11" s="432"/>
      <c r="G11" s="432"/>
      <c r="H11" s="432"/>
      <c r="I11" s="432"/>
      <c r="J11" s="432"/>
      <c r="K11" s="432"/>
      <c r="L11" s="432"/>
      <c r="M11" s="433"/>
    </row>
    <row r="12" spans="1:13" s="277" customFormat="1" ht="12.95" customHeight="1" x14ac:dyDescent="0.25">
      <c r="A12" s="445"/>
      <c r="B12" s="423"/>
      <c r="C12" s="292"/>
      <c r="D12" s="235"/>
      <c r="E12" s="278"/>
      <c r="F12" s="236"/>
      <c r="G12" s="279"/>
      <c r="H12" s="279"/>
      <c r="I12" s="279"/>
      <c r="J12" s="279"/>
      <c r="K12" s="279"/>
      <c r="L12" s="279"/>
      <c r="M12" s="280"/>
    </row>
    <row r="13" spans="1:13" s="277" customFormat="1" ht="13.5" customHeight="1" thickBot="1" x14ac:dyDescent="0.3">
      <c r="A13" s="446"/>
      <c r="B13" s="424"/>
      <c r="C13" s="301"/>
      <c r="D13" s="243"/>
      <c r="E13" s="300"/>
      <c r="F13" s="245"/>
      <c r="G13" s="286"/>
      <c r="H13" s="286"/>
      <c r="I13" s="286"/>
      <c r="J13" s="286"/>
      <c r="K13" s="286"/>
      <c r="L13" s="286"/>
      <c r="M13" s="302"/>
    </row>
    <row r="14" spans="1:13" s="277" customFormat="1" ht="15" customHeight="1" x14ac:dyDescent="0.25">
      <c r="A14" s="447" t="s">
        <v>374</v>
      </c>
      <c r="B14" s="425"/>
      <c r="C14" s="434"/>
      <c r="D14" s="435"/>
      <c r="E14" s="435"/>
      <c r="F14" s="435"/>
      <c r="G14" s="435"/>
      <c r="H14" s="435"/>
      <c r="I14" s="435"/>
      <c r="J14" s="435"/>
      <c r="K14" s="435"/>
      <c r="L14" s="435"/>
      <c r="M14" s="436"/>
    </row>
    <row r="15" spans="1:13" s="277" customFormat="1" ht="12.75" x14ac:dyDescent="0.25">
      <c r="A15" s="448"/>
      <c r="B15" s="426"/>
      <c r="C15" s="292"/>
      <c r="D15" s="235"/>
      <c r="E15" s="278"/>
      <c r="F15" s="236"/>
      <c r="G15" s="279"/>
      <c r="H15" s="279"/>
      <c r="I15" s="279"/>
      <c r="J15" s="279"/>
      <c r="K15" s="279"/>
      <c r="L15" s="279"/>
      <c r="M15" s="280"/>
    </row>
    <row r="16" spans="1:13" s="277" customFormat="1" ht="12.75" x14ac:dyDescent="0.25">
      <c r="A16" s="448"/>
      <c r="B16" s="426"/>
      <c r="C16" s="292"/>
      <c r="D16" s="235"/>
      <c r="E16" s="278"/>
      <c r="F16" s="236"/>
      <c r="G16" s="279"/>
      <c r="H16" s="279"/>
      <c r="I16" s="279"/>
      <c r="J16" s="279"/>
      <c r="K16" s="279"/>
      <c r="L16" s="279"/>
      <c r="M16" s="280"/>
    </row>
    <row r="17" spans="1:13" s="277" customFormat="1" ht="15" customHeight="1" x14ac:dyDescent="0.25">
      <c r="A17" s="448"/>
      <c r="B17" s="427"/>
      <c r="C17" s="437"/>
      <c r="D17" s="438"/>
      <c r="E17" s="438"/>
      <c r="F17" s="438"/>
      <c r="G17" s="438"/>
      <c r="H17" s="438"/>
      <c r="I17" s="438"/>
      <c r="J17" s="438"/>
      <c r="K17" s="438"/>
      <c r="L17" s="438"/>
      <c r="M17" s="439"/>
    </row>
    <row r="18" spans="1:13" s="277" customFormat="1" ht="12.75" x14ac:dyDescent="0.25">
      <c r="A18" s="448"/>
      <c r="B18" s="420" t="s">
        <v>383</v>
      </c>
      <c r="C18" s="292"/>
      <c r="D18" s="235"/>
      <c r="E18" s="278"/>
      <c r="F18" s="236"/>
      <c r="G18" s="279"/>
      <c r="H18" s="279"/>
      <c r="I18" s="279"/>
      <c r="J18" s="279"/>
      <c r="K18" s="279"/>
      <c r="L18" s="279"/>
      <c r="M18" s="280"/>
    </row>
    <row r="19" spans="1:13" s="277" customFormat="1" ht="12.75" x14ac:dyDescent="0.25">
      <c r="A19" s="448"/>
      <c r="B19" s="421"/>
      <c r="C19" s="294"/>
      <c r="D19" s="235"/>
      <c r="E19" s="278"/>
      <c r="F19" s="236"/>
      <c r="G19" s="279"/>
      <c r="H19" s="279"/>
      <c r="I19" s="279"/>
      <c r="J19" s="279"/>
      <c r="K19" s="279"/>
      <c r="L19" s="279"/>
      <c r="M19" s="280"/>
    </row>
    <row r="20" spans="1:13" s="277" customFormat="1" ht="15" customHeight="1" x14ac:dyDescent="0.25">
      <c r="A20" s="448"/>
      <c r="B20" s="422" t="e">
        <f>AVERAGE(F15:F16,F18:F19,F21:F22)</f>
        <v>#DIV/0!</v>
      </c>
      <c r="C20" s="437"/>
      <c r="D20" s="438"/>
      <c r="E20" s="438"/>
      <c r="F20" s="438"/>
      <c r="G20" s="438"/>
      <c r="H20" s="438"/>
      <c r="I20" s="438"/>
      <c r="J20" s="438"/>
      <c r="K20" s="438"/>
      <c r="L20" s="438"/>
      <c r="M20" s="439"/>
    </row>
    <row r="21" spans="1:13" s="277" customFormat="1" ht="12.75" x14ac:dyDescent="0.25">
      <c r="A21" s="448"/>
      <c r="B21" s="423"/>
      <c r="C21" s="292"/>
      <c r="D21" s="235"/>
      <c r="E21" s="278"/>
      <c r="F21" s="236"/>
      <c r="G21" s="279"/>
      <c r="H21" s="279"/>
      <c r="I21" s="279"/>
      <c r="J21" s="279"/>
      <c r="K21" s="279"/>
      <c r="L21" s="279"/>
      <c r="M21" s="280"/>
    </row>
    <row r="22" spans="1:13" s="277" customFormat="1" ht="13.5" thickBot="1" x14ac:dyDescent="0.3">
      <c r="A22" s="448"/>
      <c r="B22" s="423"/>
      <c r="C22" s="303"/>
      <c r="D22" s="284"/>
      <c r="E22" s="295"/>
      <c r="F22" s="296"/>
      <c r="G22" s="281"/>
      <c r="H22" s="281"/>
      <c r="I22" s="281"/>
      <c r="J22" s="281"/>
      <c r="K22" s="281"/>
      <c r="L22" s="281"/>
      <c r="M22" s="282"/>
    </row>
    <row r="23" spans="1:13" s="2" customFormat="1" ht="15" customHeight="1" x14ac:dyDescent="0.25">
      <c r="A23" s="449" t="s">
        <v>375</v>
      </c>
      <c r="B23" s="425"/>
      <c r="C23" s="440"/>
      <c r="D23" s="441"/>
      <c r="E23" s="441"/>
      <c r="F23" s="441"/>
      <c r="G23" s="441"/>
      <c r="H23" s="441"/>
      <c r="I23" s="441"/>
      <c r="J23" s="441"/>
      <c r="K23" s="441"/>
      <c r="L23" s="441"/>
      <c r="M23" s="442"/>
    </row>
    <row r="24" spans="1:13" s="2" customFormat="1" ht="12.75" x14ac:dyDescent="0.25">
      <c r="A24" s="450"/>
      <c r="B24" s="426"/>
      <c r="C24" s="292"/>
      <c r="D24" s="235"/>
      <c r="E24" s="278"/>
      <c r="F24" s="236"/>
      <c r="G24" s="279"/>
      <c r="H24" s="279"/>
      <c r="I24" s="279"/>
      <c r="J24" s="279"/>
      <c r="K24" s="279"/>
      <c r="L24" s="279"/>
      <c r="M24" s="283"/>
    </row>
    <row r="25" spans="1:13" s="2" customFormat="1" ht="12.95" customHeight="1" x14ac:dyDescent="0.25">
      <c r="A25" s="450"/>
      <c r="B25" s="426"/>
      <c r="C25" s="292"/>
      <c r="D25" s="235"/>
      <c r="E25" s="278"/>
      <c r="F25" s="236"/>
      <c r="G25" s="279"/>
      <c r="H25" s="279"/>
      <c r="I25" s="279"/>
      <c r="J25" s="279"/>
      <c r="K25" s="279"/>
      <c r="L25" s="279"/>
      <c r="M25" s="283"/>
    </row>
    <row r="26" spans="1:13" s="2" customFormat="1" x14ac:dyDescent="0.25">
      <c r="A26" s="450"/>
      <c r="B26" s="427"/>
      <c r="C26" s="411"/>
      <c r="D26" s="412"/>
      <c r="E26" s="412"/>
      <c r="F26" s="412"/>
      <c r="G26" s="412"/>
      <c r="H26" s="412"/>
      <c r="I26" s="412"/>
      <c r="J26" s="412"/>
      <c r="K26" s="412"/>
      <c r="L26" s="412"/>
      <c r="M26" s="413"/>
    </row>
    <row r="27" spans="1:13" s="2" customFormat="1" ht="13.5" customHeight="1" x14ac:dyDescent="0.25">
      <c r="A27" s="450"/>
      <c r="B27" s="420" t="s">
        <v>384</v>
      </c>
      <c r="C27" s="292"/>
      <c r="D27" s="235"/>
      <c r="E27" s="278"/>
      <c r="F27" s="236"/>
      <c r="G27" s="279"/>
      <c r="H27" s="279"/>
      <c r="I27" s="279"/>
      <c r="J27" s="279"/>
      <c r="K27" s="279"/>
      <c r="L27" s="279"/>
      <c r="M27" s="283"/>
    </row>
    <row r="28" spans="1:13" s="2" customFormat="1" ht="12.75" x14ac:dyDescent="0.25">
      <c r="A28" s="450"/>
      <c r="B28" s="421"/>
      <c r="C28" s="292"/>
      <c r="D28" s="235"/>
      <c r="E28" s="278"/>
      <c r="F28" s="236"/>
      <c r="G28" s="279"/>
      <c r="H28" s="279"/>
      <c r="I28" s="279"/>
      <c r="J28" s="279"/>
      <c r="K28" s="279"/>
      <c r="L28" s="279"/>
      <c r="M28" s="283"/>
    </row>
    <row r="29" spans="1:13" s="2" customFormat="1" x14ac:dyDescent="0.25">
      <c r="A29" s="450"/>
      <c r="B29" s="422" t="e">
        <f>AVERAGE(F24:F25,F27:F28,F30:F31)</f>
        <v>#DIV/0!</v>
      </c>
      <c r="C29" s="411"/>
      <c r="D29" s="412"/>
      <c r="E29" s="412"/>
      <c r="F29" s="412"/>
      <c r="G29" s="412"/>
      <c r="H29" s="412"/>
      <c r="I29" s="412"/>
      <c r="J29" s="412"/>
      <c r="K29" s="412"/>
      <c r="L29" s="412"/>
      <c r="M29" s="413"/>
    </row>
    <row r="30" spans="1:13" s="2" customFormat="1" ht="12.75" x14ac:dyDescent="0.25">
      <c r="A30" s="450"/>
      <c r="B30" s="423"/>
      <c r="C30" s="292"/>
      <c r="D30" s="235"/>
      <c r="E30" s="278"/>
      <c r="F30" s="236"/>
      <c r="G30" s="279"/>
      <c r="H30" s="279"/>
      <c r="I30" s="279"/>
      <c r="J30" s="279"/>
      <c r="K30" s="279"/>
      <c r="L30" s="279"/>
      <c r="M30" s="283"/>
    </row>
    <row r="31" spans="1:13" s="2" customFormat="1" ht="13.5" customHeight="1" thickBot="1" x14ac:dyDescent="0.3">
      <c r="A31" s="451"/>
      <c r="B31" s="424"/>
      <c r="C31" s="301"/>
      <c r="D31" s="243"/>
      <c r="E31" s="300"/>
      <c r="F31" s="245"/>
      <c r="G31" s="286"/>
      <c r="H31" s="286"/>
      <c r="I31" s="286"/>
      <c r="J31" s="286"/>
      <c r="K31" s="286"/>
      <c r="L31" s="287"/>
      <c r="M31" s="288"/>
    </row>
    <row r="32" spans="1:13" s="2" customFormat="1" ht="15" customHeight="1" x14ac:dyDescent="0.25">
      <c r="A32" s="452" t="s">
        <v>376</v>
      </c>
      <c r="B32" s="425"/>
      <c r="C32" s="414"/>
      <c r="D32" s="415"/>
      <c r="E32" s="415"/>
      <c r="F32" s="415"/>
      <c r="G32" s="415"/>
      <c r="H32" s="415"/>
      <c r="I32" s="415"/>
      <c r="J32" s="415"/>
      <c r="K32" s="415"/>
      <c r="L32" s="415"/>
      <c r="M32" s="416"/>
    </row>
    <row r="33" spans="1:13" s="2" customFormat="1" ht="12.75" x14ac:dyDescent="0.25">
      <c r="A33" s="453"/>
      <c r="B33" s="426"/>
      <c r="C33" s="297"/>
      <c r="D33" s="235"/>
      <c r="E33" s="278"/>
      <c r="F33" s="236"/>
      <c r="G33" s="279"/>
      <c r="H33" s="279"/>
      <c r="I33" s="279"/>
      <c r="J33" s="279"/>
      <c r="K33" s="279"/>
      <c r="L33" s="279"/>
      <c r="M33" s="283"/>
    </row>
    <row r="34" spans="1:13" s="2" customFormat="1" ht="12.75" x14ac:dyDescent="0.25">
      <c r="A34" s="453"/>
      <c r="B34" s="426"/>
      <c r="C34" s="297"/>
      <c r="D34" s="235"/>
      <c r="E34" s="278"/>
      <c r="F34" s="236"/>
      <c r="G34" s="279"/>
      <c r="H34" s="279"/>
      <c r="I34" s="279"/>
      <c r="J34" s="279"/>
      <c r="K34" s="279"/>
      <c r="L34" s="279"/>
      <c r="M34" s="283"/>
    </row>
    <row r="35" spans="1:13" s="2" customFormat="1" x14ac:dyDescent="0.25">
      <c r="A35" s="453"/>
      <c r="B35" s="427"/>
      <c r="C35" s="417"/>
      <c r="D35" s="418"/>
      <c r="E35" s="418"/>
      <c r="F35" s="418"/>
      <c r="G35" s="418"/>
      <c r="H35" s="418"/>
      <c r="I35" s="418"/>
      <c r="J35" s="418"/>
      <c r="K35" s="418"/>
      <c r="L35" s="418"/>
      <c r="M35" s="419"/>
    </row>
    <row r="36" spans="1:13" s="2" customFormat="1" ht="12.75" x14ac:dyDescent="0.25">
      <c r="A36" s="453"/>
      <c r="B36" s="420" t="s">
        <v>385</v>
      </c>
      <c r="C36" s="297"/>
      <c r="D36" s="235"/>
      <c r="E36" s="278"/>
      <c r="F36" s="236"/>
      <c r="G36" s="279"/>
      <c r="H36" s="279"/>
      <c r="I36" s="279"/>
      <c r="J36" s="279"/>
      <c r="K36" s="279"/>
      <c r="L36" s="279"/>
      <c r="M36" s="283"/>
    </row>
    <row r="37" spans="1:13" s="2" customFormat="1" ht="12.75" x14ac:dyDescent="0.25">
      <c r="A37" s="453"/>
      <c r="B37" s="421"/>
      <c r="C37" s="297"/>
      <c r="D37" s="235"/>
      <c r="E37" s="278"/>
      <c r="F37" s="236"/>
      <c r="G37" s="279"/>
      <c r="H37" s="279"/>
      <c r="I37" s="279"/>
      <c r="J37" s="279"/>
      <c r="K37" s="279"/>
      <c r="L37" s="279"/>
      <c r="M37" s="283"/>
    </row>
    <row r="38" spans="1:13" s="2" customFormat="1" x14ac:dyDescent="0.25">
      <c r="A38" s="453"/>
      <c r="B38" s="422" t="e">
        <f>AVERAGE(F33:F34,F36:F37,F39:F40)</f>
        <v>#DIV/0!</v>
      </c>
      <c r="C38" s="417"/>
      <c r="D38" s="418"/>
      <c r="E38" s="418"/>
      <c r="F38" s="418"/>
      <c r="G38" s="418"/>
      <c r="H38" s="418"/>
      <c r="I38" s="418"/>
      <c r="J38" s="418"/>
      <c r="K38" s="418"/>
      <c r="L38" s="418"/>
      <c r="M38" s="419"/>
    </row>
    <row r="39" spans="1:13" s="2" customFormat="1" ht="12.95" customHeight="1" x14ac:dyDescent="0.25">
      <c r="A39" s="453"/>
      <c r="B39" s="423"/>
      <c r="C39" s="298"/>
      <c r="D39" s="235"/>
      <c r="E39" s="278"/>
      <c r="F39" s="236"/>
      <c r="G39" s="279"/>
      <c r="H39" s="279"/>
      <c r="I39" s="285"/>
      <c r="J39" s="279"/>
      <c r="K39" s="285"/>
      <c r="L39" s="285"/>
      <c r="M39" s="283"/>
    </row>
    <row r="40" spans="1:13" s="2" customFormat="1" ht="13.5" customHeight="1" thickBot="1" x14ac:dyDescent="0.3">
      <c r="A40" s="454"/>
      <c r="B40" s="424"/>
      <c r="C40" s="299"/>
      <c r="D40" s="243"/>
      <c r="E40" s="300"/>
      <c r="F40" s="245"/>
      <c r="G40" s="286"/>
      <c r="H40" s="286"/>
      <c r="I40" s="287"/>
      <c r="J40" s="286"/>
      <c r="K40" s="287"/>
      <c r="L40" s="287"/>
      <c r="M40" s="288"/>
    </row>
    <row r="41" spans="1:13" s="2" customFormat="1" ht="12.75" x14ac:dyDescent="0.25">
      <c r="E41" s="289"/>
      <c r="F41" s="289"/>
    </row>
    <row r="42" spans="1:13" s="2" customFormat="1" ht="12.75" x14ac:dyDescent="0.25">
      <c r="E42" s="289"/>
      <c r="F42" s="289"/>
    </row>
    <row r="43" spans="1:13" s="2" customFormat="1" ht="12.75" x14ac:dyDescent="0.25">
      <c r="E43" s="289"/>
      <c r="F43" s="289"/>
    </row>
    <row r="44" spans="1:13" s="2" customFormat="1" ht="12.75" x14ac:dyDescent="0.25">
      <c r="E44" s="289"/>
      <c r="F44" s="289"/>
    </row>
    <row r="45" spans="1:13" s="2" customFormat="1" ht="12.75" x14ac:dyDescent="0.25">
      <c r="E45" s="289"/>
      <c r="F45" s="289"/>
    </row>
    <row r="46" spans="1:13" s="2" customFormat="1" ht="12.75" x14ac:dyDescent="0.25">
      <c r="E46" s="289"/>
      <c r="F46" s="289"/>
    </row>
    <row r="47" spans="1:13" s="2" customFormat="1" ht="12.75" x14ac:dyDescent="0.25">
      <c r="E47" s="289"/>
      <c r="F47" s="289"/>
    </row>
    <row r="48" spans="1:13" s="2" customFormat="1" ht="12.75" x14ac:dyDescent="0.25">
      <c r="E48" s="289"/>
      <c r="F48" s="289"/>
    </row>
    <row r="49" spans="5:6" s="2" customFormat="1" ht="12.75" x14ac:dyDescent="0.25">
      <c r="E49" s="289"/>
      <c r="F49" s="289"/>
    </row>
    <row r="50" spans="5:6" s="2" customFormat="1" ht="12.75" x14ac:dyDescent="0.25">
      <c r="E50" s="289"/>
      <c r="F50" s="289"/>
    </row>
    <row r="51" spans="5:6" s="2" customFormat="1" ht="12.75" x14ac:dyDescent="0.25">
      <c r="E51" s="289"/>
      <c r="F51" s="289"/>
    </row>
    <row r="52" spans="5:6" s="2" customFormat="1" ht="12.75" x14ac:dyDescent="0.25">
      <c r="E52" s="289"/>
      <c r="F52" s="289"/>
    </row>
    <row r="53" spans="5:6" s="2" customFormat="1" ht="12.75" x14ac:dyDescent="0.25">
      <c r="E53" s="289"/>
      <c r="F53" s="289"/>
    </row>
    <row r="54" spans="5:6" s="2" customFormat="1" ht="12.75" x14ac:dyDescent="0.25">
      <c r="E54" s="289"/>
      <c r="F54" s="289"/>
    </row>
    <row r="55" spans="5:6" s="2" customFormat="1" ht="12.75" x14ac:dyDescent="0.25">
      <c r="E55" s="289"/>
      <c r="F55" s="289"/>
    </row>
    <row r="56" spans="5:6" s="2" customFormat="1" ht="12.75" x14ac:dyDescent="0.25">
      <c r="E56" s="289"/>
      <c r="F56" s="289"/>
    </row>
    <row r="57" spans="5:6" s="2" customFormat="1" ht="12.75" x14ac:dyDescent="0.25">
      <c r="E57" s="289"/>
      <c r="F57" s="289"/>
    </row>
    <row r="58" spans="5:6" s="2" customFormat="1" ht="12.75" x14ac:dyDescent="0.25">
      <c r="E58" s="289"/>
      <c r="F58" s="289"/>
    </row>
    <row r="59" spans="5:6" s="2" customFormat="1" ht="12.75" x14ac:dyDescent="0.25">
      <c r="E59" s="289"/>
      <c r="F59" s="289"/>
    </row>
    <row r="60" spans="5:6" s="2" customFormat="1" ht="12.75" x14ac:dyDescent="0.25">
      <c r="E60" s="289"/>
      <c r="F60" s="289"/>
    </row>
    <row r="61" spans="5:6" s="2" customFormat="1" ht="12.75" x14ac:dyDescent="0.25">
      <c r="E61" s="289"/>
      <c r="F61" s="289"/>
    </row>
    <row r="62" spans="5:6" s="2" customFormat="1" ht="12.75" x14ac:dyDescent="0.25">
      <c r="E62" s="289"/>
      <c r="F62" s="289"/>
    </row>
    <row r="63" spans="5:6" s="2" customFormat="1" ht="12.75" x14ac:dyDescent="0.25">
      <c r="E63" s="289"/>
      <c r="F63" s="289"/>
    </row>
    <row r="64" spans="5:6" s="2" customFormat="1" ht="12.75" x14ac:dyDescent="0.25">
      <c r="E64" s="289"/>
      <c r="F64" s="289"/>
    </row>
    <row r="65" spans="5:6" s="2" customFormat="1" ht="12.75" x14ac:dyDescent="0.25">
      <c r="E65" s="289"/>
      <c r="F65" s="289"/>
    </row>
    <row r="66" spans="5:6" s="2" customFormat="1" ht="12.75" x14ac:dyDescent="0.25">
      <c r="E66" s="289"/>
      <c r="F66" s="289"/>
    </row>
    <row r="67" spans="5:6" s="2" customFormat="1" ht="12.75" x14ac:dyDescent="0.25">
      <c r="E67" s="289"/>
      <c r="F67" s="289"/>
    </row>
    <row r="68" spans="5:6" s="2" customFormat="1" ht="12.75" x14ac:dyDescent="0.25">
      <c r="E68" s="289"/>
      <c r="F68" s="289"/>
    </row>
    <row r="69" spans="5:6" s="2" customFormat="1" ht="12.75" x14ac:dyDescent="0.25">
      <c r="E69" s="289"/>
      <c r="F69" s="289"/>
    </row>
    <row r="70" spans="5:6" s="2" customFormat="1" ht="12.75" x14ac:dyDescent="0.25">
      <c r="E70" s="289"/>
      <c r="F70" s="289"/>
    </row>
    <row r="71" spans="5:6" s="2" customFormat="1" ht="12.75" x14ac:dyDescent="0.25">
      <c r="E71" s="289"/>
      <c r="F71" s="289"/>
    </row>
    <row r="72" spans="5:6" s="2" customFormat="1" ht="12.75" x14ac:dyDescent="0.25">
      <c r="E72" s="289"/>
      <c r="F72" s="289"/>
    </row>
    <row r="73" spans="5:6" s="2" customFormat="1" ht="12.75" x14ac:dyDescent="0.25">
      <c r="E73" s="289"/>
      <c r="F73" s="289"/>
    </row>
    <row r="74" spans="5:6" s="2" customFormat="1" ht="12.75" x14ac:dyDescent="0.25">
      <c r="E74" s="289"/>
      <c r="F74" s="289"/>
    </row>
    <row r="75" spans="5:6" s="2" customFormat="1" ht="12.75" x14ac:dyDescent="0.25">
      <c r="E75" s="289"/>
      <c r="F75" s="289"/>
    </row>
    <row r="76" spans="5:6" s="2" customFormat="1" ht="12.75" x14ac:dyDescent="0.25">
      <c r="E76" s="289"/>
      <c r="F76" s="289"/>
    </row>
    <row r="77" spans="5:6" s="2" customFormat="1" ht="12.75" x14ac:dyDescent="0.25">
      <c r="E77" s="289"/>
      <c r="F77" s="289"/>
    </row>
    <row r="78" spans="5:6" s="2" customFormat="1" ht="12.75" x14ac:dyDescent="0.25">
      <c r="E78" s="289"/>
      <c r="F78" s="289"/>
    </row>
    <row r="79" spans="5:6" s="2" customFormat="1" ht="12.75" x14ac:dyDescent="0.25">
      <c r="E79" s="289"/>
      <c r="F79" s="289"/>
    </row>
    <row r="80" spans="5:6" s="2" customFormat="1" ht="12.75" x14ac:dyDescent="0.25">
      <c r="E80" s="289"/>
      <c r="F80" s="289"/>
    </row>
    <row r="81" spans="5:6" s="2" customFormat="1" ht="12.75" x14ac:dyDescent="0.25">
      <c r="E81" s="289"/>
      <c r="F81" s="289"/>
    </row>
    <row r="82" spans="5:6" s="2" customFormat="1" ht="12.75" x14ac:dyDescent="0.25">
      <c r="E82" s="289"/>
      <c r="F82" s="289"/>
    </row>
    <row r="83" spans="5:6" s="2" customFormat="1" ht="12.75" x14ac:dyDescent="0.25">
      <c r="E83" s="289"/>
      <c r="F83" s="289"/>
    </row>
    <row r="84" spans="5:6" s="2" customFormat="1" ht="12.75" x14ac:dyDescent="0.25">
      <c r="E84" s="289"/>
      <c r="F84" s="289"/>
    </row>
    <row r="85" spans="5:6" s="2" customFormat="1" ht="12.75" x14ac:dyDescent="0.25">
      <c r="E85" s="289"/>
      <c r="F85" s="289"/>
    </row>
    <row r="86" spans="5:6" s="2" customFormat="1" ht="12.75" x14ac:dyDescent="0.25">
      <c r="E86" s="289"/>
      <c r="F86" s="289"/>
    </row>
    <row r="87" spans="5:6" s="2" customFormat="1" ht="12.75" x14ac:dyDescent="0.25">
      <c r="E87" s="289"/>
      <c r="F87" s="289"/>
    </row>
    <row r="88" spans="5:6" s="2" customFormat="1" ht="12.75" x14ac:dyDescent="0.25">
      <c r="E88" s="289"/>
      <c r="F88" s="289"/>
    </row>
    <row r="89" spans="5:6" s="2" customFormat="1" ht="12.75" x14ac:dyDescent="0.25">
      <c r="E89" s="289"/>
      <c r="F89" s="289"/>
    </row>
    <row r="90" spans="5:6" s="2" customFormat="1" ht="12.75" x14ac:dyDescent="0.25">
      <c r="E90" s="289"/>
      <c r="F90" s="289"/>
    </row>
    <row r="91" spans="5:6" s="2" customFormat="1" ht="12.75" x14ac:dyDescent="0.25">
      <c r="E91" s="289"/>
      <c r="F91" s="289"/>
    </row>
    <row r="92" spans="5:6" s="2" customFormat="1" ht="12.75" x14ac:dyDescent="0.25">
      <c r="E92" s="289"/>
      <c r="F92" s="289"/>
    </row>
    <row r="93" spans="5:6" s="2" customFormat="1" ht="12.75" x14ac:dyDescent="0.25">
      <c r="E93" s="289"/>
      <c r="F93" s="289"/>
    </row>
    <row r="94" spans="5:6" s="2" customFormat="1" ht="12.75" x14ac:dyDescent="0.25">
      <c r="E94" s="289"/>
      <c r="F94" s="289"/>
    </row>
    <row r="95" spans="5:6" s="2" customFormat="1" ht="12.75" x14ac:dyDescent="0.25">
      <c r="E95" s="289"/>
      <c r="F95" s="289"/>
    </row>
    <row r="96" spans="5:6" s="2" customFormat="1" ht="12.75" x14ac:dyDescent="0.25">
      <c r="E96" s="289"/>
      <c r="F96" s="289"/>
    </row>
    <row r="97" spans="5:6" s="2" customFormat="1" ht="12.75" x14ac:dyDescent="0.25">
      <c r="E97" s="289"/>
      <c r="F97" s="289"/>
    </row>
    <row r="98" spans="5:6" s="2" customFormat="1" ht="12.75" x14ac:dyDescent="0.25">
      <c r="E98" s="289"/>
      <c r="F98" s="289"/>
    </row>
    <row r="99" spans="5:6" s="2" customFormat="1" ht="12.75" x14ac:dyDescent="0.25">
      <c r="E99" s="289"/>
      <c r="F99" s="289"/>
    </row>
    <row r="100" spans="5:6" s="2" customFormat="1" ht="12.75" x14ac:dyDescent="0.25">
      <c r="E100" s="289"/>
      <c r="F100" s="289"/>
    </row>
    <row r="101" spans="5:6" s="2" customFormat="1" ht="12.75" x14ac:dyDescent="0.25">
      <c r="E101" s="289"/>
      <c r="F101" s="289"/>
    </row>
    <row r="102" spans="5:6" s="2" customFormat="1" ht="12.75" x14ac:dyDescent="0.25">
      <c r="E102" s="289"/>
      <c r="F102" s="289"/>
    </row>
    <row r="103" spans="5:6" s="2" customFormat="1" ht="12.75" x14ac:dyDescent="0.25">
      <c r="E103" s="289"/>
      <c r="F103" s="289"/>
    </row>
    <row r="104" spans="5:6" s="2" customFormat="1" ht="12.75" x14ac:dyDescent="0.25">
      <c r="E104" s="289"/>
      <c r="F104" s="289"/>
    </row>
    <row r="105" spans="5:6" s="2" customFormat="1" ht="12.75" x14ac:dyDescent="0.25">
      <c r="E105" s="289"/>
      <c r="F105" s="289"/>
    </row>
    <row r="106" spans="5:6" s="2" customFormat="1" ht="12.75" x14ac:dyDescent="0.25">
      <c r="E106" s="289"/>
      <c r="F106" s="289"/>
    </row>
    <row r="107" spans="5:6" s="2" customFormat="1" ht="12.75" x14ac:dyDescent="0.25">
      <c r="E107" s="289"/>
      <c r="F107" s="289"/>
    </row>
    <row r="108" spans="5:6" s="2" customFormat="1" ht="12.75" x14ac:dyDescent="0.25">
      <c r="E108" s="289"/>
      <c r="F108" s="289"/>
    </row>
    <row r="109" spans="5:6" s="2" customFormat="1" ht="12.75" x14ac:dyDescent="0.25">
      <c r="E109" s="289"/>
      <c r="F109" s="289"/>
    </row>
    <row r="110" spans="5:6" s="2" customFormat="1" ht="12.75" x14ac:dyDescent="0.25">
      <c r="E110" s="289"/>
      <c r="F110" s="289"/>
    </row>
    <row r="111" spans="5:6" s="2" customFormat="1" ht="12.75" x14ac:dyDescent="0.25">
      <c r="E111" s="289"/>
      <c r="F111" s="289"/>
    </row>
    <row r="112" spans="5:6" s="2" customFormat="1" ht="12.75" x14ac:dyDescent="0.25">
      <c r="E112" s="289"/>
      <c r="F112" s="289"/>
    </row>
    <row r="113" spans="5:6" s="2" customFormat="1" ht="12.75" x14ac:dyDescent="0.25">
      <c r="E113" s="289"/>
      <c r="F113" s="289"/>
    </row>
    <row r="114" spans="5:6" s="2" customFormat="1" ht="12.75" x14ac:dyDescent="0.25">
      <c r="E114" s="289"/>
      <c r="F114" s="289"/>
    </row>
    <row r="115" spans="5:6" s="2" customFormat="1" ht="12.75" x14ac:dyDescent="0.25">
      <c r="E115" s="289"/>
      <c r="F115" s="289"/>
    </row>
    <row r="116" spans="5:6" s="2" customFormat="1" ht="12.75" x14ac:dyDescent="0.25">
      <c r="E116" s="289"/>
      <c r="F116" s="289"/>
    </row>
    <row r="117" spans="5:6" s="2" customFormat="1" ht="12.75" x14ac:dyDescent="0.25">
      <c r="E117" s="289"/>
      <c r="F117" s="289"/>
    </row>
    <row r="118" spans="5:6" s="2" customFormat="1" ht="12.75" x14ac:dyDescent="0.25">
      <c r="E118" s="289"/>
      <c r="F118" s="289"/>
    </row>
    <row r="119" spans="5:6" s="2" customFormat="1" ht="12.75" x14ac:dyDescent="0.25">
      <c r="E119" s="289"/>
      <c r="F119" s="289"/>
    </row>
    <row r="120" spans="5:6" s="2" customFormat="1" ht="12.75" x14ac:dyDescent="0.25">
      <c r="E120" s="289"/>
      <c r="F120" s="289"/>
    </row>
    <row r="121" spans="5:6" s="2" customFormat="1" ht="12.75" x14ac:dyDescent="0.25">
      <c r="E121" s="289"/>
      <c r="F121" s="289"/>
    </row>
    <row r="122" spans="5:6" s="2" customFormat="1" ht="12.75" x14ac:dyDescent="0.25">
      <c r="E122" s="289"/>
      <c r="F122" s="289"/>
    </row>
    <row r="123" spans="5:6" s="2" customFormat="1" ht="12.75" x14ac:dyDescent="0.25">
      <c r="E123" s="289"/>
      <c r="F123" s="289"/>
    </row>
    <row r="124" spans="5:6" s="2" customFormat="1" ht="12.75" x14ac:dyDescent="0.25">
      <c r="E124" s="289"/>
      <c r="F124" s="289"/>
    </row>
    <row r="125" spans="5:6" s="2" customFormat="1" ht="12.75" x14ac:dyDescent="0.25">
      <c r="E125" s="289"/>
      <c r="F125" s="289"/>
    </row>
    <row r="126" spans="5:6" s="2" customFormat="1" ht="12.75" x14ac:dyDescent="0.25">
      <c r="E126" s="289"/>
      <c r="F126" s="289"/>
    </row>
    <row r="127" spans="5:6" s="2" customFormat="1" ht="12.75" x14ac:dyDescent="0.25">
      <c r="E127" s="289"/>
      <c r="F127" s="289"/>
    </row>
    <row r="128" spans="5:6" s="2" customFormat="1" ht="12.75" x14ac:dyDescent="0.25">
      <c r="E128" s="289"/>
      <c r="F128" s="289"/>
    </row>
    <row r="129" spans="5:6" s="2" customFormat="1" ht="12.75" x14ac:dyDescent="0.25">
      <c r="E129" s="289"/>
      <c r="F129" s="289"/>
    </row>
    <row r="130" spans="5:6" s="2" customFormat="1" ht="12.75" x14ac:dyDescent="0.25">
      <c r="E130" s="289"/>
      <c r="F130" s="289"/>
    </row>
    <row r="131" spans="5:6" s="2" customFormat="1" ht="12.75" x14ac:dyDescent="0.25">
      <c r="E131" s="289"/>
      <c r="F131" s="289"/>
    </row>
    <row r="132" spans="5:6" s="2" customFormat="1" ht="12.75" x14ac:dyDescent="0.25">
      <c r="E132" s="289"/>
      <c r="F132" s="289"/>
    </row>
    <row r="133" spans="5:6" s="2" customFormat="1" ht="12.75" x14ac:dyDescent="0.25">
      <c r="E133" s="289"/>
      <c r="F133" s="289"/>
    </row>
    <row r="134" spans="5:6" s="2" customFormat="1" ht="12.75" x14ac:dyDescent="0.25">
      <c r="E134" s="289"/>
      <c r="F134" s="289"/>
    </row>
    <row r="135" spans="5:6" s="2" customFormat="1" ht="12.75" x14ac:dyDescent="0.25">
      <c r="E135" s="289"/>
      <c r="F135" s="289"/>
    </row>
    <row r="136" spans="5:6" s="2" customFormat="1" ht="12.75" x14ac:dyDescent="0.25">
      <c r="E136" s="289"/>
      <c r="F136" s="289"/>
    </row>
    <row r="137" spans="5:6" s="2" customFormat="1" ht="12.75" x14ac:dyDescent="0.25">
      <c r="E137" s="289"/>
      <c r="F137" s="289"/>
    </row>
    <row r="138" spans="5:6" s="2" customFormat="1" ht="12.75" x14ac:dyDescent="0.25">
      <c r="E138" s="289"/>
      <c r="F138" s="289"/>
    </row>
    <row r="139" spans="5:6" s="2" customFormat="1" ht="12.75" x14ac:dyDescent="0.25">
      <c r="E139" s="289"/>
      <c r="F139" s="289"/>
    </row>
    <row r="140" spans="5:6" s="2" customFormat="1" ht="12.75" x14ac:dyDescent="0.25">
      <c r="E140" s="289"/>
      <c r="F140" s="289"/>
    </row>
    <row r="141" spans="5:6" s="2" customFormat="1" ht="12.75" x14ac:dyDescent="0.25">
      <c r="E141" s="289"/>
      <c r="F141" s="289"/>
    </row>
    <row r="142" spans="5:6" s="2" customFormat="1" ht="12.75" x14ac:dyDescent="0.25">
      <c r="E142" s="289"/>
      <c r="F142" s="289"/>
    </row>
    <row r="143" spans="5:6" s="2" customFormat="1" ht="12.75" x14ac:dyDescent="0.25">
      <c r="E143" s="289"/>
      <c r="F143" s="289"/>
    </row>
    <row r="144" spans="5:6" s="2" customFormat="1" ht="12.75" x14ac:dyDescent="0.25">
      <c r="E144" s="289"/>
      <c r="F144" s="289"/>
    </row>
    <row r="145" spans="5:6" s="2" customFormat="1" ht="12.75" x14ac:dyDescent="0.25">
      <c r="E145" s="289"/>
      <c r="F145" s="289"/>
    </row>
    <row r="146" spans="5:6" s="2" customFormat="1" ht="12.75" x14ac:dyDescent="0.25">
      <c r="E146" s="289"/>
      <c r="F146" s="289"/>
    </row>
    <row r="147" spans="5:6" s="2" customFormat="1" ht="12.75" x14ac:dyDescent="0.25">
      <c r="E147" s="289"/>
      <c r="F147" s="289"/>
    </row>
    <row r="148" spans="5:6" s="2" customFormat="1" ht="12.75" x14ac:dyDescent="0.25">
      <c r="E148" s="289"/>
      <c r="F148" s="289"/>
    </row>
    <row r="149" spans="5:6" s="2" customFormat="1" ht="12.75" x14ac:dyDescent="0.25">
      <c r="E149" s="289"/>
      <c r="F149" s="289"/>
    </row>
    <row r="150" spans="5:6" s="2" customFormat="1" ht="12.75" x14ac:dyDescent="0.25">
      <c r="E150" s="289"/>
      <c r="F150" s="289"/>
    </row>
    <row r="151" spans="5:6" s="2" customFormat="1" ht="12.75" x14ac:dyDescent="0.25">
      <c r="E151" s="289"/>
      <c r="F151" s="289"/>
    </row>
    <row r="152" spans="5:6" s="2" customFormat="1" ht="12.75" x14ac:dyDescent="0.25">
      <c r="E152" s="289"/>
      <c r="F152" s="289"/>
    </row>
    <row r="153" spans="5:6" s="2" customFormat="1" ht="12.75" x14ac:dyDescent="0.25">
      <c r="E153" s="289"/>
      <c r="F153" s="289"/>
    </row>
    <row r="154" spans="5:6" s="2" customFormat="1" ht="12.75" x14ac:dyDescent="0.25">
      <c r="E154" s="289"/>
      <c r="F154" s="289"/>
    </row>
    <row r="155" spans="5:6" s="2" customFormat="1" ht="12.75" x14ac:dyDescent="0.25">
      <c r="E155" s="289"/>
      <c r="F155" s="289"/>
    </row>
    <row r="156" spans="5:6" s="2" customFormat="1" ht="12.75" x14ac:dyDescent="0.25">
      <c r="E156" s="289"/>
      <c r="F156" s="289"/>
    </row>
    <row r="157" spans="5:6" s="2" customFormat="1" ht="12.75" x14ac:dyDescent="0.25">
      <c r="E157" s="289"/>
      <c r="F157" s="289"/>
    </row>
    <row r="158" spans="5:6" s="2" customFormat="1" ht="12.75" x14ac:dyDescent="0.25">
      <c r="E158" s="289"/>
      <c r="F158" s="289"/>
    </row>
    <row r="159" spans="5:6" s="2" customFormat="1" ht="12.75" x14ac:dyDescent="0.25">
      <c r="E159" s="289"/>
      <c r="F159" s="289"/>
    </row>
    <row r="160" spans="5:6" s="2" customFormat="1" ht="12.75" x14ac:dyDescent="0.25">
      <c r="E160" s="289"/>
      <c r="F160" s="289"/>
    </row>
    <row r="161" spans="5:6" s="2" customFormat="1" ht="12.75" x14ac:dyDescent="0.25">
      <c r="E161" s="289"/>
      <c r="F161" s="289"/>
    </row>
    <row r="162" spans="5:6" s="2" customFormat="1" ht="12.75" x14ac:dyDescent="0.25">
      <c r="E162" s="289"/>
      <c r="F162" s="289"/>
    </row>
    <row r="163" spans="5:6" s="2" customFormat="1" ht="12.75" x14ac:dyDescent="0.25">
      <c r="E163" s="289"/>
      <c r="F163" s="289"/>
    </row>
    <row r="164" spans="5:6" s="2" customFormat="1" ht="12.75" x14ac:dyDescent="0.25">
      <c r="E164" s="289"/>
      <c r="F164" s="289"/>
    </row>
    <row r="165" spans="5:6" s="2" customFormat="1" ht="12.75" x14ac:dyDescent="0.25">
      <c r="E165" s="289"/>
      <c r="F165" s="289"/>
    </row>
    <row r="166" spans="5:6" s="2" customFormat="1" ht="12.75" x14ac:dyDescent="0.25">
      <c r="E166" s="289"/>
      <c r="F166" s="289"/>
    </row>
    <row r="167" spans="5:6" s="2" customFormat="1" ht="12.75" x14ac:dyDescent="0.25">
      <c r="E167" s="289"/>
      <c r="F167" s="289"/>
    </row>
    <row r="168" spans="5:6" s="2" customFormat="1" ht="12.75" x14ac:dyDescent="0.25">
      <c r="E168" s="289"/>
      <c r="F168" s="289"/>
    </row>
    <row r="169" spans="5:6" s="2" customFormat="1" ht="12.75" x14ac:dyDescent="0.25">
      <c r="E169" s="289"/>
      <c r="F169" s="289"/>
    </row>
    <row r="170" spans="5:6" s="2" customFormat="1" ht="12.75" x14ac:dyDescent="0.25">
      <c r="E170" s="289"/>
      <c r="F170" s="289"/>
    </row>
    <row r="171" spans="5:6" s="2" customFormat="1" ht="12.75" x14ac:dyDescent="0.25">
      <c r="E171" s="289"/>
      <c r="F171" s="289"/>
    </row>
    <row r="172" spans="5:6" s="2" customFormat="1" ht="12.75" x14ac:dyDescent="0.25">
      <c r="E172" s="289"/>
      <c r="F172" s="289"/>
    </row>
    <row r="173" spans="5:6" s="2" customFormat="1" ht="12.75" x14ac:dyDescent="0.25">
      <c r="E173" s="289"/>
      <c r="F173" s="289"/>
    </row>
    <row r="174" spans="5:6" s="2" customFormat="1" ht="12.75" x14ac:dyDescent="0.25">
      <c r="E174" s="289"/>
      <c r="F174" s="289"/>
    </row>
    <row r="175" spans="5:6" s="2" customFormat="1" ht="12.75" x14ac:dyDescent="0.25">
      <c r="E175" s="289"/>
      <c r="F175" s="289"/>
    </row>
    <row r="176" spans="5:6" s="2" customFormat="1" ht="12.75" x14ac:dyDescent="0.25">
      <c r="E176" s="289"/>
      <c r="F176" s="289"/>
    </row>
    <row r="177" spans="5:6" s="2" customFormat="1" ht="12.75" x14ac:dyDescent="0.25">
      <c r="E177" s="289"/>
      <c r="F177" s="289"/>
    </row>
    <row r="178" spans="5:6" s="2" customFormat="1" ht="12.75" x14ac:dyDescent="0.25">
      <c r="E178" s="289"/>
      <c r="F178" s="289"/>
    </row>
    <row r="179" spans="5:6" s="2" customFormat="1" ht="12.75" x14ac:dyDescent="0.25">
      <c r="E179" s="289"/>
      <c r="F179" s="289"/>
    </row>
    <row r="180" spans="5:6" s="2" customFormat="1" ht="12.75" x14ac:dyDescent="0.25">
      <c r="E180" s="289"/>
      <c r="F180" s="289"/>
    </row>
    <row r="181" spans="5:6" s="2" customFormat="1" ht="12.75" x14ac:dyDescent="0.25">
      <c r="E181" s="289"/>
      <c r="F181" s="289"/>
    </row>
    <row r="182" spans="5:6" s="2" customFormat="1" ht="12.75" x14ac:dyDescent="0.25">
      <c r="E182" s="289"/>
      <c r="F182" s="289"/>
    </row>
    <row r="183" spans="5:6" s="2" customFormat="1" ht="12.75" x14ac:dyDescent="0.25">
      <c r="E183" s="289"/>
      <c r="F183" s="289"/>
    </row>
    <row r="184" spans="5:6" s="2" customFormat="1" ht="12.75" x14ac:dyDescent="0.25">
      <c r="E184" s="289"/>
      <c r="F184" s="289"/>
    </row>
    <row r="185" spans="5:6" s="2" customFormat="1" ht="12.75" x14ac:dyDescent="0.25">
      <c r="E185" s="289"/>
      <c r="F185" s="289"/>
    </row>
    <row r="186" spans="5:6" s="2" customFormat="1" ht="12.75" x14ac:dyDescent="0.25">
      <c r="E186" s="289"/>
      <c r="F186" s="289"/>
    </row>
    <row r="187" spans="5:6" s="2" customFormat="1" ht="12.75" x14ac:dyDescent="0.25">
      <c r="E187" s="289"/>
      <c r="F187" s="289"/>
    </row>
    <row r="188" spans="5:6" s="2" customFormat="1" ht="12.75" x14ac:dyDescent="0.25">
      <c r="E188" s="289"/>
      <c r="F188" s="289"/>
    </row>
    <row r="189" spans="5:6" s="2" customFormat="1" ht="12.75" x14ac:dyDescent="0.25">
      <c r="E189" s="289"/>
      <c r="F189" s="289"/>
    </row>
    <row r="190" spans="5:6" s="2" customFormat="1" ht="12.75" x14ac:dyDescent="0.25">
      <c r="E190" s="289"/>
      <c r="F190" s="289"/>
    </row>
    <row r="191" spans="5:6" s="2" customFormat="1" ht="12.75" x14ac:dyDescent="0.25">
      <c r="E191" s="289"/>
      <c r="F191" s="289"/>
    </row>
    <row r="192" spans="5:6" s="2" customFormat="1" ht="12.75" x14ac:dyDescent="0.25">
      <c r="E192" s="289"/>
      <c r="F192" s="289"/>
    </row>
    <row r="193" spans="5:6" s="2" customFormat="1" ht="12.75" x14ac:dyDescent="0.25">
      <c r="E193" s="289"/>
      <c r="F193" s="289"/>
    </row>
    <row r="194" spans="5:6" s="2" customFormat="1" ht="12.75" x14ac:dyDescent="0.25">
      <c r="E194" s="289"/>
      <c r="F194" s="289"/>
    </row>
    <row r="195" spans="5:6" s="2" customFormat="1" ht="12.75" x14ac:dyDescent="0.25">
      <c r="E195" s="289"/>
      <c r="F195" s="289"/>
    </row>
    <row r="196" spans="5:6" s="2" customFormat="1" ht="12.75" x14ac:dyDescent="0.25">
      <c r="E196" s="289"/>
      <c r="F196" s="289"/>
    </row>
    <row r="197" spans="5:6" s="2" customFormat="1" ht="12.75" x14ac:dyDescent="0.25">
      <c r="E197" s="289"/>
      <c r="F197" s="289"/>
    </row>
    <row r="198" spans="5:6" s="2" customFormat="1" ht="12.75" x14ac:dyDescent="0.25">
      <c r="E198" s="289"/>
      <c r="F198" s="289"/>
    </row>
    <row r="199" spans="5:6" s="2" customFormat="1" ht="12.75" x14ac:dyDescent="0.25"/>
    <row r="200" spans="5:6" s="2" customFormat="1" ht="12.75" x14ac:dyDescent="0.25"/>
    <row r="201" spans="5:6" s="2" customFormat="1" ht="12.75" x14ac:dyDescent="0.25"/>
    <row r="202" spans="5:6" s="2" customFormat="1" ht="12.75" x14ac:dyDescent="0.25"/>
    <row r="203" spans="5:6" s="2" customFormat="1" ht="12.75" x14ac:dyDescent="0.25"/>
    <row r="204" spans="5:6" s="2" customFormat="1" ht="12.75" x14ac:dyDescent="0.25"/>
    <row r="205" spans="5:6" s="2" customFormat="1" ht="12.75" x14ac:dyDescent="0.25"/>
    <row r="206" spans="5:6" s="2" customFormat="1" ht="12.75" x14ac:dyDescent="0.25"/>
    <row r="207" spans="5:6" s="2" customFormat="1" ht="12.75" x14ac:dyDescent="0.25"/>
    <row r="208" spans="5:6" s="2" customFormat="1" ht="12.75" x14ac:dyDescent="0.25"/>
    <row r="209" s="2" customFormat="1" ht="12.75" x14ac:dyDescent="0.25"/>
    <row r="210" s="2" customFormat="1" ht="12.75" x14ac:dyDescent="0.25"/>
    <row r="211" s="2" customFormat="1" ht="12.75" x14ac:dyDescent="0.25"/>
    <row r="212" s="2" customFormat="1" ht="12.75" x14ac:dyDescent="0.25"/>
    <row r="213" s="2" customFormat="1" ht="12.75" x14ac:dyDescent="0.25"/>
    <row r="214" s="2" customFormat="1" ht="12.75" x14ac:dyDescent="0.25"/>
    <row r="215" s="2" customFormat="1" ht="12.75" x14ac:dyDescent="0.25"/>
    <row r="216" s="2" customFormat="1" ht="12.75" x14ac:dyDescent="0.25"/>
    <row r="217" s="2" customFormat="1" ht="12.75" x14ac:dyDescent="0.25"/>
    <row r="218" s="2" customFormat="1" ht="12.75" x14ac:dyDescent="0.25"/>
    <row r="219" s="2" customFormat="1" ht="12.75" x14ac:dyDescent="0.25"/>
    <row r="220" s="2" customFormat="1" ht="12.75" x14ac:dyDescent="0.25"/>
    <row r="221" s="2" customFormat="1" ht="12.75" x14ac:dyDescent="0.25"/>
    <row r="222" s="2" customFormat="1" ht="12.75" x14ac:dyDescent="0.25"/>
    <row r="223" s="2" customFormat="1" ht="12.75" x14ac:dyDescent="0.25"/>
    <row r="224" s="2" customFormat="1" ht="12.75" x14ac:dyDescent="0.25"/>
    <row r="225" s="2" customFormat="1" ht="12.75" x14ac:dyDescent="0.25"/>
    <row r="226" s="2" customFormat="1" ht="12.75" x14ac:dyDescent="0.25"/>
    <row r="227" s="2" customFormat="1" ht="12.75" x14ac:dyDescent="0.25"/>
    <row r="228" s="2" customFormat="1" ht="12.75" x14ac:dyDescent="0.25"/>
    <row r="229" s="2" customFormat="1" ht="12.75" x14ac:dyDescent="0.25"/>
    <row r="230" s="2" customFormat="1" ht="12.75" x14ac:dyDescent="0.25"/>
    <row r="231" s="2" customFormat="1" ht="12.75" x14ac:dyDescent="0.25"/>
    <row r="232" s="2" customFormat="1" ht="12.75" x14ac:dyDescent="0.25"/>
    <row r="233" s="2" customFormat="1" ht="12.75" x14ac:dyDescent="0.25"/>
    <row r="234" s="2" customFormat="1" ht="12.75" x14ac:dyDescent="0.25"/>
    <row r="235" s="2" customFormat="1" ht="12.75" x14ac:dyDescent="0.25"/>
    <row r="236" s="2" customFormat="1" ht="12.75" x14ac:dyDescent="0.25"/>
    <row r="237" s="2" customFormat="1" ht="12.75" x14ac:dyDescent="0.25"/>
    <row r="238" s="2" customFormat="1" ht="12.75" x14ac:dyDescent="0.25"/>
    <row r="239" s="2" customFormat="1" ht="12.75" x14ac:dyDescent="0.25"/>
    <row r="240" s="2" customFormat="1" ht="12.75" x14ac:dyDescent="0.25"/>
    <row r="241" s="2" customFormat="1" ht="12.75" x14ac:dyDescent="0.25"/>
    <row r="242" s="2" customFormat="1" ht="12.75" x14ac:dyDescent="0.25"/>
    <row r="243" s="2" customFormat="1" ht="12.75" x14ac:dyDescent="0.25"/>
    <row r="244" s="2" customFormat="1" ht="12.75" x14ac:dyDescent="0.25"/>
    <row r="245" s="2" customFormat="1" ht="12.75" x14ac:dyDescent="0.25"/>
    <row r="246" s="2" customFormat="1" ht="12.75" x14ac:dyDescent="0.25"/>
    <row r="247" s="2" customFormat="1" ht="12.75" x14ac:dyDescent="0.25"/>
    <row r="248" s="2" customFormat="1" ht="12.75" x14ac:dyDescent="0.25"/>
    <row r="249" s="2" customFormat="1" ht="12.75" x14ac:dyDescent="0.25"/>
    <row r="250" s="2" customFormat="1" ht="12.75" x14ac:dyDescent="0.25"/>
    <row r="251" s="2" customFormat="1" ht="12.75" x14ac:dyDescent="0.25"/>
    <row r="252" s="2" customFormat="1" ht="12.75" x14ac:dyDescent="0.25"/>
    <row r="253" s="2" customFormat="1" ht="12.75" x14ac:dyDescent="0.25"/>
    <row r="254" s="2" customFormat="1" ht="12.75" x14ac:dyDescent="0.25"/>
    <row r="255" s="2" customFormat="1" ht="12.75" x14ac:dyDescent="0.25"/>
    <row r="256" s="2" customFormat="1" ht="12.75" x14ac:dyDescent="0.25"/>
    <row r="257" s="2" customFormat="1" ht="12.75" x14ac:dyDescent="0.25"/>
    <row r="258" s="2" customFormat="1" ht="12.75" x14ac:dyDescent="0.25"/>
    <row r="259" s="2" customFormat="1" ht="12.75" x14ac:dyDescent="0.25"/>
    <row r="260" s="2" customFormat="1" ht="12.75" x14ac:dyDescent="0.25"/>
    <row r="261" s="2" customFormat="1" ht="12.75" x14ac:dyDescent="0.25"/>
    <row r="262" s="2" customFormat="1" ht="12.75" x14ac:dyDescent="0.25"/>
    <row r="263" s="2" customFormat="1" ht="12.75" x14ac:dyDescent="0.25"/>
    <row r="264" s="2" customFormat="1" ht="12.75" x14ac:dyDescent="0.25"/>
    <row r="265" s="2" customFormat="1" ht="12.75" x14ac:dyDescent="0.25"/>
    <row r="266" s="2" customFormat="1" ht="12.75" x14ac:dyDescent="0.25"/>
    <row r="267" s="2" customFormat="1" ht="12.75" x14ac:dyDescent="0.25"/>
    <row r="268" s="2" customFormat="1" ht="12.75" x14ac:dyDescent="0.25"/>
    <row r="269" s="2" customFormat="1" ht="12.75" x14ac:dyDescent="0.25"/>
    <row r="270" s="2" customFormat="1" ht="12.75" x14ac:dyDescent="0.25"/>
    <row r="271" s="2" customFormat="1" ht="12.75" x14ac:dyDescent="0.25"/>
    <row r="272" s="2" customFormat="1" ht="12.75" x14ac:dyDescent="0.25"/>
    <row r="273" s="2" customFormat="1" ht="12.75" x14ac:dyDescent="0.25"/>
    <row r="274" s="2" customFormat="1" ht="12.75" x14ac:dyDescent="0.25"/>
    <row r="275" s="2" customFormat="1" ht="12.75" x14ac:dyDescent="0.25"/>
    <row r="276" s="2" customFormat="1" ht="12.75" x14ac:dyDescent="0.25"/>
    <row r="277" s="2" customFormat="1" ht="12.75" x14ac:dyDescent="0.25"/>
    <row r="278" s="2" customFormat="1" ht="12.75" x14ac:dyDescent="0.25"/>
    <row r="279" s="2" customFormat="1" ht="12.75" x14ac:dyDescent="0.25"/>
    <row r="280" s="2" customFormat="1" ht="12.75" x14ac:dyDescent="0.25"/>
    <row r="281" s="2" customFormat="1" ht="12.75" x14ac:dyDescent="0.25"/>
    <row r="282" s="2" customFormat="1" ht="12.75" x14ac:dyDescent="0.25"/>
    <row r="283" s="2" customFormat="1" ht="12.75" x14ac:dyDescent="0.25"/>
    <row r="284" s="2" customFormat="1" ht="12.75" x14ac:dyDescent="0.25"/>
    <row r="285" s="2" customFormat="1" ht="12.75" x14ac:dyDescent="0.25"/>
    <row r="286" s="2" customFormat="1" ht="12.75" x14ac:dyDescent="0.25"/>
    <row r="287" s="2" customFormat="1" ht="12.75" x14ac:dyDescent="0.25"/>
    <row r="288" s="2" customFormat="1" ht="12.75" x14ac:dyDescent="0.25"/>
    <row r="289" s="2" customFormat="1" ht="12.75" x14ac:dyDescent="0.25"/>
    <row r="290" s="2" customFormat="1" ht="12.75" x14ac:dyDescent="0.25"/>
    <row r="291" s="2" customFormat="1" ht="12.75" x14ac:dyDescent="0.25"/>
    <row r="292" s="2" customFormat="1" ht="12.75" x14ac:dyDescent="0.25"/>
    <row r="293" s="2" customFormat="1" ht="12.75" x14ac:dyDescent="0.25"/>
    <row r="294" s="2" customFormat="1" ht="12.75" x14ac:dyDescent="0.25"/>
    <row r="295" s="2" customFormat="1" ht="12.75" x14ac:dyDescent="0.25"/>
    <row r="296" s="2" customFormat="1" ht="12.75" x14ac:dyDescent="0.25"/>
    <row r="297" s="2" customFormat="1" ht="12.75" x14ac:dyDescent="0.25"/>
    <row r="298" s="2" customFormat="1" ht="12.75" x14ac:dyDescent="0.25"/>
    <row r="299" s="2" customFormat="1" ht="12.75" x14ac:dyDescent="0.25"/>
    <row r="300" s="2" customFormat="1" ht="12.75" x14ac:dyDescent="0.25"/>
    <row r="301" s="2" customFormat="1" ht="12.75" x14ac:dyDescent="0.25"/>
    <row r="302" s="2" customFormat="1" ht="12.75" x14ac:dyDescent="0.25"/>
    <row r="303" s="2" customFormat="1" ht="12.75" x14ac:dyDescent="0.25"/>
    <row r="304" s="2" customFormat="1" ht="12.75" x14ac:dyDescent="0.25"/>
    <row r="305" s="2" customFormat="1" ht="12.75" x14ac:dyDescent="0.25"/>
    <row r="306" s="2" customFormat="1" ht="12.75" x14ac:dyDescent="0.25"/>
    <row r="307" s="2" customFormat="1" ht="12.75" x14ac:dyDescent="0.25"/>
    <row r="308" s="2" customFormat="1" ht="12.75" x14ac:dyDescent="0.25"/>
    <row r="309" s="2" customFormat="1" ht="12.75" x14ac:dyDescent="0.25"/>
    <row r="310" s="2" customFormat="1" ht="12.75" x14ac:dyDescent="0.25"/>
    <row r="311" s="2" customFormat="1" ht="12.75" x14ac:dyDescent="0.25"/>
    <row r="312" s="2" customFormat="1" ht="12.75" x14ac:dyDescent="0.25"/>
    <row r="313" s="2" customFormat="1" ht="12.75" x14ac:dyDescent="0.25"/>
    <row r="314" s="2" customFormat="1" ht="12.75" x14ac:dyDescent="0.25"/>
    <row r="315" s="2" customFormat="1" ht="12.75" x14ac:dyDescent="0.25"/>
    <row r="316" s="2" customFormat="1" ht="12.75" x14ac:dyDescent="0.25"/>
    <row r="317" s="2" customFormat="1" ht="12.75" x14ac:dyDescent="0.25"/>
    <row r="318" s="2" customFormat="1" ht="12.75" x14ac:dyDescent="0.25"/>
    <row r="319" s="2" customFormat="1" ht="12.75" x14ac:dyDescent="0.25"/>
    <row r="320" s="2" customFormat="1" ht="12.75" x14ac:dyDescent="0.25"/>
    <row r="321" spans="3:13" s="2" customFormat="1" ht="12.75" x14ac:dyDescent="0.25"/>
    <row r="322" spans="3:13" s="2" customFormat="1" ht="12.75" x14ac:dyDescent="0.25"/>
    <row r="323" spans="3:13" x14ac:dyDescent="0.25">
      <c r="C323" s="2"/>
      <c r="D323" s="2"/>
      <c r="E323" s="2"/>
      <c r="F323" s="2"/>
      <c r="G323" s="2"/>
      <c r="H323" s="2"/>
      <c r="I323" s="2"/>
      <c r="J323" s="2"/>
      <c r="K323" s="2"/>
      <c r="L323" s="2"/>
      <c r="M323" s="2"/>
    </row>
    <row r="324" spans="3:13" x14ac:dyDescent="0.25">
      <c r="C324" s="2"/>
      <c r="D324" s="2"/>
      <c r="E324" s="2"/>
      <c r="F324" s="2"/>
      <c r="G324" s="2"/>
      <c r="H324" s="2"/>
      <c r="I324" s="2"/>
      <c r="J324" s="2"/>
      <c r="K324" s="2"/>
      <c r="L324" s="2"/>
      <c r="M324" s="2"/>
    </row>
  </sheetData>
  <mergeCells count="41">
    <mergeCell ref="A2:B2"/>
    <mergeCell ref="G2:H2"/>
    <mergeCell ref="A3:B4"/>
    <mergeCell ref="C3:C4"/>
    <mergeCell ref="D3:D4"/>
    <mergeCell ref="E3:F3"/>
    <mergeCell ref="G3:G4"/>
    <mergeCell ref="A1:M1"/>
    <mergeCell ref="A5:A13"/>
    <mergeCell ref="A14:A22"/>
    <mergeCell ref="A23:A31"/>
    <mergeCell ref="A32:A40"/>
    <mergeCell ref="B5:B8"/>
    <mergeCell ref="B9:B10"/>
    <mergeCell ref="B11:B13"/>
    <mergeCell ref="B14:B17"/>
    <mergeCell ref="B18:B19"/>
    <mergeCell ref="B20:B22"/>
    <mergeCell ref="H3:H4"/>
    <mergeCell ref="K3:K4"/>
    <mergeCell ref="L3:L4"/>
    <mergeCell ref="M3:M4"/>
    <mergeCell ref="I3:J3"/>
    <mergeCell ref="C20:M20"/>
    <mergeCell ref="C23:M23"/>
    <mergeCell ref="C26:M26"/>
    <mergeCell ref="B23:B26"/>
    <mergeCell ref="B27:B28"/>
    <mergeCell ref="C5:M5"/>
    <mergeCell ref="C8:M8"/>
    <mergeCell ref="C11:M11"/>
    <mergeCell ref="C14:M14"/>
    <mergeCell ref="C17:M17"/>
    <mergeCell ref="C29:M29"/>
    <mergeCell ref="C32:M32"/>
    <mergeCell ref="C35:M35"/>
    <mergeCell ref="C38:M38"/>
    <mergeCell ref="B36:B37"/>
    <mergeCell ref="B38:B40"/>
    <mergeCell ref="B29:B31"/>
    <mergeCell ref="B32:B35"/>
  </mergeCells>
  <pageMargins left="0.70866141732283472" right="0.70866141732283472" top="0.74803149606299213" bottom="0.74803149606299213" header="0.31496062992125984" footer="0.31496062992125984"/>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BM482"/>
  <sheetViews>
    <sheetView tabSelected="1" zoomScaleNormal="100" workbookViewId="0">
      <pane xSplit="8" ySplit="13" topLeftCell="BI14" activePane="bottomRight" state="frozen"/>
      <selection pane="topRight" activeCell="I1" sqref="I1"/>
      <selection pane="bottomLeft" activeCell="A14" sqref="A14"/>
      <selection pane="bottomRight" activeCell="BM8" sqref="BM8:BM13"/>
    </sheetView>
  </sheetViews>
  <sheetFormatPr baseColWidth="10" defaultColWidth="11.42578125" defaultRowHeight="15" x14ac:dyDescent="0.25"/>
  <cols>
    <col min="1" max="1" width="17.28515625" style="106" customWidth="1"/>
    <col min="2" max="2" width="14.28515625" style="106" customWidth="1"/>
    <col min="3" max="3" width="17.5703125" style="106" customWidth="1"/>
    <col min="4" max="4" width="12.5703125" style="106" bestFit="1" customWidth="1"/>
    <col min="5" max="5" width="21.28515625" style="106" customWidth="1"/>
    <col min="6" max="6" width="12.140625" style="106" bestFit="1" customWidth="1"/>
    <col min="7" max="8" width="9.5703125" style="106" customWidth="1"/>
    <col min="9" max="9" width="8.42578125" style="154" customWidth="1"/>
    <col min="10" max="10" width="6.42578125" style="154" customWidth="1"/>
    <col min="11" max="11" width="5" style="154" customWidth="1"/>
    <col min="12" max="12" width="4.28515625" style="106" customWidth="1"/>
    <col min="13" max="13" width="3" style="106" hidden="1" customWidth="1"/>
    <col min="14" max="14" width="8.7109375" style="11" customWidth="1"/>
    <col min="15" max="15" width="4.140625" style="106" customWidth="1"/>
    <col min="16" max="16" width="6.42578125" style="106" customWidth="1"/>
    <col min="17" max="17" width="5" style="106" customWidth="1"/>
    <col min="18" max="18" width="1.7109375" style="106" customWidth="1"/>
    <col min="19" max="19" width="8.42578125" style="154" customWidth="1"/>
    <col min="20" max="20" width="6.42578125" style="154" customWidth="1"/>
    <col min="21" max="21" width="5.42578125" style="154" customWidth="1"/>
    <col min="22" max="22" width="6.85546875" style="106" customWidth="1"/>
    <col min="23" max="23" width="4.42578125" style="106" hidden="1" customWidth="1"/>
    <col min="24" max="24" width="8.42578125" style="11" customWidth="1"/>
    <col min="25" max="25" width="4.140625" style="106" customWidth="1"/>
    <col min="26" max="26" width="6.42578125" style="106" customWidth="1"/>
    <col min="27" max="27" width="5" style="106" customWidth="1"/>
    <col min="28" max="28" width="1.7109375" style="154" customWidth="1"/>
    <col min="29" max="29" width="6.85546875" style="106" customWidth="1"/>
    <col min="30" max="30" width="6.5703125" style="106" customWidth="1"/>
    <col min="31" max="31" width="8.42578125" style="106" customWidth="1"/>
    <col min="32" max="32" width="4.140625" style="106" customWidth="1"/>
    <col min="33" max="33" width="6.42578125" style="106" customWidth="1"/>
    <col min="34" max="34" width="4.140625" style="106" customWidth="1"/>
    <col min="35" max="35" width="1.7109375" style="154" customWidth="1"/>
    <col min="36" max="36" width="10.140625" style="106" customWidth="1"/>
    <col min="37" max="37" width="4.140625" style="106" customWidth="1"/>
    <col min="38" max="38" width="6.42578125" style="106" customWidth="1"/>
    <col min="39" max="39" width="5.85546875" style="106" customWidth="1"/>
    <col min="40" max="40" width="1.42578125" style="154" customWidth="1"/>
    <col min="41" max="42" width="8.7109375" style="106" customWidth="1"/>
    <col min="43" max="43" width="7.28515625" style="106" customWidth="1"/>
    <col min="44" max="44" width="5.42578125" style="106" customWidth="1"/>
    <col min="45" max="45" width="1.7109375" style="106" customWidth="1"/>
    <col min="46" max="49" width="4.7109375" style="106" customWidth="1"/>
    <col min="50" max="50" width="6" style="106" customWidth="1"/>
    <col min="51" max="51" width="6.140625" style="106" customWidth="1"/>
    <col min="52" max="52" width="1.7109375" style="106" customWidth="1"/>
    <col min="53" max="53" width="6.140625" style="106" customWidth="1"/>
    <col min="54" max="54" width="5.7109375" style="106" customWidth="1"/>
    <col min="55" max="55" width="6.140625" style="106" customWidth="1"/>
    <col min="56" max="56" width="5.7109375" style="106" customWidth="1"/>
    <col min="57" max="57" width="6.140625" style="106" customWidth="1"/>
    <col min="58" max="58" width="5.7109375" style="106" customWidth="1"/>
    <col min="59" max="59" width="6.140625" style="106" customWidth="1"/>
    <col min="60" max="60" width="5.7109375" style="106" customWidth="1"/>
    <col min="61" max="64" width="5.7109375" style="106" bestFit="1" customWidth="1"/>
    <col min="65" max="65" width="19.85546875" style="379" customWidth="1"/>
    <col min="66" max="16384" width="11.42578125" style="106"/>
  </cols>
  <sheetData>
    <row r="1" spans="1:65" ht="42" customHeight="1" x14ac:dyDescent="0.5">
      <c r="A1" s="466" t="s">
        <v>80</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c r="AT1" s="467"/>
      <c r="AU1" s="467"/>
      <c r="AV1" s="467"/>
      <c r="AW1" s="467"/>
      <c r="AX1" s="467"/>
      <c r="AY1" s="467"/>
      <c r="AZ1" s="467"/>
      <c r="BA1" s="467"/>
      <c r="BB1" s="467"/>
      <c r="BC1" s="467"/>
      <c r="BD1" s="467"/>
      <c r="BE1" s="467"/>
      <c r="BF1" s="467"/>
      <c r="BG1" s="467"/>
      <c r="BH1" s="467"/>
      <c r="BI1" s="467"/>
      <c r="BJ1" s="467"/>
      <c r="BK1" s="467"/>
      <c r="BL1" s="467"/>
      <c r="BM1" s="467"/>
    </row>
    <row r="2" spans="1:65" ht="7.5" customHeight="1" thickBot="1" x14ac:dyDescent="0.3">
      <c r="E2" s="103"/>
      <c r="G2" s="103"/>
      <c r="H2" s="103"/>
      <c r="AF2" s="204" t="e">
        <f>AF7</f>
        <v>#DIV/0!</v>
      </c>
      <c r="AL2" s="204" t="e">
        <f>AL7</f>
        <v>#DIV/0!</v>
      </c>
      <c r="BI2" s="468"/>
      <c r="BJ2" s="469"/>
      <c r="BK2" s="469"/>
      <c r="BL2" s="469"/>
      <c r="BM2" s="380"/>
    </row>
    <row r="3" spans="1:65" ht="15.75" thickBot="1" x14ac:dyDescent="0.3">
      <c r="A3" s="470" t="s">
        <v>237</v>
      </c>
      <c r="B3" s="471"/>
      <c r="C3" s="471"/>
      <c r="D3" s="471"/>
      <c r="E3" s="218" t="s">
        <v>10</v>
      </c>
      <c r="G3" s="103"/>
      <c r="H3" s="103"/>
      <c r="I3" s="106"/>
      <c r="J3" s="106"/>
      <c r="K3" s="106"/>
      <c r="S3" s="106"/>
      <c r="T3" s="106"/>
      <c r="U3" s="106"/>
      <c r="AB3" s="106"/>
      <c r="AI3" s="106"/>
      <c r="AN3" s="106"/>
    </row>
    <row r="4" spans="1:65" ht="15.75" thickBot="1" x14ac:dyDescent="0.3">
      <c r="A4" s="470" t="s">
        <v>243</v>
      </c>
      <c r="B4" s="471"/>
      <c r="C4" s="471"/>
      <c r="D4" s="471"/>
      <c r="E4" s="218" t="s">
        <v>10</v>
      </c>
      <c r="G4" s="103"/>
      <c r="H4" s="103"/>
      <c r="I4" s="106"/>
      <c r="J4" s="106"/>
      <c r="K4" s="106"/>
      <c r="L4" s="472"/>
      <c r="M4" s="472"/>
      <c r="N4" s="472"/>
      <c r="O4" s="472"/>
      <c r="P4" s="472"/>
      <c r="Q4" s="472"/>
      <c r="R4" s="274"/>
      <c r="S4" s="106"/>
      <c r="T4" s="106"/>
      <c r="U4" s="106"/>
      <c r="V4" s="472"/>
      <c r="W4" s="472"/>
      <c r="X4" s="472"/>
      <c r="Y4" s="472"/>
      <c r="Z4" s="472"/>
      <c r="AA4" s="472"/>
      <c r="AB4" s="106"/>
      <c r="AI4" s="106"/>
      <c r="AN4" s="106"/>
    </row>
    <row r="5" spans="1:65" ht="15.75" customHeight="1" thickBot="1" x14ac:dyDescent="0.3">
      <c r="I5" s="106"/>
      <c r="J5" s="106"/>
      <c r="K5" s="155"/>
      <c r="L5" s="483" t="s">
        <v>91</v>
      </c>
      <c r="M5" s="492"/>
      <c r="N5" s="484"/>
      <c r="O5" s="487" t="s">
        <v>2</v>
      </c>
      <c r="P5" s="487"/>
      <c r="Q5" s="488"/>
      <c r="R5" s="274"/>
      <c r="S5" s="254"/>
      <c r="T5" s="353"/>
      <c r="U5" s="155"/>
      <c r="V5" s="483" t="s">
        <v>91</v>
      </c>
      <c r="W5" s="492"/>
      <c r="X5" s="484"/>
      <c r="Y5" s="487" t="s">
        <v>2</v>
      </c>
      <c r="Z5" s="487"/>
      <c r="AA5" s="488"/>
      <c r="AB5" s="155"/>
      <c r="AC5" s="483" t="s">
        <v>91</v>
      </c>
      <c r="AD5" s="492"/>
      <c r="AE5" s="484"/>
      <c r="AF5" s="487" t="s">
        <v>2</v>
      </c>
      <c r="AG5" s="487"/>
      <c r="AH5" s="488"/>
      <c r="AI5" s="155"/>
      <c r="AJ5" s="483" t="s">
        <v>91</v>
      </c>
      <c r="AK5" s="484"/>
      <c r="AL5" s="485" t="s">
        <v>2</v>
      </c>
      <c r="AM5" s="486"/>
      <c r="AN5" s="221"/>
      <c r="AO5" s="483" t="s">
        <v>91</v>
      </c>
      <c r="AP5" s="484"/>
      <c r="AQ5" s="341"/>
      <c r="AR5" s="343" t="s">
        <v>2</v>
      </c>
      <c r="AS5" s="158"/>
      <c r="AT5" s="483" t="s">
        <v>91</v>
      </c>
      <c r="AU5" s="484"/>
      <c r="AV5" s="484"/>
      <c r="AW5" s="487" t="s">
        <v>2</v>
      </c>
      <c r="AX5" s="485"/>
      <c r="AY5" s="488"/>
      <c r="AZ5" s="158"/>
      <c r="BA5" s="473" t="s">
        <v>105</v>
      </c>
      <c r="BB5" s="474"/>
      <c r="BC5" s="473" t="s">
        <v>105</v>
      </c>
      <c r="BD5" s="474"/>
      <c r="BE5" s="473" t="s">
        <v>105</v>
      </c>
      <c r="BF5" s="474"/>
      <c r="BG5" s="473" t="s">
        <v>105</v>
      </c>
      <c r="BH5" s="474"/>
    </row>
    <row r="6" spans="1:65" ht="16.5" customHeight="1" thickBot="1" x14ac:dyDescent="0.3">
      <c r="E6" s="104" t="s">
        <v>29</v>
      </c>
      <c r="I6" s="106"/>
      <c r="J6" s="106"/>
      <c r="K6" s="156"/>
      <c r="L6" s="477">
        <f>SUM(M14:M100)</f>
        <v>0</v>
      </c>
      <c r="M6" s="478"/>
      <c r="N6" s="479"/>
      <c r="O6" s="480">
        <f>COUNTA(N14:N391)</f>
        <v>0</v>
      </c>
      <c r="P6" s="481"/>
      <c r="Q6" s="482"/>
      <c r="R6" s="255"/>
      <c r="S6" s="254"/>
      <c r="T6" s="106"/>
      <c r="U6" s="156"/>
      <c r="V6" s="477">
        <f>SUM(W14:W100)</f>
        <v>0</v>
      </c>
      <c r="W6" s="478"/>
      <c r="X6" s="479"/>
      <c r="Y6" s="480">
        <f>COUNTA(X14:X391)</f>
        <v>0</v>
      </c>
      <c r="Z6" s="481"/>
      <c r="AA6" s="482"/>
      <c r="AB6" s="156"/>
      <c r="AC6" s="477">
        <f>SUM(AD14:AD100)</f>
        <v>0</v>
      </c>
      <c r="AD6" s="478"/>
      <c r="AE6" s="479"/>
      <c r="AF6" s="480">
        <f>COUNTA(AE14:AE391)</f>
        <v>0</v>
      </c>
      <c r="AG6" s="481"/>
      <c r="AH6" s="482"/>
      <c r="AI6" s="156"/>
      <c r="AJ6" s="477">
        <v>0</v>
      </c>
      <c r="AK6" s="479"/>
      <c r="AL6" s="480">
        <f>COUNTA(AJ14:AJ100)</f>
        <v>0</v>
      </c>
      <c r="AM6" s="482"/>
      <c r="AN6" s="222"/>
      <c r="AO6" s="477">
        <v>0</v>
      </c>
      <c r="AP6" s="479"/>
      <c r="AQ6" s="342"/>
      <c r="AR6" s="224">
        <f>COUNTA(AO14:AO391,AP14:AP391)</f>
        <v>0</v>
      </c>
      <c r="AS6" s="129"/>
      <c r="AT6" s="489"/>
      <c r="AU6" s="490"/>
      <c r="AV6" s="491"/>
      <c r="AW6" s="480">
        <f>COUNTA(AT14:AW100)</f>
        <v>0</v>
      </c>
      <c r="AX6" s="481"/>
      <c r="AY6" s="482"/>
      <c r="AZ6" s="129"/>
      <c r="BA6" s="475"/>
      <c r="BB6" s="476"/>
      <c r="BC6" s="475"/>
      <c r="BD6" s="476"/>
      <c r="BE6" s="475"/>
      <c r="BF6" s="476"/>
      <c r="BG6" s="475"/>
      <c r="BH6" s="476"/>
    </row>
    <row r="7" spans="1:65" ht="33.75" customHeight="1" thickBot="1" x14ac:dyDescent="0.3">
      <c r="A7" s="124" t="s">
        <v>40</v>
      </c>
      <c r="B7" s="103">
        <f ca="1">TODAY()</f>
        <v>43503</v>
      </c>
      <c r="E7" s="109">
        <f>COUNTIFS(H14:H402,"oui")</f>
        <v>0</v>
      </c>
      <c r="I7" s="157"/>
      <c r="J7" s="157"/>
      <c r="K7" s="157"/>
      <c r="L7" s="503" t="s">
        <v>238</v>
      </c>
      <c r="M7" s="513"/>
      <c r="N7" s="504"/>
      <c r="O7" s="505" t="e">
        <f>O6/L6</f>
        <v>#DIV/0!</v>
      </c>
      <c r="P7" s="514"/>
      <c r="Q7" s="506"/>
      <c r="R7" s="256"/>
      <c r="S7" s="257"/>
      <c r="T7" s="157"/>
      <c r="U7" s="157"/>
      <c r="V7" s="503" t="s">
        <v>238</v>
      </c>
      <c r="W7" s="513"/>
      <c r="X7" s="504"/>
      <c r="Y7" s="505" t="e">
        <f>Y6/V6</f>
        <v>#DIV/0!</v>
      </c>
      <c r="Z7" s="514"/>
      <c r="AA7" s="506"/>
      <c r="AB7" s="157"/>
      <c r="AC7" s="503" t="s">
        <v>238</v>
      </c>
      <c r="AD7" s="513"/>
      <c r="AE7" s="504"/>
      <c r="AF7" s="505" t="e">
        <f>AF6/AC6</f>
        <v>#DIV/0!</v>
      </c>
      <c r="AG7" s="514"/>
      <c r="AH7" s="506"/>
      <c r="AI7" s="157"/>
      <c r="AJ7" s="503" t="s">
        <v>238</v>
      </c>
      <c r="AK7" s="504"/>
      <c r="AL7" s="505" t="e">
        <f>AL6/AJ6</f>
        <v>#DIV/0!</v>
      </c>
      <c r="AM7" s="506"/>
      <c r="AN7" s="223"/>
      <c r="AO7" s="503" t="s">
        <v>238</v>
      </c>
      <c r="AP7" s="504"/>
      <c r="AQ7" s="495" t="e">
        <f>AR6/AO6</f>
        <v>#DIV/0!</v>
      </c>
      <c r="AR7" s="496"/>
      <c r="AS7" s="128"/>
      <c r="AT7" s="507" t="s">
        <v>238</v>
      </c>
      <c r="AU7" s="508"/>
      <c r="AV7" s="509"/>
      <c r="AW7" s="510" t="e">
        <f>AW6/AT6</f>
        <v>#DIV/0!</v>
      </c>
      <c r="AX7" s="511"/>
      <c r="AY7" s="512"/>
      <c r="AZ7" s="128"/>
      <c r="BA7" s="493" t="e">
        <f>COUNTA(BA14:BA217)/$E$7</f>
        <v>#DIV/0!</v>
      </c>
      <c r="BB7" s="494"/>
      <c r="BC7" s="493" t="e">
        <f>COUNTA(BC14:BC217)/$E$7</f>
        <v>#DIV/0!</v>
      </c>
      <c r="BD7" s="494"/>
      <c r="BE7" s="493" t="e">
        <f>COUNTA(BE14:BE217)/$E$7</f>
        <v>#DIV/0!</v>
      </c>
      <c r="BF7" s="494"/>
      <c r="BG7" s="493" t="e">
        <f>COUNTA(BG14:BG217)/$E$7</f>
        <v>#DIV/0!</v>
      </c>
      <c r="BH7" s="494"/>
    </row>
    <row r="8" spans="1:65" ht="15" customHeight="1" thickBot="1" x14ac:dyDescent="0.3">
      <c r="A8" s="497" t="s">
        <v>3</v>
      </c>
      <c r="B8" s="500" t="s">
        <v>463</v>
      </c>
      <c r="C8" s="500" t="s">
        <v>24</v>
      </c>
      <c r="D8" s="500" t="s">
        <v>25</v>
      </c>
      <c r="E8" s="500" t="s">
        <v>23</v>
      </c>
      <c r="F8" s="500" t="s">
        <v>22</v>
      </c>
      <c r="G8" s="500" t="s">
        <v>36</v>
      </c>
      <c r="H8" s="515" t="s">
        <v>177</v>
      </c>
      <c r="I8" s="518" t="s">
        <v>189</v>
      </c>
      <c r="J8" s="519"/>
      <c r="K8" s="519"/>
      <c r="L8" s="519"/>
      <c r="M8" s="519"/>
      <c r="N8" s="519"/>
      <c r="O8" s="519"/>
      <c r="P8" s="519"/>
      <c r="Q8" s="519"/>
      <c r="R8" s="519"/>
      <c r="S8" s="519"/>
      <c r="T8" s="519"/>
      <c r="U8" s="519"/>
      <c r="V8" s="519"/>
      <c r="W8" s="519"/>
      <c r="X8" s="519"/>
      <c r="Y8" s="519"/>
      <c r="Z8" s="519"/>
      <c r="AA8" s="519"/>
      <c r="AB8" s="519"/>
      <c r="AC8" s="519"/>
      <c r="AD8" s="519"/>
      <c r="AE8" s="519"/>
      <c r="AF8" s="519"/>
      <c r="AG8" s="519"/>
      <c r="AH8" s="519"/>
      <c r="AI8" s="519"/>
      <c r="AJ8" s="519"/>
      <c r="AK8" s="519"/>
      <c r="AL8" s="519"/>
      <c r="AM8" s="519"/>
      <c r="AN8" s="519"/>
      <c r="AO8" s="519"/>
      <c r="AP8" s="519"/>
      <c r="AQ8" s="519"/>
      <c r="AR8" s="519"/>
      <c r="AS8" s="519"/>
      <c r="AT8" s="519"/>
      <c r="AU8" s="519"/>
      <c r="AV8" s="519"/>
      <c r="AW8" s="519"/>
      <c r="AX8" s="519"/>
      <c r="AY8" s="519"/>
      <c r="AZ8" s="520"/>
      <c r="BA8" s="521" t="s">
        <v>88</v>
      </c>
      <c r="BB8" s="522"/>
      <c r="BC8" s="522"/>
      <c r="BD8" s="522"/>
      <c r="BE8" s="522"/>
      <c r="BF8" s="522"/>
      <c r="BG8" s="522"/>
      <c r="BH8" s="523"/>
      <c r="BI8" s="524" t="s">
        <v>453</v>
      </c>
      <c r="BJ8" s="525"/>
      <c r="BK8" s="525"/>
      <c r="BL8" s="525"/>
      <c r="BM8" s="465" t="s">
        <v>467</v>
      </c>
    </row>
    <row r="9" spans="1:65" ht="14.45" customHeight="1" x14ac:dyDescent="0.25">
      <c r="A9" s="498"/>
      <c r="B9" s="501"/>
      <c r="C9" s="501"/>
      <c r="D9" s="501"/>
      <c r="E9" s="501"/>
      <c r="F9" s="501"/>
      <c r="G9" s="501"/>
      <c r="H9" s="516"/>
      <c r="I9" s="526" t="s">
        <v>350</v>
      </c>
      <c r="J9" s="527"/>
      <c r="K9" s="527"/>
      <c r="L9" s="527"/>
      <c r="M9" s="527"/>
      <c r="N9" s="527"/>
      <c r="O9" s="527"/>
      <c r="P9" s="527"/>
      <c r="Q9" s="528"/>
      <c r="R9" s="197"/>
      <c r="S9" s="526" t="s">
        <v>352</v>
      </c>
      <c r="T9" s="527"/>
      <c r="U9" s="527"/>
      <c r="V9" s="527"/>
      <c r="W9" s="527"/>
      <c r="X9" s="527"/>
      <c r="Y9" s="527"/>
      <c r="Z9" s="527"/>
      <c r="AA9" s="528"/>
      <c r="AB9" s="197"/>
      <c r="AC9" s="526" t="s">
        <v>349</v>
      </c>
      <c r="AD9" s="527"/>
      <c r="AE9" s="527"/>
      <c r="AF9" s="527"/>
      <c r="AG9" s="527"/>
      <c r="AH9" s="528"/>
      <c r="AI9" s="529"/>
      <c r="AJ9" s="526" t="s">
        <v>233</v>
      </c>
      <c r="AK9" s="527"/>
      <c r="AL9" s="527"/>
      <c r="AM9" s="528"/>
      <c r="AN9" s="197"/>
      <c r="AO9" s="526" t="s">
        <v>97</v>
      </c>
      <c r="AP9" s="527"/>
      <c r="AQ9" s="532"/>
      <c r="AR9" s="533"/>
      <c r="AS9" s="159"/>
      <c r="AT9" s="526" t="s">
        <v>188</v>
      </c>
      <c r="AU9" s="527"/>
      <c r="AV9" s="527"/>
      <c r="AW9" s="527"/>
      <c r="AX9" s="532"/>
      <c r="AY9" s="528"/>
      <c r="AZ9" s="529"/>
      <c r="BA9" s="547" t="s">
        <v>244</v>
      </c>
      <c r="BB9" s="548"/>
      <c r="BC9" s="547" t="s">
        <v>245</v>
      </c>
      <c r="BD9" s="548"/>
      <c r="BE9" s="547" t="s">
        <v>246</v>
      </c>
      <c r="BF9" s="548"/>
      <c r="BG9" s="547" t="s">
        <v>247</v>
      </c>
      <c r="BH9" s="548"/>
      <c r="BI9" s="534" t="s">
        <v>3</v>
      </c>
      <c r="BJ9" s="535"/>
      <c r="BK9" s="535"/>
      <c r="BL9" s="535"/>
      <c r="BM9" s="465"/>
    </row>
    <row r="10" spans="1:65" ht="14.45" customHeight="1" x14ac:dyDescent="0.25">
      <c r="A10" s="498"/>
      <c r="B10" s="501"/>
      <c r="C10" s="501"/>
      <c r="D10" s="501"/>
      <c r="E10" s="501"/>
      <c r="F10" s="501"/>
      <c r="G10" s="501"/>
      <c r="H10" s="516"/>
      <c r="I10" s="536" t="s">
        <v>351</v>
      </c>
      <c r="J10" s="537"/>
      <c r="K10" s="537"/>
      <c r="L10" s="537" t="s">
        <v>187</v>
      </c>
      <c r="M10" s="537"/>
      <c r="N10" s="537"/>
      <c r="O10" s="537"/>
      <c r="P10" s="537"/>
      <c r="Q10" s="538"/>
      <c r="R10" s="198"/>
      <c r="S10" s="536" t="s">
        <v>351</v>
      </c>
      <c r="T10" s="537"/>
      <c r="U10" s="537"/>
      <c r="V10" s="537" t="s">
        <v>187</v>
      </c>
      <c r="W10" s="537"/>
      <c r="X10" s="537"/>
      <c r="Y10" s="537"/>
      <c r="Z10" s="537"/>
      <c r="AA10" s="538"/>
      <c r="AB10" s="198"/>
      <c r="AC10" s="539" t="s">
        <v>99</v>
      </c>
      <c r="AD10" s="271"/>
      <c r="AE10" s="542" t="s">
        <v>27</v>
      </c>
      <c r="AF10" s="542" t="s">
        <v>26</v>
      </c>
      <c r="AG10" s="545" t="s">
        <v>89</v>
      </c>
      <c r="AH10" s="546"/>
      <c r="AI10" s="530"/>
      <c r="AJ10" s="539" t="s">
        <v>27</v>
      </c>
      <c r="AK10" s="542" t="s">
        <v>26</v>
      </c>
      <c r="AL10" s="545" t="s">
        <v>89</v>
      </c>
      <c r="AM10" s="546"/>
      <c r="AN10" s="198"/>
      <c r="AO10" s="567" t="s">
        <v>95</v>
      </c>
      <c r="AP10" s="569" t="s">
        <v>96</v>
      </c>
      <c r="AQ10" s="579" t="s">
        <v>89</v>
      </c>
      <c r="AR10" s="580"/>
      <c r="AS10" s="160"/>
      <c r="AT10" s="571"/>
      <c r="AU10" s="549"/>
      <c r="AV10" s="549"/>
      <c r="AW10" s="549"/>
      <c r="AX10" s="579" t="s">
        <v>89</v>
      </c>
      <c r="AY10" s="580"/>
      <c r="AZ10" s="530"/>
      <c r="BA10" s="565" t="s">
        <v>87</v>
      </c>
      <c r="BB10" s="566"/>
      <c r="BC10" s="565" t="s">
        <v>87</v>
      </c>
      <c r="BD10" s="566"/>
      <c r="BE10" s="565" t="s">
        <v>87</v>
      </c>
      <c r="BF10" s="566"/>
      <c r="BG10" s="565" t="s">
        <v>87</v>
      </c>
      <c r="BH10" s="566"/>
      <c r="BI10" s="125" t="s">
        <v>74</v>
      </c>
      <c r="BJ10" s="126" t="s">
        <v>75</v>
      </c>
      <c r="BK10" s="126" t="s">
        <v>76</v>
      </c>
      <c r="BL10" s="126" t="s">
        <v>77</v>
      </c>
      <c r="BM10" s="465"/>
    </row>
    <row r="11" spans="1:65" x14ac:dyDescent="0.25">
      <c r="A11" s="498"/>
      <c r="B11" s="501"/>
      <c r="C11" s="501"/>
      <c r="D11" s="501"/>
      <c r="E11" s="501"/>
      <c r="F11" s="501"/>
      <c r="G11" s="501"/>
      <c r="H11" s="516"/>
      <c r="I11" s="550" t="s">
        <v>27</v>
      </c>
      <c r="J11" s="545" t="s">
        <v>89</v>
      </c>
      <c r="K11" s="545"/>
      <c r="L11" s="552" t="s">
        <v>99</v>
      </c>
      <c r="M11" s="269"/>
      <c r="N11" s="554" t="s">
        <v>27</v>
      </c>
      <c r="O11" s="552" t="s">
        <v>26</v>
      </c>
      <c r="P11" s="545" t="s">
        <v>89</v>
      </c>
      <c r="Q11" s="546"/>
      <c r="R11" s="198"/>
      <c r="S11" s="550" t="s">
        <v>27</v>
      </c>
      <c r="T11" s="545" t="s">
        <v>89</v>
      </c>
      <c r="U11" s="545"/>
      <c r="V11" s="552" t="s">
        <v>99</v>
      </c>
      <c r="W11" s="269"/>
      <c r="X11" s="554" t="s">
        <v>27</v>
      </c>
      <c r="Y11" s="552" t="s">
        <v>26</v>
      </c>
      <c r="Z11" s="545" t="s">
        <v>89</v>
      </c>
      <c r="AA11" s="546"/>
      <c r="AB11" s="198"/>
      <c r="AC11" s="540"/>
      <c r="AD11" s="272"/>
      <c r="AE11" s="543"/>
      <c r="AF11" s="543"/>
      <c r="AG11" s="559" t="s">
        <v>90</v>
      </c>
      <c r="AH11" s="562" t="s">
        <v>4</v>
      </c>
      <c r="AI11" s="530"/>
      <c r="AJ11" s="540"/>
      <c r="AK11" s="543"/>
      <c r="AL11" s="559" t="s">
        <v>90</v>
      </c>
      <c r="AM11" s="562" t="s">
        <v>4</v>
      </c>
      <c r="AN11" s="198"/>
      <c r="AO11" s="567"/>
      <c r="AP11" s="569"/>
      <c r="AQ11" s="545" t="s">
        <v>90</v>
      </c>
      <c r="AR11" s="572" t="s">
        <v>4</v>
      </c>
      <c r="AS11" s="160"/>
      <c r="AT11" s="571"/>
      <c r="AU11" s="549"/>
      <c r="AV11" s="549"/>
      <c r="AW11" s="549"/>
      <c r="AX11" s="559" t="s">
        <v>90</v>
      </c>
      <c r="AY11" s="575" t="s">
        <v>4</v>
      </c>
      <c r="AZ11" s="530"/>
      <c r="BA11" s="565"/>
      <c r="BB11" s="566"/>
      <c r="BC11" s="565"/>
      <c r="BD11" s="566"/>
      <c r="BE11" s="565"/>
      <c r="BF11" s="566"/>
      <c r="BG11" s="565"/>
      <c r="BH11" s="566"/>
      <c r="BI11" s="578"/>
      <c r="BJ11" s="556"/>
      <c r="BK11" s="556"/>
      <c r="BL11" s="556"/>
      <c r="BM11" s="465"/>
    </row>
    <row r="12" spans="1:65" x14ac:dyDescent="0.25">
      <c r="A12" s="498"/>
      <c r="B12" s="501"/>
      <c r="C12" s="501"/>
      <c r="D12" s="501"/>
      <c r="E12" s="501"/>
      <c r="F12" s="501"/>
      <c r="G12" s="501"/>
      <c r="H12" s="516"/>
      <c r="I12" s="550"/>
      <c r="J12" s="545" t="s">
        <v>90</v>
      </c>
      <c r="K12" s="545" t="s">
        <v>4</v>
      </c>
      <c r="L12" s="552"/>
      <c r="M12" s="269"/>
      <c r="N12" s="554"/>
      <c r="O12" s="552"/>
      <c r="P12" s="545" t="s">
        <v>90</v>
      </c>
      <c r="Q12" s="546" t="s">
        <v>4</v>
      </c>
      <c r="R12" s="198"/>
      <c r="S12" s="550"/>
      <c r="T12" s="545" t="s">
        <v>90</v>
      </c>
      <c r="U12" s="545" t="s">
        <v>4</v>
      </c>
      <c r="V12" s="552"/>
      <c r="W12" s="269"/>
      <c r="X12" s="554"/>
      <c r="Y12" s="552"/>
      <c r="Z12" s="545" t="s">
        <v>90</v>
      </c>
      <c r="AA12" s="546" t="s">
        <v>4</v>
      </c>
      <c r="AB12" s="198"/>
      <c r="AC12" s="540"/>
      <c r="AD12" s="272"/>
      <c r="AE12" s="543"/>
      <c r="AF12" s="543"/>
      <c r="AG12" s="560"/>
      <c r="AH12" s="563"/>
      <c r="AI12" s="530"/>
      <c r="AJ12" s="540"/>
      <c r="AK12" s="543"/>
      <c r="AL12" s="560"/>
      <c r="AM12" s="563"/>
      <c r="AN12" s="198"/>
      <c r="AO12" s="567"/>
      <c r="AP12" s="569"/>
      <c r="AQ12" s="545"/>
      <c r="AR12" s="572"/>
      <c r="AS12" s="160"/>
      <c r="AT12" s="571"/>
      <c r="AU12" s="549"/>
      <c r="AV12" s="549"/>
      <c r="AW12" s="549"/>
      <c r="AX12" s="560"/>
      <c r="AY12" s="576"/>
      <c r="AZ12" s="530"/>
      <c r="BA12" s="574"/>
      <c r="BB12" s="566"/>
      <c r="BC12" s="574"/>
      <c r="BD12" s="566"/>
      <c r="BE12" s="565"/>
      <c r="BF12" s="566"/>
      <c r="BG12" s="565"/>
      <c r="BH12" s="566"/>
      <c r="BI12" s="578"/>
      <c r="BJ12" s="556"/>
      <c r="BK12" s="556"/>
      <c r="BL12" s="556"/>
      <c r="BM12" s="465"/>
    </row>
    <row r="13" spans="1:65" ht="15.75" thickBot="1" x14ac:dyDescent="0.3">
      <c r="A13" s="499"/>
      <c r="B13" s="502"/>
      <c r="C13" s="502"/>
      <c r="D13" s="502"/>
      <c r="E13" s="502"/>
      <c r="F13" s="502"/>
      <c r="G13" s="502"/>
      <c r="H13" s="517"/>
      <c r="I13" s="551"/>
      <c r="J13" s="557"/>
      <c r="K13" s="557"/>
      <c r="L13" s="553"/>
      <c r="M13" s="270"/>
      <c r="N13" s="555"/>
      <c r="O13" s="553"/>
      <c r="P13" s="557"/>
      <c r="Q13" s="558"/>
      <c r="R13" s="199"/>
      <c r="S13" s="551"/>
      <c r="T13" s="557"/>
      <c r="U13" s="557"/>
      <c r="V13" s="553"/>
      <c r="W13" s="270"/>
      <c r="X13" s="555"/>
      <c r="Y13" s="553"/>
      <c r="Z13" s="557"/>
      <c r="AA13" s="558"/>
      <c r="AB13" s="199"/>
      <c r="AC13" s="541"/>
      <c r="AD13" s="273"/>
      <c r="AE13" s="544"/>
      <c r="AF13" s="544"/>
      <c r="AG13" s="561"/>
      <c r="AH13" s="564"/>
      <c r="AI13" s="531"/>
      <c r="AJ13" s="541"/>
      <c r="AK13" s="544"/>
      <c r="AL13" s="561"/>
      <c r="AM13" s="564"/>
      <c r="AN13" s="199"/>
      <c r="AO13" s="568"/>
      <c r="AP13" s="570"/>
      <c r="AQ13" s="557"/>
      <c r="AR13" s="573"/>
      <c r="AS13" s="249"/>
      <c r="AT13" s="347">
        <f>COUNTA(AT14:AT274)</f>
        <v>0</v>
      </c>
      <c r="AU13" s="348">
        <f>COUNTA(AU88:AU274)</f>
        <v>0</v>
      </c>
      <c r="AV13" s="348">
        <f>COUNTA(AV88:AV274)</f>
        <v>0</v>
      </c>
      <c r="AW13" s="348">
        <f>COUNTA(AW88:AW274)</f>
        <v>0</v>
      </c>
      <c r="AX13" s="561"/>
      <c r="AY13" s="577"/>
      <c r="AZ13" s="531"/>
      <c r="BA13" s="130" t="s">
        <v>35</v>
      </c>
      <c r="BB13" s="131" t="s">
        <v>26</v>
      </c>
      <c r="BC13" s="130" t="s">
        <v>35</v>
      </c>
      <c r="BD13" s="131" t="s">
        <v>26</v>
      </c>
      <c r="BE13" s="130" t="s">
        <v>35</v>
      </c>
      <c r="BF13" s="131" t="s">
        <v>26</v>
      </c>
      <c r="BG13" s="130" t="s">
        <v>35</v>
      </c>
      <c r="BH13" s="131" t="s">
        <v>26</v>
      </c>
      <c r="BI13" s="132"/>
      <c r="BJ13" s="127"/>
      <c r="BK13" s="127"/>
      <c r="BL13" s="127"/>
      <c r="BM13" s="465"/>
    </row>
    <row r="14" spans="1:65" ht="15" customHeight="1" x14ac:dyDescent="0.25">
      <c r="A14" s="87"/>
      <c r="B14" s="87"/>
      <c r="C14" s="248"/>
      <c r="D14" s="248"/>
      <c r="E14" s="248"/>
      <c r="F14" s="317"/>
      <c r="G14" s="248"/>
      <c r="H14" s="253"/>
      <c r="I14" s="325"/>
      <c r="J14" s="85"/>
      <c r="K14" s="336"/>
      <c r="L14" s="85"/>
      <c r="M14" s="85"/>
      <c r="N14" s="365"/>
      <c r="O14" s="364"/>
      <c r="P14" s="364"/>
      <c r="Q14" s="366"/>
      <c r="R14" s="328"/>
      <c r="S14" s="325"/>
      <c r="T14" s="85"/>
      <c r="U14" s="336"/>
      <c r="V14" s="85"/>
      <c r="W14" s="85"/>
      <c r="X14" s="326"/>
      <c r="Y14" s="85"/>
      <c r="Z14" s="85"/>
      <c r="AA14" s="338"/>
      <c r="AB14" s="328"/>
      <c r="AC14" s="85"/>
      <c r="AD14" s="85" t="str">
        <f t="shared" ref="AD14:AD75" si="0">IF(ISBLANK(C14),"",(IF(AC14&lt;&gt;"NA",1,0)))</f>
        <v/>
      </c>
      <c r="AE14" s="326"/>
      <c r="AF14" s="85"/>
      <c r="AG14" s="85"/>
      <c r="AH14" s="338"/>
      <c r="AI14" s="328"/>
      <c r="AJ14" s="325"/>
      <c r="AK14" s="85"/>
      <c r="AL14" s="85"/>
      <c r="AM14" s="338"/>
      <c r="AN14" s="328"/>
      <c r="AO14" s="344"/>
      <c r="AP14" s="345"/>
      <c r="AQ14" s="92"/>
      <c r="AR14" s="338"/>
      <c r="AS14" s="328"/>
      <c r="AT14" s="349"/>
      <c r="AU14" s="350"/>
      <c r="AV14" s="350"/>
      <c r="AW14" s="350"/>
      <c r="AX14" s="92"/>
      <c r="AY14" s="338"/>
      <c r="AZ14" s="328"/>
      <c r="BA14" s="329"/>
      <c r="BB14" s="85"/>
      <c r="BC14" s="330"/>
      <c r="BD14" s="85"/>
      <c r="BE14" s="330"/>
      <c r="BF14" s="85"/>
      <c r="BG14" s="330"/>
      <c r="BH14" s="327"/>
      <c r="BI14" s="340"/>
      <c r="BJ14" s="336"/>
      <c r="BK14" s="336"/>
      <c r="BL14" s="336"/>
      <c r="BM14" s="381"/>
    </row>
    <row r="15" spans="1:65" s="373" customFormat="1" ht="15" customHeight="1" x14ac:dyDescent="0.25">
      <c r="A15" s="87"/>
      <c r="B15" s="87"/>
      <c r="C15" s="356"/>
      <c r="D15" s="317"/>
      <c r="E15" s="374"/>
      <c r="F15" s="317"/>
      <c r="G15" s="248"/>
      <c r="H15" s="253"/>
      <c r="I15" s="325"/>
      <c r="J15" s="85"/>
      <c r="K15" s="336"/>
      <c r="L15" s="85"/>
      <c r="M15" s="85"/>
      <c r="N15" s="326"/>
      <c r="O15" s="85"/>
      <c r="P15" s="85"/>
      <c r="Q15" s="338"/>
      <c r="R15" s="328"/>
      <c r="S15" s="325"/>
      <c r="T15" s="85"/>
      <c r="U15" s="336"/>
      <c r="V15" s="85"/>
      <c r="W15" s="85"/>
      <c r="X15" s="326"/>
      <c r="Y15" s="85"/>
      <c r="Z15" s="85"/>
      <c r="AA15" s="338"/>
      <c r="AB15" s="328"/>
      <c r="AC15" s="85"/>
      <c r="AD15" s="85" t="str">
        <f t="shared" si="0"/>
        <v/>
      </c>
      <c r="AE15" s="326"/>
      <c r="AF15" s="85"/>
      <c r="AG15" s="85"/>
      <c r="AH15" s="338"/>
      <c r="AI15" s="328"/>
      <c r="AJ15" s="325"/>
      <c r="AK15" s="85"/>
      <c r="AL15" s="85"/>
      <c r="AM15" s="338"/>
      <c r="AN15" s="328"/>
      <c r="AO15" s="344"/>
      <c r="AP15" s="345"/>
      <c r="AQ15" s="92"/>
      <c r="AR15" s="338"/>
      <c r="AS15" s="328"/>
      <c r="AT15" s="349"/>
      <c r="AU15" s="350"/>
      <c r="AV15" s="350"/>
      <c r="AW15" s="350"/>
      <c r="AX15" s="92"/>
      <c r="AY15" s="338"/>
      <c r="AZ15" s="328"/>
      <c r="BA15" s="329"/>
      <c r="BB15" s="85"/>
      <c r="BC15" s="330"/>
      <c r="BD15" s="85"/>
      <c r="BE15" s="330"/>
      <c r="BF15" s="85"/>
      <c r="BG15" s="330"/>
      <c r="BH15" s="327"/>
      <c r="BI15" s="340"/>
      <c r="BJ15" s="336"/>
      <c r="BK15" s="336"/>
      <c r="BL15" s="336"/>
      <c r="BM15" s="381"/>
    </row>
    <row r="16" spans="1:65" s="367" customFormat="1" ht="15" customHeight="1" x14ac:dyDescent="0.25">
      <c r="A16" s="87"/>
      <c r="B16" s="87"/>
      <c r="C16" s="356"/>
      <c r="D16" s="317"/>
      <c r="E16" s="248"/>
      <c r="F16" s="317"/>
      <c r="G16" s="248"/>
      <c r="H16" s="253"/>
      <c r="I16" s="325"/>
      <c r="J16" s="85"/>
      <c r="K16" s="336"/>
      <c r="L16" s="85"/>
      <c r="M16" s="85"/>
      <c r="N16" s="326"/>
      <c r="O16" s="85"/>
      <c r="P16" s="85"/>
      <c r="Q16" s="338"/>
      <c r="R16" s="328"/>
      <c r="S16" s="325"/>
      <c r="T16" s="85"/>
      <c r="U16" s="336"/>
      <c r="V16" s="85"/>
      <c r="W16" s="85"/>
      <c r="X16" s="326"/>
      <c r="Y16" s="85"/>
      <c r="Z16" s="85"/>
      <c r="AA16" s="338"/>
      <c r="AB16" s="328"/>
      <c r="AC16" s="85"/>
      <c r="AD16" s="85" t="str">
        <f t="shared" ref="AD16" si="1">IF(ISBLANK(C16),"",(IF(AC16&lt;&gt;"NA",1,0)))</f>
        <v/>
      </c>
      <c r="AE16" s="326"/>
      <c r="AF16" s="85"/>
      <c r="AG16" s="85"/>
      <c r="AH16" s="338"/>
      <c r="AI16" s="328"/>
      <c r="AJ16" s="325"/>
      <c r="AK16" s="85"/>
      <c r="AL16" s="85"/>
      <c r="AM16" s="338"/>
      <c r="AN16" s="328"/>
      <c r="AO16" s="344"/>
      <c r="AP16" s="345"/>
      <c r="AQ16" s="92"/>
      <c r="AR16" s="338"/>
      <c r="AS16" s="328"/>
      <c r="AT16" s="349"/>
      <c r="AU16" s="350"/>
      <c r="AV16" s="350"/>
      <c r="AW16" s="350"/>
      <c r="AX16" s="92"/>
      <c r="AY16" s="338"/>
      <c r="AZ16" s="328"/>
      <c r="BA16" s="329"/>
      <c r="BB16" s="85"/>
      <c r="BC16" s="330"/>
      <c r="BD16" s="85"/>
      <c r="BE16" s="330"/>
      <c r="BF16" s="85"/>
      <c r="BG16" s="330"/>
      <c r="BH16" s="327"/>
      <c r="BI16" s="340"/>
      <c r="BJ16" s="336"/>
      <c r="BK16" s="336"/>
      <c r="BL16" s="336"/>
      <c r="BM16" s="381"/>
    </row>
    <row r="17" spans="1:65" ht="15" customHeight="1" x14ac:dyDescent="0.25">
      <c r="A17" s="87"/>
      <c r="B17" s="87"/>
      <c r="C17" s="356"/>
      <c r="D17" s="317"/>
      <c r="E17" s="248"/>
      <c r="F17" s="317"/>
      <c r="G17" s="248"/>
      <c r="H17" s="253"/>
      <c r="I17" s="325"/>
      <c r="J17" s="85"/>
      <c r="K17" s="336"/>
      <c r="L17" s="85"/>
      <c r="M17" s="85"/>
      <c r="N17" s="326"/>
      <c r="O17" s="85"/>
      <c r="P17" s="85"/>
      <c r="Q17" s="338"/>
      <c r="R17" s="328"/>
      <c r="S17" s="325"/>
      <c r="T17" s="85"/>
      <c r="U17" s="336"/>
      <c r="V17" s="85"/>
      <c r="W17" s="85"/>
      <c r="X17" s="326"/>
      <c r="Y17" s="85"/>
      <c r="Z17" s="85"/>
      <c r="AA17" s="338"/>
      <c r="AB17" s="328"/>
      <c r="AC17" s="85"/>
      <c r="AD17" s="85" t="str">
        <f t="shared" si="0"/>
        <v/>
      </c>
      <c r="AE17" s="326"/>
      <c r="AF17" s="85"/>
      <c r="AG17" s="85"/>
      <c r="AH17" s="338"/>
      <c r="AI17" s="328"/>
      <c r="AJ17" s="325"/>
      <c r="AK17" s="85"/>
      <c r="AL17" s="85"/>
      <c r="AM17" s="338"/>
      <c r="AN17" s="328"/>
      <c r="AO17" s="344"/>
      <c r="AP17" s="345"/>
      <c r="AQ17" s="92"/>
      <c r="AR17" s="338"/>
      <c r="AS17" s="328"/>
      <c r="AT17" s="349"/>
      <c r="AU17" s="350"/>
      <c r="AV17" s="350"/>
      <c r="AW17" s="350"/>
      <c r="AX17" s="92"/>
      <c r="AY17" s="338"/>
      <c r="AZ17" s="328"/>
      <c r="BA17" s="329"/>
      <c r="BB17" s="85"/>
      <c r="BC17" s="330"/>
      <c r="BD17" s="85"/>
      <c r="BE17" s="330"/>
      <c r="BF17" s="85"/>
      <c r="BG17" s="330"/>
      <c r="BH17" s="327"/>
      <c r="BI17" s="340"/>
      <c r="BJ17" s="336"/>
      <c r="BK17" s="336"/>
      <c r="BL17" s="336"/>
      <c r="BM17" s="381"/>
    </row>
    <row r="18" spans="1:65" x14ac:dyDescent="0.25">
      <c r="A18" s="87"/>
      <c r="B18" s="87"/>
      <c r="C18" s="356"/>
      <c r="D18" s="317"/>
      <c r="E18" s="248"/>
      <c r="F18" s="317"/>
      <c r="G18" s="248"/>
      <c r="H18" s="253"/>
      <c r="I18" s="325"/>
      <c r="J18" s="85"/>
      <c r="K18" s="336"/>
      <c r="L18" s="85"/>
      <c r="M18" s="85"/>
      <c r="N18" s="326"/>
      <c r="O18" s="85"/>
      <c r="P18" s="85"/>
      <c r="Q18" s="338"/>
      <c r="R18" s="328"/>
      <c r="S18" s="325"/>
      <c r="T18" s="85"/>
      <c r="U18" s="336"/>
      <c r="V18" s="85"/>
      <c r="W18" s="85"/>
      <c r="X18" s="326"/>
      <c r="Y18" s="85"/>
      <c r="Z18" s="85"/>
      <c r="AA18" s="338"/>
      <c r="AB18" s="328"/>
      <c r="AC18" s="85"/>
      <c r="AD18" s="85"/>
      <c r="AE18" s="326"/>
      <c r="AF18" s="85"/>
      <c r="AG18" s="85"/>
      <c r="AH18" s="338"/>
      <c r="AI18" s="328"/>
      <c r="AJ18" s="325"/>
      <c r="AK18" s="85"/>
      <c r="AL18" s="85"/>
      <c r="AM18" s="338"/>
      <c r="AN18" s="328"/>
      <c r="AO18" s="344"/>
      <c r="AP18" s="345"/>
      <c r="AQ18" s="92"/>
      <c r="AR18" s="338"/>
      <c r="AS18" s="328"/>
      <c r="AT18" s="349"/>
      <c r="AU18" s="350"/>
      <c r="AV18" s="350"/>
      <c r="AW18" s="350"/>
      <c r="AX18" s="92"/>
      <c r="AY18" s="338"/>
      <c r="AZ18" s="328"/>
      <c r="BA18" s="329"/>
      <c r="BB18" s="85"/>
      <c r="BC18" s="330"/>
      <c r="BD18" s="85"/>
      <c r="BE18" s="330"/>
      <c r="BF18" s="85"/>
      <c r="BG18" s="330"/>
      <c r="BH18" s="327"/>
      <c r="BI18" s="340"/>
      <c r="BJ18" s="336"/>
      <c r="BK18" s="336"/>
      <c r="BL18" s="336"/>
      <c r="BM18" s="381"/>
    </row>
    <row r="19" spans="1:65" x14ac:dyDescent="0.25">
      <c r="A19" s="87"/>
      <c r="B19" s="87"/>
      <c r="C19" s="356"/>
      <c r="D19" s="317"/>
      <c r="E19" s="248"/>
      <c r="F19" s="317"/>
      <c r="G19" s="248"/>
      <c r="H19" s="253"/>
      <c r="I19" s="325"/>
      <c r="J19" s="85"/>
      <c r="K19" s="336"/>
      <c r="L19" s="85"/>
      <c r="M19" s="85"/>
      <c r="N19" s="365"/>
      <c r="O19" s="364"/>
      <c r="P19" s="364"/>
      <c r="Q19" s="366"/>
      <c r="R19" s="328"/>
      <c r="S19" s="325"/>
      <c r="T19" s="85"/>
      <c r="U19" s="336"/>
      <c r="V19" s="85"/>
      <c r="W19" s="85"/>
      <c r="X19" s="326"/>
      <c r="Y19" s="85"/>
      <c r="Z19" s="85"/>
      <c r="AA19" s="338"/>
      <c r="AB19" s="328"/>
      <c r="AC19" s="85"/>
      <c r="AD19" s="85" t="str">
        <f t="shared" si="0"/>
        <v/>
      </c>
      <c r="AE19" s="326"/>
      <c r="AF19" s="85"/>
      <c r="AG19" s="85"/>
      <c r="AH19" s="338"/>
      <c r="AI19" s="328"/>
      <c r="AJ19" s="325"/>
      <c r="AK19" s="85"/>
      <c r="AL19" s="85"/>
      <c r="AM19" s="338"/>
      <c r="AN19" s="328"/>
      <c r="AO19" s="344"/>
      <c r="AP19" s="345"/>
      <c r="AQ19" s="92"/>
      <c r="AR19" s="338"/>
      <c r="AS19" s="328"/>
      <c r="AT19" s="349"/>
      <c r="AU19" s="350"/>
      <c r="AV19" s="350"/>
      <c r="AW19" s="350"/>
      <c r="AX19" s="92"/>
      <c r="AY19" s="338"/>
      <c r="AZ19" s="328"/>
      <c r="BA19" s="329"/>
      <c r="BB19" s="85"/>
      <c r="BC19" s="330"/>
      <c r="BD19" s="85"/>
      <c r="BE19" s="330"/>
      <c r="BF19" s="85"/>
      <c r="BG19" s="330"/>
      <c r="BH19" s="327"/>
      <c r="BI19" s="340"/>
      <c r="BJ19" s="336"/>
      <c r="BK19" s="336"/>
      <c r="BL19" s="336"/>
      <c r="BM19" s="381"/>
    </row>
    <row r="20" spans="1:65" x14ac:dyDescent="0.25">
      <c r="A20" s="87"/>
      <c r="B20" s="87"/>
      <c r="C20" s="356"/>
      <c r="D20" s="317"/>
      <c r="E20" s="248"/>
      <c r="F20" s="317"/>
      <c r="G20" s="248"/>
      <c r="H20" s="253"/>
      <c r="I20" s="325"/>
      <c r="J20" s="85"/>
      <c r="K20" s="336"/>
      <c r="L20" s="85"/>
      <c r="M20" s="85"/>
      <c r="N20" s="365"/>
      <c r="O20" s="364"/>
      <c r="P20" s="364"/>
      <c r="Q20" s="366"/>
      <c r="R20" s="328"/>
      <c r="S20" s="325"/>
      <c r="T20" s="85"/>
      <c r="U20" s="336"/>
      <c r="V20" s="85"/>
      <c r="W20" s="85"/>
      <c r="X20" s="326"/>
      <c r="Y20" s="85"/>
      <c r="Z20" s="85"/>
      <c r="AA20" s="338"/>
      <c r="AB20" s="328"/>
      <c r="AC20" s="85"/>
      <c r="AD20" s="85" t="str">
        <f t="shared" si="0"/>
        <v/>
      </c>
      <c r="AE20" s="326"/>
      <c r="AF20" s="85"/>
      <c r="AG20" s="85"/>
      <c r="AH20" s="338"/>
      <c r="AI20" s="328"/>
      <c r="AJ20" s="325"/>
      <c r="AK20" s="85"/>
      <c r="AL20" s="85"/>
      <c r="AM20" s="338"/>
      <c r="AN20" s="328"/>
      <c r="AO20" s="344"/>
      <c r="AP20" s="345"/>
      <c r="AQ20" s="92"/>
      <c r="AR20" s="338"/>
      <c r="AS20" s="328"/>
      <c r="AT20" s="349"/>
      <c r="AU20" s="350"/>
      <c r="AV20" s="350"/>
      <c r="AW20" s="350"/>
      <c r="AX20" s="92"/>
      <c r="AY20" s="338"/>
      <c r="AZ20" s="328"/>
      <c r="BA20" s="329"/>
      <c r="BB20" s="85"/>
      <c r="BC20" s="330"/>
      <c r="BD20" s="85"/>
      <c r="BE20" s="330"/>
      <c r="BF20" s="85"/>
      <c r="BG20" s="330"/>
      <c r="BH20" s="327"/>
      <c r="BI20" s="340"/>
      <c r="BJ20" s="336"/>
      <c r="BK20" s="336"/>
      <c r="BL20" s="336"/>
      <c r="BM20" s="381"/>
    </row>
    <row r="21" spans="1:65" x14ac:dyDescent="0.25">
      <c r="A21" s="87"/>
      <c r="B21" s="87"/>
      <c r="C21" s="356"/>
      <c r="D21" s="317"/>
      <c r="E21" s="248"/>
      <c r="F21" s="317"/>
      <c r="G21" s="248"/>
      <c r="H21" s="253"/>
      <c r="I21" s="325"/>
      <c r="J21" s="85"/>
      <c r="K21" s="336"/>
      <c r="L21" s="85"/>
      <c r="M21" s="85"/>
      <c r="N21" s="365"/>
      <c r="O21" s="364"/>
      <c r="P21" s="364"/>
      <c r="Q21" s="366"/>
      <c r="R21" s="328"/>
      <c r="S21" s="325"/>
      <c r="T21" s="85"/>
      <c r="U21" s="336"/>
      <c r="V21" s="85"/>
      <c r="W21" s="85"/>
      <c r="X21" s="326"/>
      <c r="Y21" s="85"/>
      <c r="Z21" s="85"/>
      <c r="AA21" s="338"/>
      <c r="AB21" s="328"/>
      <c r="AC21" s="85"/>
      <c r="AD21" s="85" t="str">
        <f t="shared" si="0"/>
        <v/>
      </c>
      <c r="AE21" s="326"/>
      <c r="AF21" s="85"/>
      <c r="AG21" s="85"/>
      <c r="AH21" s="338"/>
      <c r="AI21" s="328"/>
      <c r="AJ21" s="325"/>
      <c r="AK21" s="85"/>
      <c r="AL21" s="85"/>
      <c r="AM21" s="338"/>
      <c r="AN21" s="328"/>
      <c r="AO21" s="344"/>
      <c r="AP21" s="345"/>
      <c r="AQ21" s="92"/>
      <c r="AR21" s="338"/>
      <c r="AS21" s="328"/>
      <c r="AT21" s="349"/>
      <c r="AU21" s="350"/>
      <c r="AV21" s="350"/>
      <c r="AW21" s="350"/>
      <c r="AX21" s="92"/>
      <c r="AY21" s="338"/>
      <c r="AZ21" s="328"/>
      <c r="BA21" s="329"/>
      <c r="BB21" s="85"/>
      <c r="BC21" s="330"/>
      <c r="BD21" s="85"/>
      <c r="BE21" s="330"/>
      <c r="BF21" s="85"/>
      <c r="BG21" s="330"/>
      <c r="BH21" s="327"/>
      <c r="BI21" s="340"/>
      <c r="BJ21" s="336"/>
      <c r="BK21" s="336"/>
      <c r="BL21" s="336"/>
      <c r="BM21" s="381"/>
    </row>
    <row r="22" spans="1:65" x14ac:dyDescent="0.25">
      <c r="A22" s="87"/>
      <c r="B22" s="87"/>
      <c r="C22" s="356"/>
      <c r="D22" s="317"/>
      <c r="E22" s="248"/>
      <c r="F22" s="317"/>
      <c r="G22" s="248"/>
      <c r="H22" s="253"/>
      <c r="I22" s="325"/>
      <c r="J22" s="85"/>
      <c r="K22" s="336"/>
      <c r="L22" s="85"/>
      <c r="M22" s="85"/>
      <c r="N22" s="365"/>
      <c r="O22" s="364"/>
      <c r="P22" s="364"/>
      <c r="Q22" s="366"/>
      <c r="R22" s="328"/>
      <c r="S22" s="325"/>
      <c r="T22" s="85"/>
      <c r="U22" s="336"/>
      <c r="V22" s="85"/>
      <c r="W22" s="85"/>
      <c r="X22" s="326"/>
      <c r="Y22" s="85"/>
      <c r="Z22" s="85"/>
      <c r="AA22" s="338"/>
      <c r="AB22" s="328"/>
      <c r="AC22" s="85"/>
      <c r="AD22" s="85" t="str">
        <f t="shared" si="0"/>
        <v/>
      </c>
      <c r="AE22" s="326"/>
      <c r="AF22" s="85"/>
      <c r="AG22" s="85"/>
      <c r="AH22" s="338"/>
      <c r="AI22" s="328"/>
      <c r="AJ22" s="325"/>
      <c r="AK22" s="85"/>
      <c r="AL22" s="85"/>
      <c r="AM22" s="338"/>
      <c r="AN22" s="328"/>
      <c r="AO22" s="344"/>
      <c r="AP22" s="345"/>
      <c r="AQ22" s="92"/>
      <c r="AR22" s="338"/>
      <c r="AS22" s="328"/>
      <c r="AT22" s="349"/>
      <c r="AU22" s="350"/>
      <c r="AV22" s="350"/>
      <c r="AW22" s="350"/>
      <c r="AX22" s="92"/>
      <c r="AY22" s="338"/>
      <c r="AZ22" s="328"/>
      <c r="BA22" s="329"/>
      <c r="BB22" s="85"/>
      <c r="BC22" s="330"/>
      <c r="BD22" s="85"/>
      <c r="BE22" s="330"/>
      <c r="BF22" s="85"/>
      <c r="BG22" s="330"/>
      <c r="BH22" s="327"/>
      <c r="BI22" s="340"/>
      <c r="BJ22" s="336"/>
      <c r="BK22" s="336"/>
      <c r="BL22" s="336"/>
      <c r="BM22" s="381"/>
    </row>
    <row r="23" spans="1:65" x14ac:dyDescent="0.25">
      <c r="A23" s="87"/>
      <c r="B23" s="87"/>
      <c r="C23" s="356"/>
      <c r="D23" s="317"/>
      <c r="E23" s="248"/>
      <c r="F23" s="317"/>
      <c r="G23" s="248"/>
      <c r="H23" s="253"/>
      <c r="I23" s="325"/>
      <c r="J23" s="85"/>
      <c r="K23" s="336"/>
      <c r="L23" s="85"/>
      <c r="M23" s="85"/>
      <c r="N23" s="365"/>
      <c r="O23" s="364"/>
      <c r="P23" s="364"/>
      <c r="Q23" s="366"/>
      <c r="R23" s="328"/>
      <c r="S23" s="325"/>
      <c r="T23" s="85"/>
      <c r="U23" s="336"/>
      <c r="V23" s="85"/>
      <c r="W23" s="85"/>
      <c r="X23" s="326"/>
      <c r="Y23" s="85"/>
      <c r="Z23" s="85"/>
      <c r="AA23" s="338"/>
      <c r="AB23" s="328"/>
      <c r="AC23" s="85"/>
      <c r="AD23" s="85" t="str">
        <f t="shared" si="0"/>
        <v/>
      </c>
      <c r="AE23" s="326"/>
      <c r="AF23" s="85"/>
      <c r="AG23" s="85"/>
      <c r="AH23" s="338"/>
      <c r="AI23" s="328"/>
      <c r="AJ23" s="325"/>
      <c r="AK23" s="85"/>
      <c r="AL23" s="85"/>
      <c r="AM23" s="338"/>
      <c r="AN23" s="328"/>
      <c r="AO23" s="344"/>
      <c r="AP23" s="345"/>
      <c r="AQ23" s="92"/>
      <c r="AR23" s="338"/>
      <c r="AS23" s="328"/>
      <c r="AT23" s="349"/>
      <c r="AU23" s="350"/>
      <c r="AV23" s="350"/>
      <c r="AW23" s="350"/>
      <c r="AX23" s="92"/>
      <c r="AY23" s="338"/>
      <c r="AZ23" s="328"/>
      <c r="BA23" s="329"/>
      <c r="BB23" s="85"/>
      <c r="BC23" s="330"/>
      <c r="BD23" s="85"/>
      <c r="BE23" s="330"/>
      <c r="BF23" s="85"/>
      <c r="BG23" s="330"/>
      <c r="BH23" s="327"/>
      <c r="BI23" s="340"/>
      <c r="BJ23" s="336"/>
      <c r="BK23" s="336"/>
      <c r="BL23" s="336"/>
      <c r="BM23" s="381"/>
    </row>
    <row r="24" spans="1:65" x14ac:dyDescent="0.25">
      <c r="A24" s="87"/>
      <c r="B24" s="87"/>
      <c r="C24" s="356"/>
      <c r="D24" s="317"/>
      <c r="E24" s="248"/>
      <c r="F24" s="317"/>
      <c r="G24" s="248"/>
      <c r="H24" s="253"/>
      <c r="I24" s="325"/>
      <c r="J24" s="85"/>
      <c r="K24" s="336"/>
      <c r="L24" s="85"/>
      <c r="M24" s="85"/>
      <c r="N24" s="365"/>
      <c r="O24" s="364"/>
      <c r="P24" s="364"/>
      <c r="Q24" s="366"/>
      <c r="R24" s="328"/>
      <c r="S24" s="325"/>
      <c r="T24" s="85"/>
      <c r="U24" s="336"/>
      <c r="V24" s="85"/>
      <c r="W24" s="85"/>
      <c r="X24" s="326"/>
      <c r="Y24" s="85"/>
      <c r="Z24" s="85"/>
      <c r="AA24" s="338"/>
      <c r="AB24" s="328"/>
      <c r="AC24" s="85"/>
      <c r="AD24" s="85" t="str">
        <f t="shared" si="0"/>
        <v/>
      </c>
      <c r="AE24" s="326"/>
      <c r="AF24" s="85"/>
      <c r="AG24" s="85"/>
      <c r="AH24" s="338"/>
      <c r="AI24" s="328"/>
      <c r="AJ24" s="325"/>
      <c r="AK24" s="85"/>
      <c r="AL24" s="85"/>
      <c r="AM24" s="338"/>
      <c r="AN24" s="328"/>
      <c r="AO24" s="344"/>
      <c r="AP24" s="345"/>
      <c r="AQ24" s="92"/>
      <c r="AR24" s="338"/>
      <c r="AS24" s="328"/>
      <c r="AT24" s="349"/>
      <c r="AU24" s="350"/>
      <c r="AV24" s="350"/>
      <c r="AW24" s="350"/>
      <c r="AX24" s="92"/>
      <c r="AY24" s="338"/>
      <c r="AZ24" s="328"/>
      <c r="BA24" s="329"/>
      <c r="BB24" s="85"/>
      <c r="BC24" s="330"/>
      <c r="BD24" s="85"/>
      <c r="BE24" s="330"/>
      <c r="BF24" s="85"/>
      <c r="BG24" s="330"/>
      <c r="BH24" s="327"/>
      <c r="BI24" s="340"/>
      <c r="BJ24" s="336"/>
      <c r="BK24" s="336"/>
      <c r="BL24" s="336"/>
      <c r="BM24" s="381"/>
    </row>
    <row r="25" spans="1:65" x14ac:dyDescent="0.25">
      <c r="A25" s="87"/>
      <c r="B25" s="87"/>
      <c r="C25" s="356"/>
      <c r="D25" s="317"/>
      <c r="E25" s="248"/>
      <c r="F25" s="317"/>
      <c r="G25" s="248"/>
      <c r="H25" s="253"/>
      <c r="I25" s="325"/>
      <c r="J25" s="85"/>
      <c r="K25" s="336"/>
      <c r="L25" s="85"/>
      <c r="M25" s="85"/>
      <c r="N25" s="365"/>
      <c r="O25" s="364"/>
      <c r="P25" s="364"/>
      <c r="Q25" s="366"/>
      <c r="R25" s="328"/>
      <c r="S25" s="325"/>
      <c r="T25" s="85"/>
      <c r="U25" s="336"/>
      <c r="V25" s="85"/>
      <c r="W25" s="85"/>
      <c r="X25" s="326"/>
      <c r="Y25" s="85"/>
      <c r="Z25" s="85"/>
      <c r="AA25" s="338"/>
      <c r="AB25" s="328"/>
      <c r="AC25" s="85"/>
      <c r="AD25" s="85" t="str">
        <f t="shared" si="0"/>
        <v/>
      </c>
      <c r="AE25" s="326"/>
      <c r="AF25" s="85"/>
      <c r="AG25" s="85"/>
      <c r="AH25" s="338"/>
      <c r="AI25" s="328"/>
      <c r="AJ25" s="325"/>
      <c r="AK25" s="85"/>
      <c r="AL25" s="85"/>
      <c r="AM25" s="338"/>
      <c r="AN25" s="328"/>
      <c r="AO25" s="344"/>
      <c r="AP25" s="345"/>
      <c r="AQ25" s="92"/>
      <c r="AR25" s="338"/>
      <c r="AS25" s="328"/>
      <c r="AT25" s="349"/>
      <c r="AU25" s="350"/>
      <c r="AV25" s="350"/>
      <c r="AW25" s="350"/>
      <c r="AX25" s="92"/>
      <c r="AY25" s="338"/>
      <c r="AZ25" s="328"/>
      <c r="BA25" s="329"/>
      <c r="BB25" s="85"/>
      <c r="BC25" s="330"/>
      <c r="BD25" s="85"/>
      <c r="BE25" s="330"/>
      <c r="BF25" s="85"/>
      <c r="BG25" s="330"/>
      <c r="BH25" s="327"/>
      <c r="BI25" s="340"/>
      <c r="BJ25" s="336"/>
      <c r="BK25" s="336"/>
      <c r="BL25" s="336"/>
      <c r="BM25" s="381"/>
    </row>
    <row r="26" spans="1:65" x14ac:dyDescent="0.25">
      <c r="A26" s="87"/>
      <c r="B26" s="87"/>
      <c r="C26" s="356"/>
      <c r="D26" s="317"/>
      <c r="E26" s="248"/>
      <c r="F26" s="317"/>
      <c r="G26" s="248"/>
      <c r="H26" s="253"/>
      <c r="I26" s="325"/>
      <c r="J26" s="85"/>
      <c r="K26" s="336"/>
      <c r="L26" s="85"/>
      <c r="M26" s="85"/>
      <c r="N26" s="365"/>
      <c r="O26" s="364"/>
      <c r="P26" s="364"/>
      <c r="Q26" s="366"/>
      <c r="R26" s="328"/>
      <c r="S26" s="325"/>
      <c r="T26" s="85"/>
      <c r="U26" s="336"/>
      <c r="V26" s="85"/>
      <c r="W26" s="85"/>
      <c r="X26" s="326"/>
      <c r="Y26" s="85"/>
      <c r="Z26" s="85"/>
      <c r="AA26" s="338"/>
      <c r="AB26" s="328"/>
      <c r="AC26" s="85"/>
      <c r="AD26" s="85" t="str">
        <f t="shared" si="0"/>
        <v/>
      </c>
      <c r="AE26" s="326"/>
      <c r="AF26" s="85"/>
      <c r="AG26" s="85"/>
      <c r="AH26" s="338"/>
      <c r="AI26" s="328"/>
      <c r="AJ26" s="325"/>
      <c r="AK26" s="85"/>
      <c r="AL26" s="85"/>
      <c r="AM26" s="338"/>
      <c r="AN26" s="328"/>
      <c r="AO26" s="344"/>
      <c r="AP26" s="345"/>
      <c r="AQ26" s="92"/>
      <c r="AR26" s="338"/>
      <c r="AS26" s="328"/>
      <c r="AT26" s="349"/>
      <c r="AU26" s="350"/>
      <c r="AV26" s="350"/>
      <c r="AW26" s="350"/>
      <c r="AX26" s="92"/>
      <c r="AY26" s="338"/>
      <c r="AZ26" s="328"/>
      <c r="BA26" s="329"/>
      <c r="BB26" s="85"/>
      <c r="BC26" s="330"/>
      <c r="BD26" s="85"/>
      <c r="BE26" s="330"/>
      <c r="BF26" s="85"/>
      <c r="BG26" s="330"/>
      <c r="BH26" s="327"/>
      <c r="BI26" s="340"/>
      <c r="BJ26" s="336"/>
      <c r="BK26" s="336"/>
      <c r="BL26" s="336"/>
      <c r="BM26" s="381"/>
    </row>
    <row r="27" spans="1:65" x14ac:dyDescent="0.25">
      <c r="A27" s="87"/>
      <c r="B27" s="87"/>
      <c r="C27" s="356"/>
      <c r="D27" s="317"/>
      <c r="E27" s="248"/>
      <c r="F27" s="317"/>
      <c r="G27" s="248"/>
      <c r="H27" s="253"/>
      <c r="I27" s="325"/>
      <c r="J27" s="85"/>
      <c r="K27" s="336"/>
      <c r="L27" s="85"/>
      <c r="M27" s="85"/>
      <c r="N27" s="365"/>
      <c r="O27" s="364"/>
      <c r="P27" s="364"/>
      <c r="Q27" s="366"/>
      <c r="R27" s="328"/>
      <c r="S27" s="325"/>
      <c r="T27" s="85"/>
      <c r="U27" s="336"/>
      <c r="V27" s="85"/>
      <c r="W27" s="85"/>
      <c r="X27" s="326"/>
      <c r="Y27" s="85"/>
      <c r="Z27" s="85"/>
      <c r="AA27" s="338"/>
      <c r="AB27" s="328"/>
      <c r="AC27" s="85"/>
      <c r="AD27" s="85" t="str">
        <f t="shared" si="0"/>
        <v/>
      </c>
      <c r="AE27" s="326"/>
      <c r="AF27" s="85"/>
      <c r="AG27" s="85"/>
      <c r="AH27" s="338"/>
      <c r="AI27" s="328"/>
      <c r="AJ27" s="325"/>
      <c r="AK27" s="85"/>
      <c r="AL27" s="85"/>
      <c r="AM27" s="338"/>
      <c r="AN27" s="328"/>
      <c r="AO27" s="344"/>
      <c r="AP27" s="345"/>
      <c r="AQ27" s="92"/>
      <c r="AR27" s="338"/>
      <c r="AS27" s="328"/>
      <c r="AT27" s="349"/>
      <c r="AU27" s="350"/>
      <c r="AV27" s="350"/>
      <c r="AW27" s="350"/>
      <c r="AX27" s="92"/>
      <c r="AY27" s="338"/>
      <c r="AZ27" s="328"/>
      <c r="BA27" s="329"/>
      <c r="BB27" s="85"/>
      <c r="BC27" s="330"/>
      <c r="BD27" s="85"/>
      <c r="BE27" s="330"/>
      <c r="BF27" s="85"/>
      <c r="BG27" s="330"/>
      <c r="BH27" s="327"/>
      <c r="BI27" s="340"/>
      <c r="BJ27" s="336"/>
      <c r="BK27" s="336"/>
      <c r="BL27" s="336"/>
      <c r="BM27" s="381"/>
    </row>
    <row r="28" spans="1:65" ht="14.25" customHeight="1" x14ac:dyDescent="0.25">
      <c r="A28" s="87"/>
      <c r="B28" s="87"/>
      <c r="C28" s="356"/>
      <c r="D28" s="317"/>
      <c r="E28" s="248"/>
      <c r="F28" s="317"/>
      <c r="G28" s="248"/>
      <c r="H28" s="253"/>
      <c r="I28" s="325"/>
      <c r="J28" s="85"/>
      <c r="K28" s="336"/>
      <c r="L28" s="85"/>
      <c r="M28" s="85"/>
      <c r="N28" s="365"/>
      <c r="O28" s="364"/>
      <c r="P28" s="364"/>
      <c r="Q28" s="366"/>
      <c r="R28" s="328"/>
      <c r="S28" s="325"/>
      <c r="T28" s="85"/>
      <c r="U28" s="336"/>
      <c r="V28" s="85"/>
      <c r="W28" s="85"/>
      <c r="X28" s="326"/>
      <c r="Y28" s="85"/>
      <c r="Z28" s="85"/>
      <c r="AA28" s="338"/>
      <c r="AB28" s="328"/>
      <c r="AC28" s="85"/>
      <c r="AD28" s="85" t="str">
        <f t="shared" si="0"/>
        <v/>
      </c>
      <c r="AE28" s="326"/>
      <c r="AF28" s="85"/>
      <c r="AG28" s="85"/>
      <c r="AH28" s="338"/>
      <c r="AI28" s="328"/>
      <c r="AJ28" s="325"/>
      <c r="AK28" s="85"/>
      <c r="AL28" s="85"/>
      <c r="AM28" s="338"/>
      <c r="AN28" s="328"/>
      <c r="AO28" s="344"/>
      <c r="AP28" s="345"/>
      <c r="AQ28" s="92"/>
      <c r="AR28" s="338"/>
      <c r="AS28" s="328"/>
      <c r="AT28" s="349"/>
      <c r="AU28" s="350"/>
      <c r="AV28" s="350"/>
      <c r="AW28" s="350"/>
      <c r="AX28" s="92"/>
      <c r="AY28" s="338"/>
      <c r="AZ28" s="328"/>
      <c r="BA28" s="329"/>
      <c r="BB28" s="85"/>
      <c r="BC28" s="330"/>
      <c r="BD28" s="85"/>
      <c r="BE28" s="330"/>
      <c r="BF28" s="85"/>
      <c r="BG28" s="330"/>
      <c r="BH28" s="327"/>
      <c r="BI28" s="340"/>
      <c r="BJ28" s="336"/>
      <c r="BK28" s="336"/>
      <c r="BL28" s="336"/>
      <c r="BM28" s="381"/>
    </row>
    <row r="29" spans="1:65" x14ac:dyDescent="0.25">
      <c r="A29" s="87"/>
      <c r="B29" s="87"/>
      <c r="C29" s="356"/>
      <c r="D29" s="317"/>
      <c r="E29" s="248"/>
      <c r="F29" s="317"/>
      <c r="G29" s="248"/>
      <c r="H29" s="253"/>
      <c r="I29" s="325"/>
      <c r="J29" s="85"/>
      <c r="K29" s="336"/>
      <c r="L29" s="85"/>
      <c r="M29" s="85"/>
      <c r="N29" s="365"/>
      <c r="O29" s="364"/>
      <c r="P29" s="364"/>
      <c r="Q29" s="366"/>
      <c r="R29" s="328"/>
      <c r="S29" s="325"/>
      <c r="T29" s="85"/>
      <c r="U29" s="336"/>
      <c r="V29" s="85"/>
      <c r="W29" s="85"/>
      <c r="X29" s="326"/>
      <c r="Y29" s="85"/>
      <c r="Z29" s="85"/>
      <c r="AA29" s="338"/>
      <c r="AB29" s="328"/>
      <c r="AC29" s="85"/>
      <c r="AD29" s="85" t="str">
        <f t="shared" si="0"/>
        <v/>
      </c>
      <c r="AE29" s="326"/>
      <c r="AF29" s="85"/>
      <c r="AG29" s="85"/>
      <c r="AH29" s="338"/>
      <c r="AI29" s="328"/>
      <c r="AJ29" s="325"/>
      <c r="AK29" s="85"/>
      <c r="AL29" s="85"/>
      <c r="AM29" s="338"/>
      <c r="AN29" s="328"/>
      <c r="AO29" s="344"/>
      <c r="AP29" s="345"/>
      <c r="AQ29" s="92"/>
      <c r="AR29" s="338"/>
      <c r="AS29" s="328"/>
      <c r="AT29" s="349"/>
      <c r="AU29" s="350"/>
      <c r="AV29" s="350"/>
      <c r="AW29" s="350"/>
      <c r="AX29" s="92"/>
      <c r="AY29" s="338"/>
      <c r="AZ29" s="328"/>
      <c r="BA29" s="329"/>
      <c r="BB29" s="85"/>
      <c r="BC29" s="330"/>
      <c r="BD29" s="85"/>
      <c r="BE29" s="330"/>
      <c r="BF29" s="85"/>
      <c r="BG29" s="330"/>
      <c r="BH29" s="327"/>
      <c r="BI29" s="340"/>
      <c r="BJ29" s="336"/>
      <c r="BK29" s="336"/>
      <c r="BL29" s="336"/>
      <c r="BM29" s="381"/>
    </row>
    <row r="30" spans="1:65" x14ac:dyDescent="0.25">
      <c r="A30" s="87"/>
      <c r="B30" s="87"/>
      <c r="C30" s="356"/>
      <c r="D30" s="317"/>
      <c r="E30" s="248"/>
      <c r="F30" s="317"/>
      <c r="G30" s="248"/>
      <c r="H30" s="253"/>
      <c r="I30" s="325"/>
      <c r="J30" s="85"/>
      <c r="K30" s="336"/>
      <c r="L30" s="85"/>
      <c r="M30" s="85"/>
      <c r="N30" s="326"/>
      <c r="O30" s="85"/>
      <c r="P30" s="85"/>
      <c r="Q30" s="338"/>
      <c r="R30" s="328"/>
      <c r="S30" s="325"/>
      <c r="T30" s="85"/>
      <c r="U30" s="336"/>
      <c r="V30" s="85"/>
      <c r="W30" s="85"/>
      <c r="X30" s="326"/>
      <c r="Y30" s="85"/>
      <c r="Z30" s="85"/>
      <c r="AA30" s="338"/>
      <c r="AB30" s="328"/>
      <c r="AC30" s="85"/>
      <c r="AD30" s="85" t="str">
        <f t="shared" si="0"/>
        <v/>
      </c>
      <c r="AE30" s="326"/>
      <c r="AF30" s="85"/>
      <c r="AG30" s="85"/>
      <c r="AH30" s="338"/>
      <c r="AI30" s="328"/>
      <c r="AJ30" s="325"/>
      <c r="AK30" s="85"/>
      <c r="AL30" s="85"/>
      <c r="AM30" s="338"/>
      <c r="AN30" s="328"/>
      <c r="AO30" s="344"/>
      <c r="AP30" s="345"/>
      <c r="AQ30" s="92"/>
      <c r="AR30" s="338"/>
      <c r="AS30" s="328"/>
      <c r="AT30" s="349"/>
      <c r="AU30" s="350"/>
      <c r="AV30" s="350"/>
      <c r="AW30" s="350"/>
      <c r="AX30" s="92"/>
      <c r="AY30" s="338"/>
      <c r="AZ30" s="328"/>
      <c r="BA30" s="329"/>
      <c r="BB30" s="85"/>
      <c r="BC30" s="330"/>
      <c r="BD30" s="85"/>
      <c r="BE30" s="330"/>
      <c r="BF30" s="85"/>
      <c r="BG30" s="330"/>
      <c r="BH30" s="327"/>
      <c r="BI30" s="340"/>
      <c r="BJ30" s="336"/>
      <c r="BK30" s="336"/>
      <c r="BL30" s="336"/>
      <c r="BM30" s="381"/>
    </row>
    <row r="31" spans="1:65" x14ac:dyDescent="0.25">
      <c r="A31" s="87"/>
      <c r="B31" s="87"/>
      <c r="C31" s="356"/>
      <c r="D31" s="317"/>
      <c r="E31" s="248"/>
      <c r="F31" s="317"/>
      <c r="G31" s="248"/>
      <c r="H31" s="253"/>
      <c r="I31" s="325"/>
      <c r="J31" s="85"/>
      <c r="K31" s="336"/>
      <c r="L31" s="85"/>
      <c r="M31" s="85"/>
      <c r="N31" s="326"/>
      <c r="O31" s="85"/>
      <c r="P31" s="85"/>
      <c r="Q31" s="338"/>
      <c r="R31" s="328"/>
      <c r="S31" s="325"/>
      <c r="T31" s="85"/>
      <c r="U31" s="336"/>
      <c r="V31" s="85"/>
      <c r="W31" s="85"/>
      <c r="X31" s="326"/>
      <c r="Y31" s="85"/>
      <c r="Z31" s="85"/>
      <c r="AA31" s="338"/>
      <c r="AB31" s="328"/>
      <c r="AC31" s="85"/>
      <c r="AD31" s="85" t="str">
        <f t="shared" si="0"/>
        <v/>
      </c>
      <c r="AE31" s="326"/>
      <c r="AF31" s="85"/>
      <c r="AG31" s="85"/>
      <c r="AH31" s="338"/>
      <c r="AI31" s="328"/>
      <c r="AJ31" s="325"/>
      <c r="AK31" s="85"/>
      <c r="AL31" s="85"/>
      <c r="AM31" s="338"/>
      <c r="AN31" s="328"/>
      <c r="AO31" s="344"/>
      <c r="AP31" s="345"/>
      <c r="AQ31" s="92"/>
      <c r="AR31" s="338"/>
      <c r="AS31" s="328"/>
      <c r="AT31" s="349"/>
      <c r="AU31" s="350"/>
      <c r="AV31" s="350"/>
      <c r="AW31" s="350"/>
      <c r="AX31" s="92"/>
      <c r="AY31" s="338"/>
      <c r="AZ31" s="328"/>
      <c r="BA31" s="329"/>
      <c r="BB31" s="85"/>
      <c r="BC31" s="330"/>
      <c r="BD31" s="85"/>
      <c r="BE31" s="330"/>
      <c r="BF31" s="85"/>
      <c r="BG31" s="330"/>
      <c r="BH31" s="327"/>
      <c r="BI31" s="340"/>
      <c r="BJ31" s="336"/>
      <c r="BK31" s="336"/>
      <c r="BL31" s="336"/>
      <c r="BM31" s="381"/>
    </row>
    <row r="32" spans="1:65" ht="15.75" customHeight="1" x14ac:dyDescent="0.25">
      <c r="A32" s="87"/>
      <c r="B32" s="87"/>
      <c r="C32" s="356"/>
      <c r="D32" s="317"/>
      <c r="E32" s="248"/>
      <c r="F32" s="317"/>
      <c r="G32" s="248"/>
      <c r="H32" s="253"/>
      <c r="I32" s="325"/>
      <c r="J32" s="85"/>
      <c r="K32" s="336"/>
      <c r="L32" s="85"/>
      <c r="M32" s="85"/>
      <c r="N32" s="326"/>
      <c r="O32" s="85"/>
      <c r="P32" s="85"/>
      <c r="Q32" s="338"/>
      <c r="R32" s="328"/>
      <c r="S32" s="325"/>
      <c r="T32" s="85"/>
      <c r="U32" s="336"/>
      <c r="V32" s="85"/>
      <c r="W32" s="85"/>
      <c r="X32" s="326"/>
      <c r="Y32" s="85"/>
      <c r="Z32" s="85"/>
      <c r="AA32" s="338"/>
      <c r="AB32" s="328"/>
      <c r="AC32" s="85"/>
      <c r="AD32" s="85" t="str">
        <f t="shared" si="0"/>
        <v/>
      </c>
      <c r="AE32" s="326"/>
      <c r="AF32" s="85"/>
      <c r="AG32" s="85"/>
      <c r="AH32" s="338"/>
      <c r="AI32" s="328"/>
      <c r="AJ32" s="325"/>
      <c r="AK32" s="85"/>
      <c r="AL32" s="85"/>
      <c r="AM32" s="338"/>
      <c r="AN32" s="328"/>
      <c r="AO32" s="344"/>
      <c r="AP32" s="345"/>
      <c r="AQ32" s="92"/>
      <c r="AR32" s="338"/>
      <c r="AS32" s="328"/>
      <c r="AT32" s="349"/>
      <c r="AU32" s="350"/>
      <c r="AV32" s="350"/>
      <c r="AW32" s="350"/>
      <c r="AX32" s="92"/>
      <c r="AY32" s="338"/>
      <c r="AZ32" s="328"/>
      <c r="BA32" s="329"/>
      <c r="BB32" s="85"/>
      <c r="BC32" s="330"/>
      <c r="BD32" s="85"/>
      <c r="BE32" s="330"/>
      <c r="BF32" s="85"/>
      <c r="BG32" s="330"/>
      <c r="BH32" s="327"/>
      <c r="BI32" s="340"/>
      <c r="BJ32" s="336"/>
      <c r="BK32" s="336"/>
      <c r="BL32" s="336"/>
      <c r="BM32" s="381"/>
    </row>
    <row r="33" spans="1:65" x14ac:dyDescent="0.25">
      <c r="A33" s="87"/>
      <c r="B33" s="87"/>
      <c r="C33" s="356"/>
      <c r="D33" s="317"/>
      <c r="E33" s="248"/>
      <c r="F33" s="317"/>
      <c r="G33" s="248"/>
      <c r="H33" s="253"/>
      <c r="I33" s="325"/>
      <c r="J33" s="85"/>
      <c r="K33" s="336"/>
      <c r="L33" s="85"/>
      <c r="M33" s="85"/>
      <c r="N33" s="326"/>
      <c r="O33" s="85"/>
      <c r="P33" s="85"/>
      <c r="Q33" s="338"/>
      <c r="R33" s="328"/>
      <c r="S33" s="325"/>
      <c r="T33" s="85"/>
      <c r="U33" s="336"/>
      <c r="V33" s="85"/>
      <c r="W33" s="85"/>
      <c r="X33" s="326"/>
      <c r="Y33" s="85"/>
      <c r="Z33" s="85"/>
      <c r="AA33" s="338"/>
      <c r="AB33" s="328"/>
      <c r="AC33" s="85"/>
      <c r="AD33" s="85" t="str">
        <f t="shared" si="0"/>
        <v/>
      </c>
      <c r="AE33" s="326"/>
      <c r="AF33" s="85"/>
      <c r="AG33" s="85"/>
      <c r="AH33" s="338"/>
      <c r="AI33" s="328"/>
      <c r="AJ33" s="325"/>
      <c r="AK33" s="85"/>
      <c r="AL33" s="85"/>
      <c r="AM33" s="338"/>
      <c r="AN33" s="328"/>
      <c r="AO33" s="344"/>
      <c r="AP33" s="345"/>
      <c r="AQ33" s="92"/>
      <c r="AR33" s="338"/>
      <c r="AS33" s="328"/>
      <c r="AT33" s="349"/>
      <c r="AU33" s="350"/>
      <c r="AV33" s="350"/>
      <c r="AW33" s="350"/>
      <c r="AX33" s="92"/>
      <c r="AY33" s="338"/>
      <c r="AZ33" s="328"/>
      <c r="BA33" s="329"/>
      <c r="BB33" s="85"/>
      <c r="BC33" s="330"/>
      <c r="BD33" s="85"/>
      <c r="BE33" s="330"/>
      <c r="BF33" s="85"/>
      <c r="BG33" s="330"/>
      <c r="BH33" s="327"/>
      <c r="BI33" s="340"/>
      <c r="BJ33" s="336"/>
      <c r="BK33" s="336"/>
      <c r="BL33" s="336"/>
      <c r="BM33" s="381"/>
    </row>
    <row r="34" spans="1:65" x14ac:dyDescent="0.25">
      <c r="A34" s="87"/>
      <c r="B34" s="87"/>
      <c r="C34" s="356"/>
      <c r="D34" s="317"/>
      <c r="E34" s="248"/>
      <c r="F34" s="317"/>
      <c r="G34" s="248"/>
      <c r="H34" s="253"/>
      <c r="I34" s="325"/>
      <c r="J34" s="85"/>
      <c r="K34" s="336"/>
      <c r="L34" s="85"/>
      <c r="M34" s="85"/>
      <c r="N34" s="326"/>
      <c r="O34" s="85"/>
      <c r="P34" s="85"/>
      <c r="Q34" s="338"/>
      <c r="R34" s="328"/>
      <c r="S34" s="325"/>
      <c r="T34" s="85"/>
      <c r="U34" s="336"/>
      <c r="V34" s="85"/>
      <c r="W34" s="85"/>
      <c r="X34" s="326"/>
      <c r="Y34" s="85"/>
      <c r="Z34" s="85"/>
      <c r="AA34" s="338"/>
      <c r="AB34" s="328"/>
      <c r="AC34" s="85"/>
      <c r="AD34" s="85" t="str">
        <f t="shared" si="0"/>
        <v/>
      </c>
      <c r="AE34" s="326"/>
      <c r="AF34" s="85"/>
      <c r="AG34" s="85"/>
      <c r="AH34" s="338"/>
      <c r="AI34" s="328"/>
      <c r="AJ34" s="325"/>
      <c r="AK34" s="85"/>
      <c r="AL34" s="85"/>
      <c r="AM34" s="338"/>
      <c r="AN34" s="328"/>
      <c r="AO34" s="344"/>
      <c r="AP34" s="345"/>
      <c r="AQ34" s="92"/>
      <c r="AR34" s="338"/>
      <c r="AS34" s="328"/>
      <c r="AT34" s="349"/>
      <c r="AU34" s="350"/>
      <c r="AV34" s="350"/>
      <c r="AW34" s="350"/>
      <c r="AX34" s="92"/>
      <c r="AY34" s="338"/>
      <c r="AZ34" s="328"/>
      <c r="BA34" s="329"/>
      <c r="BB34" s="85"/>
      <c r="BC34" s="330"/>
      <c r="BD34" s="85"/>
      <c r="BE34" s="330"/>
      <c r="BF34" s="85"/>
      <c r="BG34" s="330"/>
      <c r="BH34" s="327"/>
      <c r="BI34" s="340"/>
      <c r="BJ34" s="336"/>
      <c r="BK34" s="336"/>
      <c r="BL34" s="336"/>
      <c r="BM34" s="381"/>
    </row>
    <row r="35" spans="1:65" x14ac:dyDescent="0.25">
      <c r="A35" s="87"/>
      <c r="B35" s="87"/>
      <c r="C35" s="356"/>
      <c r="D35" s="317"/>
      <c r="E35" s="248"/>
      <c r="F35" s="317"/>
      <c r="G35" s="248"/>
      <c r="H35" s="253"/>
      <c r="I35" s="325"/>
      <c r="J35" s="85"/>
      <c r="K35" s="336"/>
      <c r="L35" s="85"/>
      <c r="M35" s="85"/>
      <c r="N35" s="326"/>
      <c r="O35" s="85"/>
      <c r="P35" s="85"/>
      <c r="Q35" s="338"/>
      <c r="R35" s="328"/>
      <c r="S35" s="325"/>
      <c r="T35" s="85"/>
      <c r="U35" s="336"/>
      <c r="V35" s="85"/>
      <c r="W35" s="85"/>
      <c r="X35" s="326"/>
      <c r="Y35" s="85"/>
      <c r="Z35" s="85"/>
      <c r="AA35" s="338"/>
      <c r="AB35" s="328"/>
      <c r="AC35" s="85"/>
      <c r="AD35" s="85"/>
      <c r="AE35" s="326"/>
      <c r="AF35" s="85"/>
      <c r="AG35" s="85"/>
      <c r="AH35" s="338"/>
      <c r="AI35" s="328"/>
      <c r="AJ35" s="325"/>
      <c r="AK35" s="85"/>
      <c r="AL35" s="85"/>
      <c r="AM35" s="338"/>
      <c r="AN35" s="328"/>
      <c r="AO35" s="344"/>
      <c r="AP35" s="345"/>
      <c r="AQ35" s="92"/>
      <c r="AR35" s="338"/>
      <c r="AS35" s="328"/>
      <c r="AT35" s="349"/>
      <c r="AU35" s="350"/>
      <c r="AV35" s="350"/>
      <c r="AW35" s="350"/>
      <c r="AX35" s="92"/>
      <c r="AY35" s="338"/>
      <c r="AZ35" s="328"/>
      <c r="BA35" s="329"/>
      <c r="BB35" s="85"/>
      <c r="BC35" s="330"/>
      <c r="BD35" s="85"/>
      <c r="BE35" s="330"/>
      <c r="BF35" s="85"/>
      <c r="BG35" s="330"/>
      <c r="BH35" s="327"/>
      <c r="BI35" s="340"/>
      <c r="BJ35" s="336"/>
      <c r="BK35" s="336"/>
      <c r="BL35" s="336"/>
      <c r="BM35" s="381"/>
    </row>
    <row r="36" spans="1:65" x14ac:dyDescent="0.25">
      <c r="A36" s="87"/>
      <c r="B36" s="87"/>
      <c r="C36" s="356"/>
      <c r="D36" s="317"/>
      <c r="E36" s="248"/>
      <c r="F36" s="317"/>
      <c r="G36" s="248"/>
      <c r="H36" s="253"/>
      <c r="I36" s="325"/>
      <c r="J36" s="85"/>
      <c r="K36" s="336"/>
      <c r="L36" s="85"/>
      <c r="M36" s="85"/>
      <c r="N36" s="326"/>
      <c r="O36" s="85"/>
      <c r="P36" s="85"/>
      <c r="Q36" s="338"/>
      <c r="R36" s="328"/>
      <c r="S36" s="325"/>
      <c r="T36" s="85"/>
      <c r="U36" s="336"/>
      <c r="V36" s="85"/>
      <c r="W36" s="85"/>
      <c r="X36" s="326"/>
      <c r="Y36" s="85"/>
      <c r="Z36" s="85"/>
      <c r="AA36" s="338"/>
      <c r="AB36" s="328"/>
      <c r="AC36" s="85"/>
      <c r="AD36" s="85" t="str">
        <f t="shared" si="0"/>
        <v/>
      </c>
      <c r="AE36" s="326"/>
      <c r="AF36" s="85"/>
      <c r="AG36" s="85"/>
      <c r="AH36" s="338"/>
      <c r="AI36" s="328"/>
      <c r="AJ36" s="325"/>
      <c r="AK36" s="85"/>
      <c r="AL36" s="85"/>
      <c r="AM36" s="338"/>
      <c r="AN36" s="328"/>
      <c r="AO36" s="344"/>
      <c r="AP36" s="345"/>
      <c r="AQ36" s="92"/>
      <c r="AR36" s="338"/>
      <c r="AS36" s="328"/>
      <c r="AT36" s="349"/>
      <c r="AU36" s="350"/>
      <c r="AV36" s="350"/>
      <c r="AW36" s="350"/>
      <c r="AX36" s="92"/>
      <c r="AY36" s="338"/>
      <c r="AZ36" s="328"/>
      <c r="BA36" s="329"/>
      <c r="BB36" s="85"/>
      <c r="BC36" s="330"/>
      <c r="BD36" s="85"/>
      <c r="BE36" s="330"/>
      <c r="BF36" s="85"/>
      <c r="BG36" s="330"/>
      <c r="BH36" s="327"/>
      <c r="BI36" s="340"/>
      <c r="BJ36" s="336"/>
      <c r="BK36" s="336"/>
      <c r="BL36" s="336"/>
      <c r="BM36" s="381"/>
    </row>
    <row r="37" spans="1:65" s="373" customFormat="1" x14ac:dyDescent="0.25">
      <c r="A37" s="87"/>
      <c r="B37" s="87"/>
      <c r="C37" s="356"/>
      <c r="D37" s="317"/>
      <c r="E37" s="248"/>
      <c r="F37" s="317"/>
      <c r="G37" s="248"/>
      <c r="H37" s="253"/>
      <c r="I37" s="325"/>
      <c r="J37" s="85"/>
      <c r="K37" s="336"/>
      <c r="L37" s="85"/>
      <c r="M37" s="85"/>
      <c r="N37" s="326"/>
      <c r="O37" s="85"/>
      <c r="P37" s="85"/>
      <c r="Q37" s="338"/>
      <c r="R37" s="328"/>
      <c r="S37" s="325"/>
      <c r="T37" s="85"/>
      <c r="U37" s="336"/>
      <c r="V37" s="85"/>
      <c r="W37" s="85"/>
      <c r="X37" s="326"/>
      <c r="Y37" s="85"/>
      <c r="Z37" s="85"/>
      <c r="AA37" s="338"/>
      <c r="AB37" s="328"/>
      <c r="AC37" s="85"/>
      <c r="AD37" s="85" t="str">
        <f t="shared" ref="AD37" si="2">IF(ISBLANK(C37),"",(IF(AC37&lt;&gt;"NA",1,0)))</f>
        <v/>
      </c>
      <c r="AE37" s="326"/>
      <c r="AF37" s="85"/>
      <c r="AG37" s="85"/>
      <c r="AH37" s="338"/>
      <c r="AI37" s="328"/>
      <c r="AJ37" s="325"/>
      <c r="AK37" s="85"/>
      <c r="AL37" s="85"/>
      <c r="AM37" s="338"/>
      <c r="AN37" s="328"/>
      <c r="AO37" s="344"/>
      <c r="AP37" s="345"/>
      <c r="AQ37" s="92"/>
      <c r="AR37" s="338"/>
      <c r="AS37" s="328"/>
      <c r="AT37" s="349"/>
      <c r="AU37" s="350"/>
      <c r="AV37" s="350"/>
      <c r="AW37" s="350"/>
      <c r="AX37" s="92"/>
      <c r="AY37" s="338"/>
      <c r="AZ37" s="328"/>
      <c r="BA37" s="329"/>
      <c r="BB37" s="85"/>
      <c r="BC37" s="330"/>
      <c r="BD37" s="85"/>
      <c r="BE37" s="330"/>
      <c r="BF37" s="85"/>
      <c r="BG37" s="330"/>
      <c r="BH37" s="327"/>
      <c r="BI37" s="340"/>
      <c r="BJ37" s="336"/>
      <c r="BK37" s="336"/>
      <c r="BL37" s="336"/>
      <c r="BM37" s="381"/>
    </row>
    <row r="38" spans="1:65" x14ac:dyDescent="0.25">
      <c r="A38" s="87"/>
      <c r="B38" s="87"/>
      <c r="C38" s="356"/>
      <c r="D38" s="317"/>
      <c r="E38" s="248"/>
      <c r="F38" s="317"/>
      <c r="G38" s="248"/>
      <c r="H38" s="253"/>
      <c r="I38" s="325"/>
      <c r="J38" s="85"/>
      <c r="K38" s="336"/>
      <c r="L38" s="85"/>
      <c r="M38" s="85"/>
      <c r="N38" s="326"/>
      <c r="O38" s="85"/>
      <c r="P38" s="85"/>
      <c r="Q38" s="338"/>
      <c r="R38" s="328"/>
      <c r="S38" s="325"/>
      <c r="T38" s="85"/>
      <c r="U38" s="336"/>
      <c r="V38" s="85"/>
      <c r="W38" s="85"/>
      <c r="X38" s="326"/>
      <c r="Y38" s="85"/>
      <c r="Z38" s="85"/>
      <c r="AA38" s="338"/>
      <c r="AB38" s="328"/>
      <c r="AC38" s="85"/>
      <c r="AD38" s="85" t="str">
        <f t="shared" si="0"/>
        <v/>
      </c>
      <c r="AE38" s="326"/>
      <c r="AF38" s="85"/>
      <c r="AG38" s="85"/>
      <c r="AH38" s="338"/>
      <c r="AI38" s="328"/>
      <c r="AJ38" s="325"/>
      <c r="AK38" s="85"/>
      <c r="AL38" s="85"/>
      <c r="AM38" s="338"/>
      <c r="AN38" s="328"/>
      <c r="AO38" s="344"/>
      <c r="AP38" s="345"/>
      <c r="AQ38" s="92"/>
      <c r="AR38" s="338"/>
      <c r="AS38" s="328"/>
      <c r="AT38" s="349"/>
      <c r="AU38" s="350"/>
      <c r="AV38" s="350"/>
      <c r="AW38" s="350"/>
      <c r="AX38" s="92"/>
      <c r="AY38" s="338"/>
      <c r="AZ38" s="328"/>
      <c r="BA38" s="329"/>
      <c r="BB38" s="85"/>
      <c r="BC38" s="330"/>
      <c r="BD38" s="85"/>
      <c r="BE38" s="330"/>
      <c r="BF38" s="85"/>
      <c r="BG38" s="330"/>
      <c r="BH38" s="327"/>
      <c r="BI38" s="340"/>
      <c r="BJ38" s="336"/>
      <c r="BK38" s="336"/>
      <c r="BL38" s="336"/>
      <c r="BM38" s="381"/>
    </row>
    <row r="39" spans="1:65" s="373" customFormat="1" x14ac:dyDescent="0.25">
      <c r="A39" s="87"/>
      <c r="B39" s="87"/>
      <c r="C39" s="356"/>
      <c r="D39" s="317"/>
      <c r="E39" s="248"/>
      <c r="F39" s="317"/>
      <c r="G39" s="248"/>
      <c r="H39" s="253"/>
      <c r="I39" s="325"/>
      <c r="J39" s="85"/>
      <c r="K39" s="336"/>
      <c r="L39" s="85"/>
      <c r="M39" s="85"/>
      <c r="N39" s="326"/>
      <c r="O39" s="85"/>
      <c r="P39" s="85"/>
      <c r="Q39" s="338"/>
      <c r="R39" s="328"/>
      <c r="S39" s="325"/>
      <c r="T39" s="85"/>
      <c r="U39" s="336"/>
      <c r="V39" s="85"/>
      <c r="W39" s="85"/>
      <c r="X39" s="326"/>
      <c r="Y39" s="85"/>
      <c r="Z39" s="85"/>
      <c r="AA39" s="338"/>
      <c r="AB39" s="328"/>
      <c r="AC39" s="85"/>
      <c r="AD39" s="85" t="str">
        <f t="shared" ref="AD39" si="3">IF(ISBLANK(C39),"",(IF(AC39&lt;&gt;"NA",1,0)))</f>
        <v/>
      </c>
      <c r="AE39" s="326"/>
      <c r="AF39" s="85"/>
      <c r="AG39" s="85"/>
      <c r="AH39" s="338"/>
      <c r="AI39" s="328"/>
      <c r="AJ39" s="325"/>
      <c r="AK39" s="85"/>
      <c r="AL39" s="85"/>
      <c r="AM39" s="338"/>
      <c r="AN39" s="328"/>
      <c r="AO39" s="344"/>
      <c r="AP39" s="345"/>
      <c r="AQ39" s="92"/>
      <c r="AR39" s="338"/>
      <c r="AS39" s="328"/>
      <c r="AT39" s="349"/>
      <c r="AU39" s="350"/>
      <c r="AV39" s="350"/>
      <c r="AW39" s="350"/>
      <c r="AX39" s="92"/>
      <c r="AY39" s="338"/>
      <c r="AZ39" s="328"/>
      <c r="BA39" s="329"/>
      <c r="BB39" s="85"/>
      <c r="BC39" s="330"/>
      <c r="BD39" s="85"/>
      <c r="BE39" s="330"/>
      <c r="BF39" s="85"/>
      <c r="BG39" s="330"/>
      <c r="BH39" s="327"/>
      <c r="BI39" s="340"/>
      <c r="BJ39" s="336"/>
      <c r="BK39" s="336"/>
      <c r="BL39" s="336"/>
      <c r="BM39" s="381"/>
    </row>
    <row r="40" spans="1:65" x14ac:dyDescent="0.25">
      <c r="A40" s="87"/>
      <c r="B40" s="87"/>
      <c r="C40" s="356"/>
      <c r="D40" s="317"/>
      <c r="E40" s="248"/>
      <c r="F40" s="317"/>
      <c r="G40" s="248"/>
      <c r="H40" s="253"/>
      <c r="I40" s="325"/>
      <c r="J40" s="85"/>
      <c r="K40" s="336"/>
      <c r="L40" s="85"/>
      <c r="M40" s="85"/>
      <c r="N40" s="326"/>
      <c r="O40" s="85"/>
      <c r="P40" s="85"/>
      <c r="Q40" s="338"/>
      <c r="R40" s="328"/>
      <c r="S40" s="325"/>
      <c r="T40" s="85"/>
      <c r="U40" s="336"/>
      <c r="V40" s="85"/>
      <c r="W40" s="85"/>
      <c r="X40" s="326"/>
      <c r="Y40" s="85"/>
      <c r="Z40" s="85"/>
      <c r="AA40" s="338"/>
      <c r="AB40" s="328"/>
      <c r="AC40" s="85"/>
      <c r="AD40" s="85" t="str">
        <f t="shared" si="0"/>
        <v/>
      </c>
      <c r="AE40" s="326"/>
      <c r="AF40" s="85"/>
      <c r="AG40" s="85"/>
      <c r="AH40" s="338"/>
      <c r="AI40" s="328"/>
      <c r="AJ40" s="325"/>
      <c r="AK40" s="85"/>
      <c r="AL40" s="85"/>
      <c r="AM40" s="338"/>
      <c r="AN40" s="328"/>
      <c r="AO40" s="344"/>
      <c r="AP40" s="345"/>
      <c r="AQ40" s="92"/>
      <c r="AR40" s="338"/>
      <c r="AS40" s="328"/>
      <c r="AT40" s="349"/>
      <c r="AU40" s="350"/>
      <c r="AV40" s="350"/>
      <c r="AW40" s="350"/>
      <c r="AX40" s="92"/>
      <c r="AY40" s="338"/>
      <c r="AZ40" s="328"/>
      <c r="BA40" s="329"/>
      <c r="BB40" s="85"/>
      <c r="BC40" s="330"/>
      <c r="BD40" s="85"/>
      <c r="BE40" s="330"/>
      <c r="BF40" s="85"/>
      <c r="BG40" s="330"/>
      <c r="BH40" s="327"/>
      <c r="BI40" s="340"/>
      <c r="BJ40" s="336"/>
      <c r="BK40" s="336"/>
      <c r="BL40" s="336"/>
      <c r="BM40" s="381"/>
    </row>
    <row r="41" spans="1:65" x14ac:dyDescent="0.25">
      <c r="A41" s="87"/>
      <c r="B41" s="87"/>
      <c r="C41" s="356"/>
      <c r="D41" s="317"/>
      <c r="E41" s="248"/>
      <c r="F41" s="317"/>
      <c r="G41" s="248"/>
      <c r="H41" s="253"/>
      <c r="I41" s="325"/>
      <c r="J41" s="85"/>
      <c r="K41" s="336"/>
      <c r="L41" s="85"/>
      <c r="M41" s="85"/>
      <c r="N41" s="326"/>
      <c r="O41" s="85"/>
      <c r="P41" s="85"/>
      <c r="Q41" s="338"/>
      <c r="R41" s="328"/>
      <c r="S41" s="325"/>
      <c r="T41" s="85"/>
      <c r="U41" s="336"/>
      <c r="V41" s="85"/>
      <c r="W41" s="85"/>
      <c r="X41" s="326"/>
      <c r="Y41" s="85"/>
      <c r="Z41" s="85"/>
      <c r="AA41" s="338"/>
      <c r="AB41" s="328"/>
      <c r="AC41" s="85"/>
      <c r="AD41" s="85" t="str">
        <f t="shared" si="0"/>
        <v/>
      </c>
      <c r="AE41" s="326"/>
      <c r="AF41" s="85"/>
      <c r="AG41" s="85"/>
      <c r="AH41" s="338"/>
      <c r="AI41" s="328"/>
      <c r="AJ41" s="325"/>
      <c r="AK41" s="85"/>
      <c r="AL41" s="85"/>
      <c r="AM41" s="338"/>
      <c r="AN41" s="328"/>
      <c r="AO41" s="344"/>
      <c r="AP41" s="345"/>
      <c r="AQ41" s="92"/>
      <c r="AR41" s="338"/>
      <c r="AS41" s="328"/>
      <c r="AT41" s="349"/>
      <c r="AU41" s="350"/>
      <c r="AV41" s="350"/>
      <c r="AW41" s="350"/>
      <c r="AX41" s="92"/>
      <c r="AY41" s="338"/>
      <c r="AZ41" s="328"/>
      <c r="BA41" s="329"/>
      <c r="BB41" s="85"/>
      <c r="BC41" s="330"/>
      <c r="BD41" s="85"/>
      <c r="BE41" s="330"/>
      <c r="BF41" s="85"/>
      <c r="BG41" s="330"/>
      <c r="BH41" s="327"/>
      <c r="BI41" s="340"/>
      <c r="BJ41" s="336"/>
      <c r="BK41" s="336"/>
      <c r="BL41" s="336"/>
      <c r="BM41" s="381"/>
    </row>
    <row r="42" spans="1:65" x14ac:dyDescent="0.25">
      <c r="A42" s="87"/>
      <c r="B42" s="87"/>
      <c r="C42" s="356"/>
      <c r="D42" s="317"/>
      <c r="E42" s="248"/>
      <c r="F42" s="317"/>
      <c r="G42" s="248"/>
      <c r="H42" s="253"/>
      <c r="I42" s="325"/>
      <c r="J42" s="85"/>
      <c r="K42" s="336"/>
      <c r="L42" s="85"/>
      <c r="M42" s="85"/>
      <c r="N42" s="326"/>
      <c r="O42" s="85"/>
      <c r="P42" s="85"/>
      <c r="Q42" s="338"/>
      <c r="R42" s="328"/>
      <c r="S42" s="325"/>
      <c r="T42" s="85"/>
      <c r="U42" s="336"/>
      <c r="V42" s="85"/>
      <c r="W42" s="85"/>
      <c r="X42" s="326"/>
      <c r="Y42" s="85"/>
      <c r="Z42" s="85"/>
      <c r="AA42" s="338"/>
      <c r="AB42" s="328"/>
      <c r="AC42" s="85"/>
      <c r="AD42" s="85" t="str">
        <f t="shared" si="0"/>
        <v/>
      </c>
      <c r="AE42" s="326"/>
      <c r="AF42" s="85"/>
      <c r="AG42" s="85"/>
      <c r="AH42" s="338"/>
      <c r="AI42" s="328"/>
      <c r="AJ42" s="325"/>
      <c r="AK42" s="85"/>
      <c r="AL42" s="85"/>
      <c r="AM42" s="338"/>
      <c r="AN42" s="328"/>
      <c r="AO42" s="344"/>
      <c r="AP42" s="345"/>
      <c r="AQ42" s="92"/>
      <c r="AR42" s="338"/>
      <c r="AS42" s="328"/>
      <c r="AT42" s="349"/>
      <c r="AU42" s="350"/>
      <c r="AV42" s="350"/>
      <c r="AW42" s="350"/>
      <c r="AX42" s="92"/>
      <c r="AY42" s="338"/>
      <c r="AZ42" s="328"/>
      <c r="BA42" s="329"/>
      <c r="BB42" s="85"/>
      <c r="BC42" s="330"/>
      <c r="BD42" s="85"/>
      <c r="BE42" s="330"/>
      <c r="BF42" s="85"/>
      <c r="BG42" s="330"/>
      <c r="BH42" s="327"/>
      <c r="BI42" s="340"/>
      <c r="BJ42" s="336"/>
      <c r="BK42" s="336"/>
      <c r="BL42" s="336"/>
      <c r="BM42" s="381"/>
    </row>
    <row r="43" spans="1:65" x14ac:dyDescent="0.25">
      <c r="A43" s="87"/>
      <c r="B43" s="87"/>
      <c r="C43" s="356"/>
      <c r="D43" s="317"/>
      <c r="E43" s="248"/>
      <c r="F43" s="317"/>
      <c r="G43" s="248"/>
      <c r="H43" s="253"/>
      <c r="I43" s="325"/>
      <c r="J43" s="85"/>
      <c r="K43" s="336"/>
      <c r="L43" s="85"/>
      <c r="M43" s="85"/>
      <c r="N43" s="326"/>
      <c r="O43" s="85"/>
      <c r="P43" s="85"/>
      <c r="Q43" s="338"/>
      <c r="R43" s="328"/>
      <c r="S43" s="325"/>
      <c r="T43" s="85"/>
      <c r="U43" s="336"/>
      <c r="V43" s="85"/>
      <c r="W43" s="85"/>
      <c r="X43" s="326"/>
      <c r="Y43" s="85"/>
      <c r="Z43" s="85"/>
      <c r="AA43" s="338"/>
      <c r="AB43" s="328"/>
      <c r="AC43" s="85"/>
      <c r="AD43" s="85" t="str">
        <f t="shared" si="0"/>
        <v/>
      </c>
      <c r="AE43" s="326"/>
      <c r="AF43" s="85"/>
      <c r="AG43" s="85"/>
      <c r="AH43" s="338"/>
      <c r="AI43" s="328"/>
      <c r="AJ43" s="325"/>
      <c r="AK43" s="85"/>
      <c r="AL43" s="85"/>
      <c r="AM43" s="338"/>
      <c r="AN43" s="328"/>
      <c r="AO43" s="344"/>
      <c r="AP43" s="345"/>
      <c r="AQ43" s="92"/>
      <c r="AR43" s="338"/>
      <c r="AS43" s="328"/>
      <c r="AT43" s="349"/>
      <c r="AU43" s="350"/>
      <c r="AV43" s="350"/>
      <c r="AW43" s="350"/>
      <c r="AX43" s="92"/>
      <c r="AY43" s="338"/>
      <c r="AZ43" s="328"/>
      <c r="BA43" s="329"/>
      <c r="BB43" s="85"/>
      <c r="BC43" s="330"/>
      <c r="BD43" s="85"/>
      <c r="BE43" s="330"/>
      <c r="BF43" s="85"/>
      <c r="BG43" s="330"/>
      <c r="BH43" s="327"/>
      <c r="BI43" s="340"/>
      <c r="BJ43" s="336"/>
      <c r="BK43" s="336"/>
      <c r="BL43" s="336"/>
      <c r="BM43" s="381"/>
    </row>
    <row r="44" spans="1:65" x14ac:dyDescent="0.25">
      <c r="A44" s="87"/>
      <c r="B44" s="87"/>
      <c r="C44" s="356"/>
      <c r="D44" s="317"/>
      <c r="E44" s="248"/>
      <c r="F44" s="317"/>
      <c r="G44" s="248"/>
      <c r="H44" s="253"/>
      <c r="I44" s="325"/>
      <c r="J44" s="85"/>
      <c r="K44" s="336"/>
      <c r="L44" s="85"/>
      <c r="M44" s="85"/>
      <c r="N44" s="326"/>
      <c r="O44" s="85"/>
      <c r="P44" s="85"/>
      <c r="Q44" s="338"/>
      <c r="R44" s="328"/>
      <c r="S44" s="325"/>
      <c r="T44" s="85"/>
      <c r="U44" s="336"/>
      <c r="V44" s="85"/>
      <c r="W44" s="85"/>
      <c r="X44" s="326"/>
      <c r="Y44" s="85"/>
      <c r="Z44" s="85"/>
      <c r="AA44" s="338"/>
      <c r="AB44" s="328"/>
      <c r="AC44" s="85"/>
      <c r="AD44" s="85" t="str">
        <f t="shared" si="0"/>
        <v/>
      </c>
      <c r="AE44" s="326"/>
      <c r="AF44" s="85"/>
      <c r="AG44" s="85"/>
      <c r="AH44" s="338"/>
      <c r="AI44" s="328"/>
      <c r="AJ44" s="325"/>
      <c r="AK44" s="85"/>
      <c r="AL44" s="85"/>
      <c r="AM44" s="338"/>
      <c r="AN44" s="328"/>
      <c r="AO44" s="344"/>
      <c r="AP44" s="345"/>
      <c r="AQ44" s="92"/>
      <c r="AR44" s="338"/>
      <c r="AS44" s="328"/>
      <c r="AT44" s="349"/>
      <c r="AU44" s="350"/>
      <c r="AV44" s="350"/>
      <c r="AW44" s="350"/>
      <c r="AX44" s="92"/>
      <c r="AY44" s="338"/>
      <c r="AZ44" s="328"/>
      <c r="BA44" s="329"/>
      <c r="BB44" s="85"/>
      <c r="BC44" s="330"/>
      <c r="BD44" s="85"/>
      <c r="BE44" s="330"/>
      <c r="BF44" s="85"/>
      <c r="BG44" s="330"/>
      <c r="BH44" s="327"/>
      <c r="BI44" s="340"/>
      <c r="BJ44" s="336"/>
      <c r="BK44" s="336"/>
      <c r="BL44" s="336"/>
      <c r="BM44" s="381"/>
    </row>
    <row r="45" spans="1:65" s="373" customFormat="1" x14ac:dyDescent="0.25">
      <c r="A45" s="87"/>
      <c r="B45" s="87"/>
      <c r="C45" s="356"/>
      <c r="D45" s="317"/>
      <c r="E45" s="248"/>
      <c r="F45" s="317"/>
      <c r="G45" s="248"/>
      <c r="H45" s="253"/>
      <c r="I45" s="325"/>
      <c r="J45" s="85"/>
      <c r="K45" s="336"/>
      <c r="L45" s="85"/>
      <c r="M45" s="85"/>
      <c r="N45" s="326"/>
      <c r="O45" s="85"/>
      <c r="P45" s="85"/>
      <c r="Q45" s="338"/>
      <c r="R45" s="328"/>
      <c r="S45" s="325"/>
      <c r="T45" s="85"/>
      <c r="U45" s="336"/>
      <c r="V45" s="85"/>
      <c r="W45" s="85"/>
      <c r="X45" s="326"/>
      <c r="Y45" s="85"/>
      <c r="Z45" s="85"/>
      <c r="AA45" s="338"/>
      <c r="AB45" s="328"/>
      <c r="AC45" s="85"/>
      <c r="AD45" s="85" t="str">
        <f t="shared" ref="AD45" si="4">IF(ISBLANK(C45),"",(IF(AC45&lt;&gt;"NA",1,0)))</f>
        <v/>
      </c>
      <c r="AE45" s="326"/>
      <c r="AF45" s="85"/>
      <c r="AG45" s="85"/>
      <c r="AH45" s="338"/>
      <c r="AI45" s="328"/>
      <c r="AJ45" s="325"/>
      <c r="AK45" s="85"/>
      <c r="AL45" s="85"/>
      <c r="AM45" s="338"/>
      <c r="AN45" s="328"/>
      <c r="AO45" s="344"/>
      <c r="AP45" s="345"/>
      <c r="AQ45" s="92"/>
      <c r="AR45" s="338"/>
      <c r="AS45" s="328"/>
      <c r="AT45" s="349"/>
      <c r="AU45" s="350"/>
      <c r="AV45" s="350"/>
      <c r="AW45" s="350"/>
      <c r="AX45" s="92"/>
      <c r="AY45" s="338"/>
      <c r="AZ45" s="328"/>
      <c r="BA45" s="329"/>
      <c r="BB45" s="85"/>
      <c r="BC45" s="330"/>
      <c r="BD45" s="85"/>
      <c r="BE45" s="330"/>
      <c r="BF45" s="85"/>
      <c r="BG45" s="330"/>
      <c r="BH45" s="327"/>
      <c r="BI45" s="340"/>
      <c r="BJ45" s="336"/>
      <c r="BK45" s="336"/>
      <c r="BL45" s="336"/>
      <c r="BM45" s="381"/>
    </row>
    <row r="46" spans="1:65" x14ac:dyDescent="0.25">
      <c r="A46" s="87"/>
      <c r="B46" s="87"/>
      <c r="C46" s="356"/>
      <c r="D46" s="317"/>
      <c r="E46" s="248"/>
      <c r="F46" s="317"/>
      <c r="G46" s="248"/>
      <c r="H46" s="253"/>
      <c r="I46" s="325"/>
      <c r="J46" s="85"/>
      <c r="K46" s="336"/>
      <c r="L46" s="85"/>
      <c r="M46" s="85"/>
      <c r="N46" s="326"/>
      <c r="O46" s="85"/>
      <c r="P46" s="85"/>
      <c r="Q46" s="338"/>
      <c r="R46" s="328"/>
      <c r="S46" s="325"/>
      <c r="T46" s="85"/>
      <c r="U46" s="336"/>
      <c r="V46" s="85"/>
      <c r="W46" s="85"/>
      <c r="X46" s="326"/>
      <c r="Y46" s="85"/>
      <c r="Z46" s="85"/>
      <c r="AA46" s="338"/>
      <c r="AB46" s="328"/>
      <c r="AC46" s="85"/>
      <c r="AD46" s="85" t="str">
        <f t="shared" si="0"/>
        <v/>
      </c>
      <c r="AE46" s="326"/>
      <c r="AF46" s="85"/>
      <c r="AG46" s="85"/>
      <c r="AH46" s="338"/>
      <c r="AI46" s="328"/>
      <c r="AJ46" s="325"/>
      <c r="AK46" s="85"/>
      <c r="AL46" s="85"/>
      <c r="AM46" s="338"/>
      <c r="AN46" s="328"/>
      <c r="AO46" s="344"/>
      <c r="AP46" s="345"/>
      <c r="AQ46" s="92"/>
      <c r="AR46" s="338"/>
      <c r="AS46" s="328"/>
      <c r="AT46" s="349"/>
      <c r="AU46" s="350"/>
      <c r="AV46" s="350"/>
      <c r="AW46" s="350"/>
      <c r="AX46" s="92"/>
      <c r="AY46" s="338"/>
      <c r="AZ46" s="328"/>
      <c r="BA46" s="329"/>
      <c r="BB46" s="85"/>
      <c r="BC46" s="330"/>
      <c r="BD46" s="85"/>
      <c r="BE46" s="330"/>
      <c r="BF46" s="85"/>
      <c r="BG46" s="330"/>
      <c r="BH46" s="327"/>
      <c r="BI46" s="340"/>
      <c r="BJ46" s="336"/>
      <c r="BK46" s="336"/>
      <c r="BL46" s="336"/>
      <c r="BM46" s="381"/>
    </row>
    <row r="47" spans="1:65" x14ac:dyDescent="0.25">
      <c r="A47" s="87"/>
      <c r="B47" s="87"/>
      <c r="C47" s="356"/>
      <c r="D47" s="317"/>
      <c r="E47" s="248"/>
      <c r="F47" s="317"/>
      <c r="G47" s="248"/>
      <c r="H47" s="253"/>
      <c r="I47" s="325"/>
      <c r="J47" s="85"/>
      <c r="K47" s="336"/>
      <c r="L47" s="85"/>
      <c r="M47" s="85"/>
      <c r="N47" s="326"/>
      <c r="O47" s="85"/>
      <c r="P47" s="85"/>
      <c r="Q47" s="338"/>
      <c r="R47" s="328"/>
      <c r="S47" s="325"/>
      <c r="T47" s="85"/>
      <c r="U47" s="336"/>
      <c r="V47" s="85"/>
      <c r="W47" s="85"/>
      <c r="X47" s="326"/>
      <c r="Y47" s="85"/>
      <c r="Z47" s="85"/>
      <c r="AA47" s="338"/>
      <c r="AB47" s="328"/>
      <c r="AC47" s="85"/>
      <c r="AD47" s="85" t="str">
        <f t="shared" si="0"/>
        <v/>
      </c>
      <c r="AE47" s="326"/>
      <c r="AF47" s="85"/>
      <c r="AG47" s="85"/>
      <c r="AH47" s="338"/>
      <c r="AI47" s="328"/>
      <c r="AJ47" s="325"/>
      <c r="AK47" s="85"/>
      <c r="AL47" s="85"/>
      <c r="AM47" s="338"/>
      <c r="AN47" s="328"/>
      <c r="AO47" s="344"/>
      <c r="AP47" s="345"/>
      <c r="AQ47" s="92"/>
      <c r="AR47" s="338"/>
      <c r="AS47" s="328"/>
      <c r="AT47" s="349"/>
      <c r="AU47" s="350"/>
      <c r="AV47" s="350"/>
      <c r="AW47" s="350"/>
      <c r="AX47" s="92"/>
      <c r="AY47" s="338"/>
      <c r="AZ47" s="328"/>
      <c r="BA47" s="329"/>
      <c r="BB47" s="85"/>
      <c r="BC47" s="330"/>
      <c r="BD47" s="85"/>
      <c r="BE47" s="330"/>
      <c r="BF47" s="85"/>
      <c r="BG47" s="330"/>
      <c r="BH47" s="327"/>
      <c r="BI47" s="340"/>
      <c r="BJ47" s="336"/>
      <c r="BK47" s="336"/>
      <c r="BL47" s="336"/>
      <c r="BM47" s="381"/>
    </row>
    <row r="48" spans="1:65" x14ac:dyDescent="0.25">
      <c r="A48" s="87"/>
      <c r="B48" s="87"/>
      <c r="C48" s="356"/>
      <c r="D48" s="317"/>
      <c r="E48" s="248"/>
      <c r="F48" s="317"/>
      <c r="G48" s="248"/>
      <c r="H48" s="253"/>
      <c r="I48" s="325"/>
      <c r="J48" s="85"/>
      <c r="K48" s="336"/>
      <c r="L48" s="85"/>
      <c r="M48" s="85"/>
      <c r="N48" s="326"/>
      <c r="O48" s="85"/>
      <c r="P48" s="85"/>
      <c r="Q48" s="338"/>
      <c r="R48" s="328"/>
      <c r="S48" s="325"/>
      <c r="T48" s="85"/>
      <c r="U48" s="336"/>
      <c r="V48" s="85"/>
      <c r="W48" s="85"/>
      <c r="X48" s="326"/>
      <c r="Y48" s="85"/>
      <c r="Z48" s="85"/>
      <c r="AA48" s="338"/>
      <c r="AB48" s="328"/>
      <c r="AC48" s="85"/>
      <c r="AD48" s="85" t="str">
        <f t="shared" si="0"/>
        <v/>
      </c>
      <c r="AE48" s="326"/>
      <c r="AF48" s="85"/>
      <c r="AG48" s="85"/>
      <c r="AH48" s="338"/>
      <c r="AI48" s="328"/>
      <c r="AJ48" s="325"/>
      <c r="AK48" s="85"/>
      <c r="AL48" s="85"/>
      <c r="AM48" s="338"/>
      <c r="AN48" s="328"/>
      <c r="AO48" s="344"/>
      <c r="AP48" s="345"/>
      <c r="AQ48" s="92"/>
      <c r="AR48" s="338"/>
      <c r="AS48" s="328"/>
      <c r="AT48" s="349"/>
      <c r="AU48" s="350"/>
      <c r="AV48" s="350"/>
      <c r="AW48" s="350"/>
      <c r="AX48" s="92"/>
      <c r="AY48" s="338"/>
      <c r="AZ48" s="328"/>
      <c r="BA48" s="329"/>
      <c r="BB48" s="85"/>
      <c r="BC48" s="330"/>
      <c r="BD48" s="85"/>
      <c r="BE48" s="330"/>
      <c r="BF48" s="85"/>
      <c r="BG48" s="330"/>
      <c r="BH48" s="327"/>
      <c r="BI48" s="340"/>
      <c r="BJ48" s="336"/>
      <c r="BK48" s="336"/>
      <c r="BL48" s="336"/>
      <c r="BM48" s="381"/>
    </row>
    <row r="49" spans="1:65" x14ac:dyDescent="0.25">
      <c r="A49" s="87"/>
      <c r="B49" s="87"/>
      <c r="C49" s="356"/>
      <c r="D49" s="317"/>
      <c r="E49" s="248"/>
      <c r="F49" s="317"/>
      <c r="G49" s="248"/>
      <c r="H49" s="253"/>
      <c r="I49" s="325"/>
      <c r="J49" s="85"/>
      <c r="K49" s="336"/>
      <c r="L49" s="85"/>
      <c r="M49" s="85"/>
      <c r="N49" s="326"/>
      <c r="O49" s="85"/>
      <c r="P49" s="85"/>
      <c r="Q49" s="338"/>
      <c r="R49" s="328"/>
      <c r="S49" s="325"/>
      <c r="T49" s="85"/>
      <c r="U49" s="336"/>
      <c r="V49" s="85"/>
      <c r="W49" s="85"/>
      <c r="X49" s="326"/>
      <c r="Y49" s="85"/>
      <c r="Z49" s="85"/>
      <c r="AA49" s="338"/>
      <c r="AB49" s="328"/>
      <c r="AC49" s="85"/>
      <c r="AD49" s="85" t="str">
        <f t="shared" si="0"/>
        <v/>
      </c>
      <c r="AE49" s="326"/>
      <c r="AF49" s="85"/>
      <c r="AG49" s="85"/>
      <c r="AH49" s="338"/>
      <c r="AI49" s="328"/>
      <c r="AJ49" s="325"/>
      <c r="AK49" s="85"/>
      <c r="AL49" s="85"/>
      <c r="AM49" s="338"/>
      <c r="AN49" s="328"/>
      <c r="AO49" s="344"/>
      <c r="AP49" s="345"/>
      <c r="AQ49" s="92"/>
      <c r="AR49" s="338"/>
      <c r="AS49" s="328"/>
      <c r="AT49" s="349"/>
      <c r="AU49" s="350"/>
      <c r="AV49" s="350"/>
      <c r="AW49" s="350"/>
      <c r="AX49" s="92"/>
      <c r="AY49" s="338"/>
      <c r="AZ49" s="328"/>
      <c r="BA49" s="329"/>
      <c r="BB49" s="85"/>
      <c r="BC49" s="330"/>
      <c r="BD49" s="85"/>
      <c r="BE49" s="330"/>
      <c r="BF49" s="85"/>
      <c r="BG49" s="330"/>
      <c r="BH49" s="327"/>
      <c r="BI49" s="340"/>
      <c r="BJ49" s="336"/>
      <c r="BK49" s="336"/>
      <c r="BL49" s="336"/>
      <c r="BM49" s="381"/>
    </row>
    <row r="50" spans="1:65" x14ac:dyDescent="0.25">
      <c r="A50" s="87"/>
      <c r="B50" s="87"/>
      <c r="C50" s="356"/>
      <c r="D50" s="317"/>
      <c r="E50" s="248"/>
      <c r="F50" s="317"/>
      <c r="G50" s="248"/>
      <c r="H50" s="253"/>
      <c r="I50" s="325"/>
      <c r="J50" s="85"/>
      <c r="K50" s="336"/>
      <c r="L50" s="85"/>
      <c r="M50" s="85"/>
      <c r="N50" s="326"/>
      <c r="O50" s="85"/>
      <c r="P50" s="85"/>
      <c r="Q50" s="338"/>
      <c r="R50" s="328"/>
      <c r="S50" s="325"/>
      <c r="T50" s="85"/>
      <c r="U50" s="336"/>
      <c r="V50" s="85"/>
      <c r="W50" s="85"/>
      <c r="X50" s="326"/>
      <c r="Y50" s="85"/>
      <c r="Z50" s="85"/>
      <c r="AA50" s="338"/>
      <c r="AB50" s="328"/>
      <c r="AC50" s="85"/>
      <c r="AD50" s="85" t="str">
        <f t="shared" si="0"/>
        <v/>
      </c>
      <c r="AE50" s="326"/>
      <c r="AF50" s="85"/>
      <c r="AG50" s="85"/>
      <c r="AH50" s="338"/>
      <c r="AI50" s="328"/>
      <c r="AJ50" s="325"/>
      <c r="AK50" s="85"/>
      <c r="AL50" s="85"/>
      <c r="AM50" s="338"/>
      <c r="AN50" s="328"/>
      <c r="AO50" s="344"/>
      <c r="AP50" s="345"/>
      <c r="AQ50" s="92"/>
      <c r="AR50" s="338"/>
      <c r="AS50" s="328"/>
      <c r="AT50" s="349"/>
      <c r="AU50" s="350"/>
      <c r="AV50" s="350"/>
      <c r="AW50" s="350"/>
      <c r="AX50" s="92"/>
      <c r="AY50" s="338"/>
      <c r="AZ50" s="328"/>
      <c r="BA50" s="329"/>
      <c r="BB50" s="85"/>
      <c r="BC50" s="330"/>
      <c r="BD50" s="85"/>
      <c r="BE50" s="330"/>
      <c r="BF50" s="85"/>
      <c r="BG50" s="330"/>
      <c r="BH50" s="327"/>
      <c r="BI50" s="340"/>
      <c r="BJ50" s="336"/>
      <c r="BK50" s="336"/>
      <c r="BL50" s="336"/>
      <c r="BM50" s="381"/>
    </row>
    <row r="51" spans="1:65" x14ac:dyDescent="0.25">
      <c r="A51" s="87"/>
      <c r="B51" s="87"/>
      <c r="C51" s="356"/>
      <c r="D51" s="317"/>
      <c r="E51" s="248"/>
      <c r="F51" s="317"/>
      <c r="G51" s="248"/>
      <c r="H51" s="253"/>
      <c r="I51" s="325"/>
      <c r="J51" s="85"/>
      <c r="K51" s="336"/>
      <c r="L51" s="85"/>
      <c r="M51" s="85"/>
      <c r="N51" s="326"/>
      <c r="O51" s="85"/>
      <c r="P51" s="85"/>
      <c r="Q51" s="338"/>
      <c r="R51" s="328"/>
      <c r="S51" s="325"/>
      <c r="T51" s="85"/>
      <c r="U51" s="336"/>
      <c r="V51" s="85"/>
      <c r="W51" s="85"/>
      <c r="X51" s="326"/>
      <c r="Y51" s="85"/>
      <c r="Z51" s="85"/>
      <c r="AA51" s="338"/>
      <c r="AB51" s="328"/>
      <c r="AC51" s="85"/>
      <c r="AD51" s="85" t="str">
        <f t="shared" si="0"/>
        <v/>
      </c>
      <c r="AE51" s="326"/>
      <c r="AF51" s="85"/>
      <c r="AG51" s="85"/>
      <c r="AH51" s="338"/>
      <c r="AI51" s="328"/>
      <c r="AJ51" s="325"/>
      <c r="AK51" s="85"/>
      <c r="AL51" s="85"/>
      <c r="AM51" s="338"/>
      <c r="AN51" s="328"/>
      <c r="AO51" s="344"/>
      <c r="AP51" s="345"/>
      <c r="AQ51" s="92"/>
      <c r="AR51" s="338"/>
      <c r="AS51" s="328"/>
      <c r="AT51" s="349"/>
      <c r="AU51" s="350"/>
      <c r="AV51" s="350"/>
      <c r="AW51" s="350"/>
      <c r="AX51" s="92"/>
      <c r="AY51" s="338"/>
      <c r="AZ51" s="328"/>
      <c r="BA51" s="329"/>
      <c r="BB51" s="85"/>
      <c r="BC51" s="330"/>
      <c r="BD51" s="85"/>
      <c r="BE51" s="330"/>
      <c r="BF51" s="85"/>
      <c r="BG51" s="330"/>
      <c r="BH51" s="327"/>
      <c r="BI51" s="340"/>
      <c r="BJ51" s="336"/>
      <c r="BK51" s="336"/>
      <c r="BL51" s="336"/>
      <c r="BM51" s="381"/>
    </row>
    <row r="52" spans="1:65" x14ac:dyDescent="0.25">
      <c r="A52" s="87"/>
      <c r="B52" s="87"/>
      <c r="C52" s="356"/>
      <c r="D52" s="317"/>
      <c r="E52" s="248"/>
      <c r="F52" s="317"/>
      <c r="G52" s="248"/>
      <c r="H52" s="253"/>
      <c r="I52" s="325"/>
      <c r="J52" s="85"/>
      <c r="K52" s="336"/>
      <c r="L52" s="85"/>
      <c r="M52" s="85"/>
      <c r="N52" s="326"/>
      <c r="O52" s="85"/>
      <c r="P52" s="85"/>
      <c r="Q52" s="338"/>
      <c r="R52" s="328"/>
      <c r="S52" s="325"/>
      <c r="T52" s="85"/>
      <c r="U52" s="336"/>
      <c r="V52" s="85"/>
      <c r="W52" s="85"/>
      <c r="X52" s="326"/>
      <c r="Y52" s="85"/>
      <c r="Z52" s="85"/>
      <c r="AA52" s="338"/>
      <c r="AB52" s="328"/>
      <c r="AC52" s="85"/>
      <c r="AD52" s="85" t="str">
        <f t="shared" si="0"/>
        <v/>
      </c>
      <c r="AE52" s="326"/>
      <c r="AF52" s="85"/>
      <c r="AG52" s="85"/>
      <c r="AH52" s="338"/>
      <c r="AI52" s="328"/>
      <c r="AJ52" s="325"/>
      <c r="AK52" s="85"/>
      <c r="AL52" s="85"/>
      <c r="AM52" s="338"/>
      <c r="AN52" s="328"/>
      <c r="AO52" s="344"/>
      <c r="AP52" s="345"/>
      <c r="AQ52" s="92"/>
      <c r="AR52" s="338"/>
      <c r="AS52" s="328"/>
      <c r="AT52" s="349"/>
      <c r="AU52" s="350"/>
      <c r="AV52" s="350"/>
      <c r="AW52" s="350"/>
      <c r="AX52" s="92"/>
      <c r="AY52" s="338"/>
      <c r="AZ52" s="328"/>
      <c r="BA52" s="329"/>
      <c r="BB52" s="85"/>
      <c r="BC52" s="330"/>
      <c r="BD52" s="85"/>
      <c r="BE52" s="330"/>
      <c r="BF52" s="85"/>
      <c r="BG52" s="330"/>
      <c r="BH52" s="327"/>
      <c r="BI52" s="340"/>
      <c r="BJ52" s="336"/>
      <c r="BK52" s="336"/>
      <c r="BL52" s="336"/>
      <c r="BM52" s="381"/>
    </row>
    <row r="53" spans="1:65" x14ac:dyDescent="0.25">
      <c r="A53" s="87"/>
      <c r="B53" s="87"/>
      <c r="C53" s="356"/>
      <c r="D53" s="317"/>
      <c r="E53" s="248"/>
      <c r="F53" s="317"/>
      <c r="G53" s="248"/>
      <c r="H53" s="253"/>
      <c r="I53" s="325"/>
      <c r="J53" s="85"/>
      <c r="K53" s="336"/>
      <c r="L53" s="85"/>
      <c r="M53" s="85"/>
      <c r="N53" s="326"/>
      <c r="O53" s="85"/>
      <c r="P53" s="85"/>
      <c r="Q53" s="338"/>
      <c r="R53" s="328"/>
      <c r="S53" s="325"/>
      <c r="T53" s="85"/>
      <c r="U53" s="336"/>
      <c r="V53" s="85"/>
      <c r="W53" s="85"/>
      <c r="X53" s="326"/>
      <c r="Y53" s="85"/>
      <c r="Z53" s="85"/>
      <c r="AA53" s="338"/>
      <c r="AB53" s="328"/>
      <c r="AC53" s="85"/>
      <c r="AD53" s="85" t="str">
        <f t="shared" si="0"/>
        <v/>
      </c>
      <c r="AE53" s="326"/>
      <c r="AF53" s="85"/>
      <c r="AG53" s="85"/>
      <c r="AH53" s="338"/>
      <c r="AI53" s="328"/>
      <c r="AJ53" s="325"/>
      <c r="AK53" s="85"/>
      <c r="AL53" s="85"/>
      <c r="AM53" s="338"/>
      <c r="AN53" s="328"/>
      <c r="AO53" s="344"/>
      <c r="AP53" s="345"/>
      <c r="AQ53" s="92"/>
      <c r="AR53" s="338"/>
      <c r="AS53" s="328"/>
      <c r="AT53" s="349"/>
      <c r="AU53" s="350"/>
      <c r="AV53" s="350"/>
      <c r="AW53" s="350"/>
      <c r="AX53" s="92"/>
      <c r="AY53" s="338"/>
      <c r="AZ53" s="328"/>
      <c r="BA53" s="329"/>
      <c r="BB53" s="85"/>
      <c r="BC53" s="330"/>
      <c r="BD53" s="85"/>
      <c r="BE53" s="330"/>
      <c r="BF53" s="85"/>
      <c r="BG53" s="330"/>
      <c r="BH53" s="327"/>
      <c r="BI53" s="340"/>
      <c r="BJ53" s="336"/>
      <c r="BK53" s="336"/>
      <c r="BL53" s="336"/>
      <c r="BM53" s="381"/>
    </row>
    <row r="54" spans="1:65" x14ac:dyDescent="0.25">
      <c r="A54" s="87"/>
      <c r="B54" s="87"/>
      <c r="C54" s="356"/>
      <c r="D54" s="317"/>
      <c r="E54" s="248"/>
      <c r="F54" s="317"/>
      <c r="G54" s="248"/>
      <c r="H54" s="253"/>
      <c r="I54" s="325"/>
      <c r="J54" s="85"/>
      <c r="K54" s="336"/>
      <c r="L54" s="85"/>
      <c r="M54" s="85"/>
      <c r="N54" s="326"/>
      <c r="O54" s="85"/>
      <c r="P54" s="85"/>
      <c r="Q54" s="338"/>
      <c r="R54" s="328"/>
      <c r="S54" s="325"/>
      <c r="T54" s="85"/>
      <c r="U54" s="336"/>
      <c r="V54" s="85"/>
      <c r="W54" s="85"/>
      <c r="X54" s="326"/>
      <c r="Y54" s="85"/>
      <c r="Z54" s="85"/>
      <c r="AA54" s="338"/>
      <c r="AB54" s="328"/>
      <c r="AC54" s="85"/>
      <c r="AD54" s="85" t="str">
        <f t="shared" si="0"/>
        <v/>
      </c>
      <c r="AE54" s="326"/>
      <c r="AF54" s="85"/>
      <c r="AG54" s="85"/>
      <c r="AH54" s="338"/>
      <c r="AI54" s="328"/>
      <c r="AJ54" s="325"/>
      <c r="AK54" s="85"/>
      <c r="AL54" s="85"/>
      <c r="AM54" s="338"/>
      <c r="AN54" s="328"/>
      <c r="AO54" s="344"/>
      <c r="AP54" s="345"/>
      <c r="AQ54" s="92"/>
      <c r="AR54" s="338"/>
      <c r="AS54" s="328"/>
      <c r="AT54" s="349"/>
      <c r="AU54" s="350"/>
      <c r="AV54" s="350"/>
      <c r="AW54" s="350"/>
      <c r="AX54" s="92"/>
      <c r="AY54" s="338"/>
      <c r="AZ54" s="328"/>
      <c r="BA54" s="329"/>
      <c r="BB54" s="85"/>
      <c r="BC54" s="330"/>
      <c r="BD54" s="85"/>
      <c r="BE54" s="330"/>
      <c r="BF54" s="85"/>
      <c r="BG54" s="330"/>
      <c r="BH54" s="327"/>
      <c r="BI54" s="340"/>
      <c r="BJ54" s="336"/>
      <c r="BK54" s="336"/>
      <c r="BL54" s="336"/>
      <c r="BM54" s="381"/>
    </row>
    <row r="55" spans="1:65" x14ac:dyDescent="0.25">
      <c r="A55" s="87"/>
      <c r="B55" s="87"/>
      <c r="C55" s="356"/>
      <c r="D55" s="317"/>
      <c r="E55" s="248"/>
      <c r="F55" s="317"/>
      <c r="G55" s="248"/>
      <c r="H55" s="253"/>
      <c r="I55" s="325"/>
      <c r="J55" s="85"/>
      <c r="K55" s="336"/>
      <c r="L55" s="85"/>
      <c r="M55" s="85"/>
      <c r="N55" s="326"/>
      <c r="O55" s="85"/>
      <c r="P55" s="85"/>
      <c r="Q55" s="338"/>
      <c r="R55" s="328"/>
      <c r="S55" s="325"/>
      <c r="T55" s="85"/>
      <c r="U55" s="336"/>
      <c r="V55" s="85"/>
      <c r="W55" s="85"/>
      <c r="X55" s="326"/>
      <c r="Y55" s="85"/>
      <c r="Z55" s="85"/>
      <c r="AA55" s="338"/>
      <c r="AB55" s="328"/>
      <c r="AC55" s="85"/>
      <c r="AD55" s="85" t="str">
        <f t="shared" si="0"/>
        <v/>
      </c>
      <c r="AE55" s="326"/>
      <c r="AF55" s="85"/>
      <c r="AG55" s="85"/>
      <c r="AH55" s="338"/>
      <c r="AI55" s="328"/>
      <c r="AJ55" s="325"/>
      <c r="AK55" s="85"/>
      <c r="AL55" s="85"/>
      <c r="AM55" s="338"/>
      <c r="AN55" s="328"/>
      <c r="AO55" s="344"/>
      <c r="AP55" s="345"/>
      <c r="AQ55" s="92"/>
      <c r="AR55" s="338"/>
      <c r="AS55" s="328"/>
      <c r="AT55" s="349"/>
      <c r="AU55" s="350"/>
      <c r="AV55" s="350"/>
      <c r="AW55" s="350"/>
      <c r="AX55" s="92"/>
      <c r="AY55" s="338"/>
      <c r="AZ55" s="328"/>
      <c r="BA55" s="329"/>
      <c r="BB55" s="85"/>
      <c r="BC55" s="330"/>
      <c r="BD55" s="85"/>
      <c r="BE55" s="330"/>
      <c r="BF55" s="85"/>
      <c r="BG55" s="330"/>
      <c r="BH55" s="327"/>
      <c r="BI55" s="340"/>
      <c r="BJ55" s="336"/>
      <c r="BK55" s="336"/>
      <c r="BL55" s="336"/>
      <c r="BM55" s="381"/>
    </row>
    <row r="56" spans="1:65" x14ac:dyDescent="0.25">
      <c r="A56" s="87"/>
      <c r="B56" s="87"/>
      <c r="C56" s="356"/>
      <c r="D56" s="317"/>
      <c r="E56" s="248"/>
      <c r="F56" s="317"/>
      <c r="G56" s="248"/>
      <c r="H56" s="253"/>
      <c r="I56" s="325"/>
      <c r="J56" s="85"/>
      <c r="K56" s="336"/>
      <c r="L56" s="85"/>
      <c r="M56" s="85"/>
      <c r="N56" s="326"/>
      <c r="O56" s="85"/>
      <c r="P56" s="85"/>
      <c r="Q56" s="338"/>
      <c r="R56" s="328"/>
      <c r="S56" s="325"/>
      <c r="T56" s="85"/>
      <c r="U56" s="336"/>
      <c r="V56" s="85"/>
      <c r="W56" s="85"/>
      <c r="X56" s="326"/>
      <c r="Y56" s="85"/>
      <c r="Z56" s="85"/>
      <c r="AA56" s="338"/>
      <c r="AB56" s="328"/>
      <c r="AC56" s="85"/>
      <c r="AD56" s="85" t="str">
        <f t="shared" ref="AD56" si="5">IF(ISBLANK(C56),"",(IF(AC56&lt;&gt;"NA",1,0)))</f>
        <v/>
      </c>
      <c r="AE56" s="326"/>
      <c r="AF56" s="85"/>
      <c r="AG56" s="85"/>
      <c r="AH56" s="338"/>
      <c r="AI56" s="328"/>
      <c r="AJ56" s="325"/>
      <c r="AK56" s="85"/>
      <c r="AL56" s="85"/>
      <c r="AM56" s="338"/>
      <c r="AN56" s="328"/>
      <c r="AO56" s="344"/>
      <c r="AP56" s="345"/>
      <c r="AQ56" s="92"/>
      <c r="AR56" s="338"/>
      <c r="AS56" s="328"/>
      <c r="AT56" s="349"/>
      <c r="AU56" s="350"/>
      <c r="AV56" s="350"/>
      <c r="AW56" s="350"/>
      <c r="AX56" s="92"/>
      <c r="AY56" s="338"/>
      <c r="AZ56" s="328"/>
      <c r="BA56" s="329"/>
      <c r="BB56" s="85"/>
      <c r="BC56" s="330"/>
      <c r="BD56" s="85"/>
      <c r="BE56" s="330"/>
      <c r="BF56" s="85"/>
      <c r="BG56" s="330"/>
      <c r="BH56" s="327"/>
      <c r="BI56" s="340"/>
      <c r="BJ56" s="336"/>
      <c r="BK56" s="336"/>
      <c r="BL56" s="336"/>
      <c r="BM56" s="381"/>
    </row>
    <row r="57" spans="1:65" x14ac:dyDescent="0.25">
      <c r="A57" s="87"/>
      <c r="B57" s="87"/>
      <c r="C57" s="356"/>
      <c r="D57" s="317"/>
      <c r="E57" s="248"/>
      <c r="F57" s="317"/>
      <c r="G57" s="248"/>
      <c r="H57" s="253"/>
      <c r="I57" s="325"/>
      <c r="J57" s="85"/>
      <c r="K57" s="336"/>
      <c r="L57" s="85"/>
      <c r="M57" s="85"/>
      <c r="N57" s="326"/>
      <c r="O57" s="85"/>
      <c r="P57" s="85"/>
      <c r="Q57" s="338"/>
      <c r="R57" s="328"/>
      <c r="S57" s="325"/>
      <c r="T57" s="85"/>
      <c r="U57" s="336"/>
      <c r="V57" s="85"/>
      <c r="W57" s="85"/>
      <c r="X57" s="326"/>
      <c r="Y57" s="85"/>
      <c r="Z57" s="85"/>
      <c r="AA57" s="338"/>
      <c r="AB57" s="328"/>
      <c r="AC57" s="85"/>
      <c r="AD57" s="85" t="str">
        <f t="shared" si="0"/>
        <v/>
      </c>
      <c r="AE57" s="326"/>
      <c r="AF57" s="85"/>
      <c r="AG57" s="85"/>
      <c r="AH57" s="338"/>
      <c r="AI57" s="328"/>
      <c r="AJ57" s="325"/>
      <c r="AK57" s="85"/>
      <c r="AL57" s="85"/>
      <c r="AM57" s="338"/>
      <c r="AN57" s="328"/>
      <c r="AO57" s="344"/>
      <c r="AP57" s="345"/>
      <c r="AQ57" s="92"/>
      <c r="AR57" s="338"/>
      <c r="AS57" s="328"/>
      <c r="AT57" s="349"/>
      <c r="AU57" s="350"/>
      <c r="AV57" s="350"/>
      <c r="AW57" s="350"/>
      <c r="AX57" s="92"/>
      <c r="AY57" s="338"/>
      <c r="AZ57" s="328"/>
      <c r="BA57" s="329"/>
      <c r="BB57" s="85"/>
      <c r="BC57" s="330"/>
      <c r="BD57" s="85"/>
      <c r="BE57" s="330"/>
      <c r="BF57" s="85"/>
      <c r="BG57" s="330"/>
      <c r="BH57" s="327"/>
      <c r="BI57" s="340"/>
      <c r="BJ57" s="336"/>
      <c r="BK57" s="336"/>
      <c r="BL57" s="336"/>
      <c r="BM57" s="381"/>
    </row>
    <row r="58" spans="1:65" x14ac:dyDescent="0.25">
      <c r="A58" s="87"/>
      <c r="B58" s="87"/>
      <c r="C58" s="356"/>
      <c r="D58" s="317"/>
      <c r="E58" s="248"/>
      <c r="F58" s="317"/>
      <c r="G58" s="248"/>
      <c r="H58" s="253"/>
      <c r="I58" s="325"/>
      <c r="J58" s="85"/>
      <c r="K58" s="336"/>
      <c r="L58" s="85"/>
      <c r="M58" s="85"/>
      <c r="N58" s="326"/>
      <c r="O58" s="85"/>
      <c r="P58" s="85"/>
      <c r="Q58" s="338"/>
      <c r="R58" s="328"/>
      <c r="S58" s="325"/>
      <c r="T58" s="85"/>
      <c r="U58" s="336"/>
      <c r="V58" s="85"/>
      <c r="W58" s="85"/>
      <c r="X58" s="326"/>
      <c r="Y58" s="85"/>
      <c r="Z58" s="85"/>
      <c r="AA58" s="338"/>
      <c r="AB58" s="328"/>
      <c r="AC58" s="85"/>
      <c r="AD58" s="85" t="str">
        <f t="shared" ref="AD58" si="6">IF(ISBLANK(C58),"",(IF(AC58&lt;&gt;"NA",1,0)))</f>
        <v/>
      </c>
      <c r="AE58" s="326"/>
      <c r="AF58" s="85"/>
      <c r="AG58" s="85"/>
      <c r="AH58" s="338"/>
      <c r="AI58" s="328"/>
      <c r="AJ58" s="325"/>
      <c r="AK58" s="85"/>
      <c r="AL58" s="85"/>
      <c r="AM58" s="338"/>
      <c r="AN58" s="328"/>
      <c r="AO58" s="344"/>
      <c r="AP58" s="345"/>
      <c r="AQ58" s="92"/>
      <c r="AR58" s="338"/>
      <c r="AS58" s="328"/>
      <c r="AT58" s="349"/>
      <c r="AU58" s="350"/>
      <c r="AV58" s="350"/>
      <c r="AW58" s="350"/>
      <c r="AX58" s="92"/>
      <c r="AY58" s="338"/>
      <c r="AZ58" s="328"/>
      <c r="BA58" s="329"/>
      <c r="BB58" s="85"/>
      <c r="BC58" s="330"/>
      <c r="BD58" s="85"/>
      <c r="BE58" s="330"/>
      <c r="BF58" s="85"/>
      <c r="BG58" s="330"/>
      <c r="BH58" s="327"/>
      <c r="BI58" s="340"/>
      <c r="BJ58" s="336"/>
      <c r="BK58" s="336"/>
      <c r="BL58" s="336"/>
      <c r="BM58" s="381"/>
    </row>
    <row r="59" spans="1:65" x14ac:dyDescent="0.25">
      <c r="A59" s="87"/>
      <c r="B59" s="87"/>
      <c r="C59" s="356"/>
      <c r="D59" s="317"/>
      <c r="E59" s="248"/>
      <c r="F59" s="317"/>
      <c r="G59" s="248"/>
      <c r="H59" s="253"/>
      <c r="I59" s="325"/>
      <c r="J59" s="85"/>
      <c r="K59" s="336"/>
      <c r="L59" s="85"/>
      <c r="M59" s="85"/>
      <c r="N59" s="326"/>
      <c r="O59" s="85"/>
      <c r="P59" s="85"/>
      <c r="Q59" s="338"/>
      <c r="R59" s="328"/>
      <c r="S59" s="325"/>
      <c r="T59" s="85"/>
      <c r="U59" s="336"/>
      <c r="V59" s="85"/>
      <c r="W59" s="85"/>
      <c r="X59" s="326"/>
      <c r="Y59" s="85"/>
      <c r="Z59" s="85"/>
      <c r="AA59" s="338"/>
      <c r="AB59" s="328"/>
      <c r="AC59" s="85"/>
      <c r="AD59" s="85" t="str">
        <f t="shared" si="0"/>
        <v/>
      </c>
      <c r="AE59" s="326"/>
      <c r="AF59" s="85"/>
      <c r="AG59" s="85"/>
      <c r="AH59" s="338"/>
      <c r="AI59" s="328"/>
      <c r="AJ59" s="325"/>
      <c r="AK59" s="85"/>
      <c r="AL59" s="85"/>
      <c r="AM59" s="338"/>
      <c r="AN59" s="328"/>
      <c r="AO59" s="344"/>
      <c r="AP59" s="345"/>
      <c r="AQ59" s="92"/>
      <c r="AR59" s="338"/>
      <c r="AS59" s="328"/>
      <c r="AT59" s="349"/>
      <c r="AU59" s="350"/>
      <c r="AV59" s="350"/>
      <c r="AW59" s="350"/>
      <c r="AX59" s="92"/>
      <c r="AY59" s="338"/>
      <c r="AZ59" s="328"/>
      <c r="BA59" s="329"/>
      <c r="BB59" s="85"/>
      <c r="BC59" s="330"/>
      <c r="BD59" s="85"/>
      <c r="BE59" s="330"/>
      <c r="BF59" s="85"/>
      <c r="BG59" s="330"/>
      <c r="BH59" s="327"/>
      <c r="BI59" s="340"/>
      <c r="BJ59" s="336"/>
      <c r="BK59" s="336"/>
      <c r="BL59" s="336"/>
      <c r="BM59" s="381"/>
    </row>
    <row r="60" spans="1:65" x14ac:dyDescent="0.25">
      <c r="A60" s="87"/>
      <c r="B60" s="87"/>
      <c r="C60" s="356"/>
      <c r="D60" s="317"/>
      <c r="E60" s="248"/>
      <c r="F60" s="317"/>
      <c r="G60" s="248"/>
      <c r="H60" s="253"/>
      <c r="I60" s="325"/>
      <c r="J60" s="85"/>
      <c r="K60" s="336"/>
      <c r="L60" s="85"/>
      <c r="M60" s="85"/>
      <c r="N60" s="326"/>
      <c r="O60" s="85"/>
      <c r="P60" s="85"/>
      <c r="Q60" s="338"/>
      <c r="R60" s="328"/>
      <c r="S60" s="325"/>
      <c r="T60" s="85"/>
      <c r="U60" s="336"/>
      <c r="V60" s="85"/>
      <c r="W60" s="85"/>
      <c r="X60" s="326"/>
      <c r="Y60" s="85"/>
      <c r="Z60" s="85"/>
      <c r="AA60" s="338"/>
      <c r="AB60" s="328"/>
      <c r="AC60" s="85"/>
      <c r="AD60" s="85" t="str">
        <f t="shared" si="0"/>
        <v/>
      </c>
      <c r="AE60" s="326"/>
      <c r="AF60" s="85"/>
      <c r="AG60" s="85"/>
      <c r="AH60" s="338"/>
      <c r="AI60" s="328"/>
      <c r="AJ60" s="325"/>
      <c r="AK60" s="85"/>
      <c r="AL60" s="85"/>
      <c r="AM60" s="338"/>
      <c r="AN60" s="328"/>
      <c r="AO60" s="344"/>
      <c r="AP60" s="345"/>
      <c r="AQ60" s="92"/>
      <c r="AR60" s="338"/>
      <c r="AS60" s="328"/>
      <c r="AT60" s="349"/>
      <c r="AU60" s="350"/>
      <c r="AV60" s="350"/>
      <c r="AW60" s="350"/>
      <c r="AX60" s="92"/>
      <c r="AY60" s="338"/>
      <c r="AZ60" s="328"/>
      <c r="BA60" s="329"/>
      <c r="BB60" s="85"/>
      <c r="BC60" s="330"/>
      <c r="BD60" s="85"/>
      <c r="BE60" s="330"/>
      <c r="BF60" s="85"/>
      <c r="BG60" s="330"/>
      <c r="BH60" s="327"/>
      <c r="BI60" s="340"/>
      <c r="BJ60" s="336"/>
      <c r="BK60" s="336"/>
      <c r="BL60" s="336"/>
      <c r="BM60" s="381"/>
    </row>
    <row r="61" spans="1:65" x14ac:dyDescent="0.25">
      <c r="A61" s="87"/>
      <c r="B61" s="87"/>
      <c r="C61" s="356"/>
      <c r="D61" s="317"/>
      <c r="E61" s="248"/>
      <c r="F61" s="317"/>
      <c r="G61" s="248"/>
      <c r="H61" s="253"/>
      <c r="I61" s="325"/>
      <c r="J61" s="85"/>
      <c r="K61" s="336"/>
      <c r="L61" s="364"/>
      <c r="M61" s="364"/>
      <c r="N61" s="365"/>
      <c r="O61" s="364"/>
      <c r="P61" s="364"/>
      <c r="Q61" s="366"/>
      <c r="R61" s="328"/>
      <c r="S61" s="325"/>
      <c r="T61" s="85"/>
      <c r="U61" s="336"/>
      <c r="V61" s="85"/>
      <c r="W61" s="85"/>
      <c r="X61" s="326"/>
      <c r="Y61" s="85"/>
      <c r="Z61" s="85"/>
      <c r="AA61" s="338"/>
      <c r="AB61" s="328"/>
      <c r="AC61" s="85"/>
      <c r="AD61" s="85" t="str">
        <f t="shared" si="0"/>
        <v/>
      </c>
      <c r="AE61" s="326"/>
      <c r="AF61" s="85"/>
      <c r="AG61" s="85"/>
      <c r="AH61" s="338"/>
      <c r="AI61" s="328"/>
      <c r="AJ61" s="325"/>
      <c r="AK61" s="85"/>
      <c r="AL61" s="85"/>
      <c r="AM61" s="338"/>
      <c r="AN61" s="328"/>
      <c r="AO61" s="344"/>
      <c r="AP61" s="345"/>
      <c r="AQ61" s="92"/>
      <c r="AR61" s="338"/>
      <c r="AS61" s="328"/>
      <c r="AT61" s="349"/>
      <c r="AU61" s="350"/>
      <c r="AV61" s="350"/>
      <c r="AW61" s="350"/>
      <c r="AX61" s="92"/>
      <c r="AY61" s="338"/>
      <c r="AZ61" s="328"/>
      <c r="BA61" s="329"/>
      <c r="BB61" s="85"/>
      <c r="BC61" s="330"/>
      <c r="BD61" s="85"/>
      <c r="BE61" s="330"/>
      <c r="BF61" s="85"/>
      <c r="BG61" s="330"/>
      <c r="BH61" s="327"/>
      <c r="BI61" s="340"/>
      <c r="BJ61" s="336"/>
      <c r="BK61" s="336"/>
      <c r="BL61" s="336"/>
      <c r="BM61" s="381"/>
    </row>
    <row r="62" spans="1:65" s="354" customFormat="1" ht="15.75" customHeight="1" x14ac:dyDescent="0.25">
      <c r="A62" s="87"/>
      <c r="B62" s="87"/>
      <c r="C62" s="356"/>
      <c r="D62" s="317"/>
      <c r="E62" s="248"/>
      <c r="F62" s="317"/>
      <c r="G62" s="248"/>
      <c r="H62" s="253"/>
      <c r="I62" s="325"/>
      <c r="J62" s="85"/>
      <c r="K62" s="336"/>
      <c r="L62" s="85"/>
      <c r="M62" s="85"/>
      <c r="N62" s="326"/>
      <c r="O62" s="85"/>
      <c r="P62" s="85"/>
      <c r="Q62" s="338"/>
      <c r="R62" s="328"/>
      <c r="S62" s="325"/>
      <c r="T62" s="85"/>
      <c r="U62" s="336"/>
      <c r="V62" s="364"/>
      <c r="W62" s="364"/>
      <c r="X62" s="365"/>
      <c r="Y62" s="364"/>
      <c r="Z62" s="364"/>
      <c r="AA62" s="366"/>
      <c r="AB62" s="328"/>
      <c r="AC62" s="85"/>
      <c r="AD62" s="85" t="str">
        <f t="shared" ref="AD62" si="7">IF(ISBLANK(C62),"",(IF(AC62&lt;&gt;"NA",1,0)))</f>
        <v/>
      </c>
      <c r="AE62" s="326"/>
      <c r="AF62" s="85"/>
      <c r="AG62" s="85"/>
      <c r="AH62" s="338"/>
      <c r="AI62" s="328"/>
      <c r="AJ62" s="325"/>
      <c r="AK62" s="85"/>
      <c r="AL62" s="85"/>
      <c r="AM62" s="338"/>
      <c r="AN62" s="328"/>
      <c r="AO62" s="344"/>
      <c r="AP62" s="345"/>
      <c r="AQ62" s="92"/>
      <c r="AR62" s="338"/>
      <c r="AS62" s="328"/>
      <c r="AT62" s="349"/>
      <c r="AU62" s="350"/>
      <c r="AV62" s="350"/>
      <c r="AW62" s="350"/>
      <c r="AX62" s="92"/>
      <c r="AY62" s="338"/>
      <c r="AZ62" s="328"/>
      <c r="BA62" s="329"/>
      <c r="BB62" s="85"/>
      <c r="BC62" s="330"/>
      <c r="BD62" s="85"/>
      <c r="BE62" s="330"/>
      <c r="BF62" s="85"/>
      <c r="BG62" s="330"/>
      <c r="BH62" s="327"/>
      <c r="BI62" s="340"/>
      <c r="BJ62" s="336"/>
      <c r="BK62" s="336"/>
      <c r="BL62" s="336"/>
      <c r="BM62" s="381"/>
    </row>
    <row r="63" spans="1:65" ht="15.75" customHeight="1" x14ac:dyDescent="0.25">
      <c r="A63" s="87"/>
      <c r="B63" s="87"/>
      <c r="C63" s="356"/>
      <c r="D63" s="317"/>
      <c r="E63" s="248"/>
      <c r="F63" s="317"/>
      <c r="G63" s="248"/>
      <c r="H63" s="253"/>
      <c r="I63" s="325"/>
      <c r="J63" s="85"/>
      <c r="K63" s="336"/>
      <c r="L63" s="85"/>
      <c r="M63" s="85"/>
      <c r="N63" s="326"/>
      <c r="O63" s="85"/>
      <c r="P63" s="85"/>
      <c r="Q63" s="338"/>
      <c r="R63" s="328"/>
      <c r="S63" s="325"/>
      <c r="T63" s="85"/>
      <c r="U63" s="336"/>
      <c r="V63" s="85"/>
      <c r="W63" s="85"/>
      <c r="X63" s="326"/>
      <c r="Y63" s="85"/>
      <c r="Z63" s="85"/>
      <c r="AA63" s="338"/>
      <c r="AB63" s="328"/>
      <c r="AC63" s="85"/>
      <c r="AD63" s="85" t="str">
        <f t="shared" si="0"/>
        <v/>
      </c>
      <c r="AE63" s="326"/>
      <c r="AF63" s="85"/>
      <c r="AG63" s="85"/>
      <c r="AH63" s="338"/>
      <c r="AI63" s="328"/>
      <c r="AJ63" s="325"/>
      <c r="AK63" s="85"/>
      <c r="AL63" s="85"/>
      <c r="AM63" s="338"/>
      <c r="AN63" s="328"/>
      <c r="AO63" s="344"/>
      <c r="AP63" s="345"/>
      <c r="AQ63" s="92"/>
      <c r="AR63" s="338"/>
      <c r="AS63" s="328"/>
      <c r="AT63" s="349"/>
      <c r="AU63" s="350"/>
      <c r="AV63" s="350"/>
      <c r="AW63" s="350"/>
      <c r="AX63" s="92"/>
      <c r="AY63" s="338"/>
      <c r="AZ63" s="328"/>
      <c r="BA63" s="329"/>
      <c r="BB63" s="85"/>
      <c r="BC63" s="330"/>
      <c r="BD63" s="85"/>
      <c r="BE63" s="330"/>
      <c r="BF63" s="85"/>
      <c r="BG63" s="330"/>
      <c r="BH63" s="327"/>
      <c r="BI63" s="340"/>
      <c r="BJ63" s="336"/>
      <c r="BK63" s="336"/>
      <c r="BL63" s="336"/>
      <c r="BM63" s="381"/>
    </row>
    <row r="64" spans="1:65" x14ac:dyDescent="0.25">
      <c r="A64" s="87"/>
      <c r="B64" s="87"/>
      <c r="C64" s="356"/>
      <c r="D64" s="317"/>
      <c r="E64" s="248"/>
      <c r="F64" s="317"/>
      <c r="G64" s="248"/>
      <c r="H64" s="253"/>
      <c r="I64" s="325"/>
      <c r="J64" s="85"/>
      <c r="K64" s="336"/>
      <c r="L64" s="85"/>
      <c r="M64" s="85"/>
      <c r="N64" s="326"/>
      <c r="O64" s="85"/>
      <c r="P64" s="85"/>
      <c r="Q64" s="338"/>
      <c r="R64" s="328"/>
      <c r="S64" s="325"/>
      <c r="T64" s="85"/>
      <c r="U64" s="336"/>
      <c r="V64" s="85"/>
      <c r="W64" s="85"/>
      <c r="X64" s="326"/>
      <c r="Y64" s="85"/>
      <c r="Z64" s="85"/>
      <c r="AA64" s="338"/>
      <c r="AB64" s="328"/>
      <c r="AC64" s="85"/>
      <c r="AD64" s="85"/>
      <c r="AE64" s="326"/>
      <c r="AF64" s="85"/>
      <c r="AG64" s="85"/>
      <c r="AH64" s="338"/>
      <c r="AI64" s="328"/>
      <c r="AJ64" s="325"/>
      <c r="AK64" s="85"/>
      <c r="AL64" s="85"/>
      <c r="AM64" s="338"/>
      <c r="AN64" s="328"/>
      <c r="AO64" s="344"/>
      <c r="AP64" s="345"/>
      <c r="AQ64" s="92"/>
      <c r="AR64" s="338"/>
      <c r="AS64" s="328"/>
      <c r="AT64" s="349"/>
      <c r="AU64" s="350"/>
      <c r="AV64" s="350"/>
      <c r="AW64" s="350"/>
      <c r="AX64" s="92"/>
      <c r="AY64" s="338"/>
      <c r="AZ64" s="328"/>
      <c r="BA64" s="329"/>
      <c r="BB64" s="85"/>
      <c r="BC64" s="330"/>
      <c r="BD64" s="85"/>
      <c r="BE64" s="330"/>
      <c r="BF64" s="85"/>
      <c r="BG64" s="330"/>
      <c r="BH64" s="327"/>
      <c r="BI64" s="340"/>
      <c r="BJ64" s="336"/>
      <c r="BK64" s="336"/>
      <c r="BL64" s="336"/>
      <c r="BM64" s="381"/>
    </row>
    <row r="65" spans="1:65" x14ac:dyDescent="0.25">
      <c r="A65" s="87"/>
      <c r="B65" s="87"/>
      <c r="C65" s="356"/>
      <c r="D65" s="317"/>
      <c r="E65" s="248"/>
      <c r="F65" s="317"/>
      <c r="G65" s="248"/>
      <c r="H65" s="253"/>
      <c r="I65" s="325"/>
      <c r="J65" s="85"/>
      <c r="K65" s="336"/>
      <c r="L65" s="85"/>
      <c r="M65" s="85"/>
      <c r="N65" s="326"/>
      <c r="O65" s="85"/>
      <c r="P65" s="85"/>
      <c r="Q65" s="338"/>
      <c r="R65" s="328"/>
      <c r="S65" s="325"/>
      <c r="T65" s="85"/>
      <c r="U65" s="336"/>
      <c r="V65" s="85"/>
      <c r="W65" s="85"/>
      <c r="X65" s="326"/>
      <c r="Y65" s="85"/>
      <c r="Z65" s="85"/>
      <c r="AA65" s="338"/>
      <c r="AB65" s="328"/>
      <c r="AC65" s="85"/>
      <c r="AD65" s="85" t="str">
        <f t="shared" si="0"/>
        <v/>
      </c>
      <c r="AE65" s="326"/>
      <c r="AF65" s="85"/>
      <c r="AG65" s="85"/>
      <c r="AH65" s="338"/>
      <c r="AI65" s="328"/>
      <c r="AJ65" s="325"/>
      <c r="AK65" s="85"/>
      <c r="AL65" s="85"/>
      <c r="AM65" s="338"/>
      <c r="AN65" s="328"/>
      <c r="AO65" s="344"/>
      <c r="AP65" s="345"/>
      <c r="AQ65" s="92"/>
      <c r="AR65" s="338"/>
      <c r="AS65" s="328"/>
      <c r="AT65" s="349"/>
      <c r="AU65" s="350"/>
      <c r="AV65" s="350"/>
      <c r="AW65" s="350"/>
      <c r="AX65" s="92"/>
      <c r="AY65" s="338"/>
      <c r="AZ65" s="328"/>
      <c r="BA65" s="329"/>
      <c r="BB65" s="85"/>
      <c r="BC65" s="330"/>
      <c r="BD65" s="85"/>
      <c r="BE65" s="330"/>
      <c r="BF65" s="85"/>
      <c r="BG65" s="330"/>
      <c r="BH65" s="327"/>
      <c r="BI65" s="340"/>
      <c r="BJ65" s="336"/>
      <c r="BK65" s="336"/>
      <c r="BL65" s="336"/>
      <c r="BM65" s="381"/>
    </row>
    <row r="66" spans="1:65" x14ac:dyDescent="0.25">
      <c r="A66" s="87"/>
      <c r="B66" s="87"/>
      <c r="C66" s="356"/>
      <c r="D66" s="317"/>
      <c r="E66" s="248"/>
      <c r="F66" s="317"/>
      <c r="G66" s="248"/>
      <c r="H66" s="253"/>
      <c r="I66" s="325"/>
      <c r="J66" s="85"/>
      <c r="K66" s="336"/>
      <c r="L66" s="85"/>
      <c r="M66" s="85"/>
      <c r="N66" s="326"/>
      <c r="O66" s="85"/>
      <c r="P66" s="85"/>
      <c r="Q66" s="338"/>
      <c r="R66" s="328"/>
      <c r="S66" s="325"/>
      <c r="T66" s="85"/>
      <c r="U66" s="336"/>
      <c r="V66" s="85"/>
      <c r="W66" s="85"/>
      <c r="X66" s="326"/>
      <c r="Y66" s="85"/>
      <c r="Z66" s="85"/>
      <c r="AA66" s="338"/>
      <c r="AB66" s="328"/>
      <c r="AC66" s="85"/>
      <c r="AD66" s="85" t="str">
        <f t="shared" si="0"/>
        <v/>
      </c>
      <c r="AE66" s="326"/>
      <c r="AF66" s="85"/>
      <c r="AG66" s="85"/>
      <c r="AH66" s="338"/>
      <c r="AI66" s="328"/>
      <c r="AJ66" s="325"/>
      <c r="AK66" s="85"/>
      <c r="AL66" s="85"/>
      <c r="AM66" s="338"/>
      <c r="AN66" s="328"/>
      <c r="AO66" s="344"/>
      <c r="AP66" s="345"/>
      <c r="AQ66" s="92"/>
      <c r="AR66" s="338"/>
      <c r="AS66" s="328"/>
      <c r="AT66" s="349"/>
      <c r="AU66" s="350"/>
      <c r="AV66" s="350"/>
      <c r="AW66" s="350"/>
      <c r="AX66" s="92"/>
      <c r="AY66" s="338"/>
      <c r="AZ66" s="328"/>
      <c r="BA66" s="329"/>
      <c r="BB66" s="85"/>
      <c r="BC66" s="330"/>
      <c r="BD66" s="85"/>
      <c r="BE66" s="330"/>
      <c r="BF66" s="85"/>
      <c r="BG66" s="330"/>
      <c r="BH66" s="327"/>
      <c r="BI66" s="340"/>
      <c r="BJ66" s="336"/>
      <c r="BK66" s="336"/>
      <c r="BL66" s="336"/>
      <c r="BM66" s="381"/>
    </row>
    <row r="67" spans="1:65" x14ac:dyDescent="0.25">
      <c r="A67" s="87"/>
      <c r="B67" s="87"/>
      <c r="C67" s="356"/>
      <c r="D67" s="317"/>
      <c r="E67" s="248"/>
      <c r="F67" s="317"/>
      <c r="G67" s="248"/>
      <c r="H67" s="253"/>
      <c r="I67" s="325"/>
      <c r="J67" s="85"/>
      <c r="K67" s="336"/>
      <c r="L67" s="85"/>
      <c r="M67" s="85"/>
      <c r="N67" s="326"/>
      <c r="O67" s="85"/>
      <c r="P67" s="85"/>
      <c r="Q67" s="338"/>
      <c r="R67" s="328"/>
      <c r="S67" s="325"/>
      <c r="T67" s="85"/>
      <c r="U67" s="336"/>
      <c r="V67" s="85"/>
      <c r="W67" s="85"/>
      <c r="X67" s="326"/>
      <c r="Y67" s="85"/>
      <c r="Z67" s="85"/>
      <c r="AA67" s="338"/>
      <c r="AB67" s="328"/>
      <c r="AC67" s="85"/>
      <c r="AD67" s="85" t="str">
        <f t="shared" si="0"/>
        <v/>
      </c>
      <c r="AE67" s="326"/>
      <c r="AF67" s="85"/>
      <c r="AG67" s="85"/>
      <c r="AH67" s="338"/>
      <c r="AI67" s="328"/>
      <c r="AJ67" s="325"/>
      <c r="AK67" s="85"/>
      <c r="AL67" s="85"/>
      <c r="AM67" s="338"/>
      <c r="AN67" s="328"/>
      <c r="AO67" s="344"/>
      <c r="AP67" s="345"/>
      <c r="AQ67" s="92"/>
      <c r="AR67" s="338"/>
      <c r="AS67" s="328"/>
      <c r="AT67" s="349"/>
      <c r="AU67" s="350"/>
      <c r="AV67" s="350"/>
      <c r="AW67" s="350"/>
      <c r="AX67" s="92"/>
      <c r="AY67" s="338"/>
      <c r="AZ67" s="328"/>
      <c r="BA67" s="329"/>
      <c r="BB67" s="85"/>
      <c r="BC67" s="330"/>
      <c r="BD67" s="85"/>
      <c r="BE67" s="330"/>
      <c r="BF67" s="85"/>
      <c r="BG67" s="330"/>
      <c r="BH67" s="327"/>
      <c r="BI67" s="340"/>
      <c r="BJ67" s="336"/>
      <c r="BK67" s="336"/>
      <c r="BL67" s="336"/>
      <c r="BM67" s="381"/>
    </row>
    <row r="68" spans="1:65" x14ac:dyDescent="0.25">
      <c r="A68" s="87"/>
      <c r="B68" s="87"/>
      <c r="C68" s="356"/>
      <c r="D68" s="317"/>
      <c r="E68" s="248"/>
      <c r="F68" s="317"/>
      <c r="G68" s="248"/>
      <c r="H68" s="253"/>
      <c r="I68" s="325"/>
      <c r="J68" s="85"/>
      <c r="K68" s="336"/>
      <c r="L68" s="85"/>
      <c r="M68" s="85"/>
      <c r="N68" s="326"/>
      <c r="O68" s="85"/>
      <c r="P68" s="85"/>
      <c r="Q68" s="338"/>
      <c r="R68" s="328"/>
      <c r="S68" s="325"/>
      <c r="T68" s="85"/>
      <c r="U68" s="336"/>
      <c r="V68" s="85"/>
      <c r="W68" s="85"/>
      <c r="X68" s="326"/>
      <c r="Y68" s="85"/>
      <c r="Z68" s="85"/>
      <c r="AA68" s="338"/>
      <c r="AB68" s="328"/>
      <c r="AC68" s="85"/>
      <c r="AD68" s="85" t="str">
        <f t="shared" si="0"/>
        <v/>
      </c>
      <c r="AE68" s="326"/>
      <c r="AF68" s="85"/>
      <c r="AG68" s="85"/>
      <c r="AH68" s="338"/>
      <c r="AI68" s="328"/>
      <c r="AJ68" s="325"/>
      <c r="AK68" s="85"/>
      <c r="AL68" s="85"/>
      <c r="AM68" s="338"/>
      <c r="AN68" s="328"/>
      <c r="AO68" s="344"/>
      <c r="AP68" s="345"/>
      <c r="AQ68" s="92"/>
      <c r="AR68" s="338"/>
      <c r="AS68" s="328"/>
      <c r="AT68" s="349"/>
      <c r="AU68" s="350"/>
      <c r="AV68" s="350"/>
      <c r="AW68" s="350"/>
      <c r="AX68" s="92"/>
      <c r="AY68" s="338"/>
      <c r="AZ68" s="328"/>
      <c r="BA68" s="329"/>
      <c r="BB68" s="85"/>
      <c r="BC68" s="330"/>
      <c r="BD68" s="85"/>
      <c r="BE68" s="330"/>
      <c r="BF68" s="85"/>
      <c r="BG68" s="330"/>
      <c r="BH68" s="327"/>
      <c r="BI68" s="340"/>
      <c r="BJ68" s="336"/>
      <c r="BK68" s="336"/>
      <c r="BL68" s="336"/>
      <c r="BM68" s="381"/>
    </row>
    <row r="69" spans="1:65" x14ac:dyDescent="0.25">
      <c r="A69" s="87"/>
      <c r="B69" s="87"/>
      <c r="C69" s="356"/>
      <c r="D69" s="317"/>
      <c r="E69" s="248"/>
      <c r="F69" s="317"/>
      <c r="G69" s="248"/>
      <c r="H69" s="253"/>
      <c r="I69" s="325"/>
      <c r="J69" s="85"/>
      <c r="K69" s="336"/>
      <c r="L69" s="85"/>
      <c r="M69" s="85"/>
      <c r="N69" s="326"/>
      <c r="O69" s="85"/>
      <c r="P69" s="85"/>
      <c r="Q69" s="338"/>
      <c r="R69" s="328"/>
      <c r="S69" s="325"/>
      <c r="T69" s="85"/>
      <c r="U69" s="336"/>
      <c r="V69" s="85"/>
      <c r="W69" s="85"/>
      <c r="X69" s="326"/>
      <c r="Y69" s="85"/>
      <c r="Z69" s="85"/>
      <c r="AA69" s="338"/>
      <c r="AB69" s="328"/>
      <c r="AC69" s="85"/>
      <c r="AD69" s="85" t="str">
        <f t="shared" si="0"/>
        <v/>
      </c>
      <c r="AE69" s="326"/>
      <c r="AF69" s="85"/>
      <c r="AG69" s="85"/>
      <c r="AH69" s="338"/>
      <c r="AI69" s="328"/>
      <c r="AJ69" s="325"/>
      <c r="AK69" s="85"/>
      <c r="AL69" s="85"/>
      <c r="AM69" s="338"/>
      <c r="AN69" s="328"/>
      <c r="AO69" s="344"/>
      <c r="AP69" s="345"/>
      <c r="AQ69" s="92"/>
      <c r="AR69" s="338"/>
      <c r="AS69" s="328"/>
      <c r="AT69" s="349"/>
      <c r="AU69" s="350"/>
      <c r="AV69" s="350"/>
      <c r="AW69" s="350"/>
      <c r="AX69" s="92"/>
      <c r="AY69" s="338"/>
      <c r="AZ69" s="328"/>
      <c r="BA69" s="329"/>
      <c r="BB69" s="85"/>
      <c r="BC69" s="330"/>
      <c r="BD69" s="85"/>
      <c r="BE69" s="330"/>
      <c r="BF69" s="85"/>
      <c r="BG69" s="330"/>
      <c r="BH69" s="327"/>
      <c r="BI69" s="340"/>
      <c r="BJ69" s="336"/>
      <c r="BK69" s="336"/>
      <c r="BL69" s="336"/>
      <c r="BM69" s="381"/>
    </row>
    <row r="70" spans="1:65" x14ac:dyDescent="0.25">
      <c r="A70" s="87"/>
      <c r="B70" s="87"/>
      <c r="C70" s="356"/>
      <c r="D70" s="317"/>
      <c r="E70" s="248"/>
      <c r="F70" s="317"/>
      <c r="G70" s="248"/>
      <c r="H70" s="253"/>
      <c r="I70" s="325"/>
      <c r="J70" s="85"/>
      <c r="K70" s="336"/>
      <c r="L70" s="85"/>
      <c r="M70" s="85"/>
      <c r="N70" s="326"/>
      <c r="O70" s="85"/>
      <c r="P70" s="85"/>
      <c r="Q70" s="338"/>
      <c r="R70" s="328"/>
      <c r="S70" s="325"/>
      <c r="T70" s="85"/>
      <c r="U70" s="336"/>
      <c r="V70" s="85"/>
      <c r="W70" s="85"/>
      <c r="X70" s="326"/>
      <c r="Y70" s="85"/>
      <c r="Z70" s="85"/>
      <c r="AA70" s="338"/>
      <c r="AB70" s="328"/>
      <c r="AC70" s="85"/>
      <c r="AD70" s="85" t="str">
        <f t="shared" si="0"/>
        <v/>
      </c>
      <c r="AE70" s="326"/>
      <c r="AF70" s="85"/>
      <c r="AG70" s="85"/>
      <c r="AH70" s="338"/>
      <c r="AI70" s="328"/>
      <c r="AJ70" s="325"/>
      <c r="AK70" s="85"/>
      <c r="AL70" s="85"/>
      <c r="AM70" s="338"/>
      <c r="AN70" s="328"/>
      <c r="AO70" s="344"/>
      <c r="AP70" s="345"/>
      <c r="AQ70" s="92"/>
      <c r="AR70" s="338"/>
      <c r="AS70" s="328"/>
      <c r="AT70" s="349"/>
      <c r="AU70" s="350"/>
      <c r="AV70" s="350"/>
      <c r="AW70" s="350"/>
      <c r="AX70" s="92"/>
      <c r="AY70" s="338"/>
      <c r="AZ70" s="328"/>
      <c r="BA70" s="329"/>
      <c r="BB70" s="85"/>
      <c r="BC70" s="330"/>
      <c r="BD70" s="85"/>
      <c r="BE70" s="330"/>
      <c r="BF70" s="85"/>
      <c r="BG70" s="330"/>
      <c r="BH70" s="327"/>
      <c r="BI70" s="340"/>
      <c r="BJ70" s="336"/>
      <c r="BK70" s="336"/>
      <c r="BL70" s="336"/>
      <c r="BM70" s="381"/>
    </row>
    <row r="71" spans="1:65" x14ac:dyDescent="0.25">
      <c r="A71" s="87"/>
      <c r="B71" s="87"/>
      <c r="C71" s="356"/>
      <c r="D71" s="317"/>
      <c r="E71" s="248"/>
      <c r="F71" s="317"/>
      <c r="G71" s="248"/>
      <c r="H71" s="253"/>
      <c r="I71" s="325"/>
      <c r="J71" s="85"/>
      <c r="K71" s="336"/>
      <c r="L71" s="85"/>
      <c r="M71" s="85"/>
      <c r="N71" s="326"/>
      <c r="O71" s="85"/>
      <c r="P71" s="85"/>
      <c r="Q71" s="338"/>
      <c r="R71" s="328"/>
      <c r="S71" s="325"/>
      <c r="T71" s="85"/>
      <c r="U71" s="336"/>
      <c r="V71" s="85"/>
      <c r="W71" s="85"/>
      <c r="X71" s="326"/>
      <c r="Y71" s="85"/>
      <c r="Z71" s="85"/>
      <c r="AA71" s="338"/>
      <c r="AB71" s="328"/>
      <c r="AC71" s="85"/>
      <c r="AD71" s="85" t="str">
        <f t="shared" si="0"/>
        <v/>
      </c>
      <c r="AE71" s="326"/>
      <c r="AF71" s="85"/>
      <c r="AG71" s="85"/>
      <c r="AH71" s="338"/>
      <c r="AI71" s="328"/>
      <c r="AJ71" s="325"/>
      <c r="AK71" s="85"/>
      <c r="AL71" s="85"/>
      <c r="AM71" s="338"/>
      <c r="AN71" s="328"/>
      <c r="AO71" s="344"/>
      <c r="AP71" s="345"/>
      <c r="AQ71" s="92"/>
      <c r="AR71" s="338"/>
      <c r="AS71" s="328"/>
      <c r="AT71" s="349"/>
      <c r="AU71" s="350"/>
      <c r="AV71" s="350"/>
      <c r="AW71" s="350"/>
      <c r="AX71" s="92"/>
      <c r="AY71" s="338"/>
      <c r="AZ71" s="328"/>
      <c r="BA71" s="329"/>
      <c r="BB71" s="85"/>
      <c r="BC71" s="330"/>
      <c r="BD71" s="85"/>
      <c r="BE71" s="330"/>
      <c r="BF71" s="85"/>
      <c r="BG71" s="330"/>
      <c r="BH71" s="327"/>
      <c r="BI71" s="340"/>
      <c r="BJ71" s="336"/>
      <c r="BK71" s="336"/>
      <c r="BL71" s="336"/>
      <c r="BM71" s="381"/>
    </row>
    <row r="72" spans="1:65" x14ac:dyDescent="0.25">
      <c r="A72" s="87"/>
      <c r="B72" s="87"/>
      <c r="C72" s="356"/>
      <c r="D72" s="317"/>
      <c r="E72" s="248"/>
      <c r="F72" s="317"/>
      <c r="G72" s="248"/>
      <c r="H72" s="253"/>
      <c r="I72" s="325"/>
      <c r="J72" s="85"/>
      <c r="K72" s="336"/>
      <c r="L72" s="85"/>
      <c r="M72" s="85"/>
      <c r="N72" s="326"/>
      <c r="O72" s="85"/>
      <c r="P72" s="85"/>
      <c r="Q72" s="338"/>
      <c r="R72" s="328"/>
      <c r="S72" s="325"/>
      <c r="T72" s="85"/>
      <c r="U72" s="336"/>
      <c r="V72" s="85"/>
      <c r="W72" s="85"/>
      <c r="X72" s="326"/>
      <c r="Y72" s="85"/>
      <c r="Z72" s="85"/>
      <c r="AA72" s="338"/>
      <c r="AB72" s="328"/>
      <c r="AC72" s="85"/>
      <c r="AD72" s="85" t="str">
        <f t="shared" si="0"/>
        <v/>
      </c>
      <c r="AE72" s="326"/>
      <c r="AF72" s="85"/>
      <c r="AG72" s="85"/>
      <c r="AH72" s="338"/>
      <c r="AI72" s="328"/>
      <c r="AJ72" s="325"/>
      <c r="AK72" s="85"/>
      <c r="AL72" s="85"/>
      <c r="AM72" s="338"/>
      <c r="AN72" s="328"/>
      <c r="AO72" s="344"/>
      <c r="AP72" s="345"/>
      <c r="AQ72" s="92"/>
      <c r="AR72" s="338"/>
      <c r="AS72" s="328"/>
      <c r="AT72" s="349"/>
      <c r="AU72" s="350"/>
      <c r="AV72" s="350"/>
      <c r="AW72" s="350"/>
      <c r="AX72" s="92"/>
      <c r="AY72" s="338"/>
      <c r="AZ72" s="328"/>
      <c r="BA72" s="329"/>
      <c r="BB72" s="85"/>
      <c r="BC72" s="330"/>
      <c r="BD72" s="85"/>
      <c r="BE72" s="330"/>
      <c r="BF72" s="85"/>
      <c r="BG72" s="330"/>
      <c r="BH72" s="327"/>
      <c r="BI72" s="340"/>
      <c r="BJ72" s="336"/>
      <c r="BK72" s="336"/>
      <c r="BL72" s="336"/>
      <c r="BM72" s="381"/>
    </row>
    <row r="73" spans="1:65" x14ac:dyDescent="0.25">
      <c r="A73" s="87"/>
      <c r="B73" s="87"/>
      <c r="C73" s="356"/>
      <c r="D73" s="317"/>
      <c r="E73" s="248"/>
      <c r="F73" s="317"/>
      <c r="G73" s="248"/>
      <c r="H73" s="253"/>
      <c r="I73" s="325"/>
      <c r="J73" s="85"/>
      <c r="K73" s="336"/>
      <c r="L73" s="85"/>
      <c r="M73" s="85"/>
      <c r="N73" s="326"/>
      <c r="O73" s="85"/>
      <c r="P73" s="85"/>
      <c r="Q73" s="338"/>
      <c r="R73" s="328"/>
      <c r="S73" s="325"/>
      <c r="T73" s="85"/>
      <c r="U73" s="336"/>
      <c r="V73" s="85"/>
      <c r="W73" s="85"/>
      <c r="X73" s="326"/>
      <c r="Y73" s="85"/>
      <c r="Z73" s="85"/>
      <c r="AA73" s="338"/>
      <c r="AB73" s="328"/>
      <c r="AC73" s="85"/>
      <c r="AD73" s="85"/>
      <c r="AE73" s="326"/>
      <c r="AF73" s="85"/>
      <c r="AG73" s="85"/>
      <c r="AH73" s="338"/>
      <c r="AI73" s="328"/>
      <c r="AJ73" s="325"/>
      <c r="AK73" s="85"/>
      <c r="AL73" s="85"/>
      <c r="AM73" s="338"/>
      <c r="AN73" s="328"/>
      <c r="AO73" s="344"/>
      <c r="AP73" s="345"/>
      <c r="AQ73" s="92"/>
      <c r="AR73" s="338"/>
      <c r="AS73" s="328"/>
      <c r="AT73" s="349"/>
      <c r="AU73" s="350"/>
      <c r="AV73" s="350"/>
      <c r="AW73" s="350"/>
      <c r="AX73" s="92"/>
      <c r="AY73" s="338"/>
      <c r="AZ73" s="328"/>
      <c r="BA73" s="329"/>
      <c r="BB73" s="85"/>
      <c r="BC73" s="330"/>
      <c r="BD73" s="85"/>
      <c r="BE73" s="330"/>
      <c r="BF73" s="85"/>
      <c r="BG73" s="330"/>
      <c r="BH73" s="327"/>
      <c r="BI73" s="340"/>
      <c r="BJ73" s="336"/>
      <c r="BK73" s="336"/>
      <c r="BL73" s="336"/>
      <c r="BM73" s="381"/>
    </row>
    <row r="74" spans="1:65" x14ac:dyDescent="0.25">
      <c r="A74" s="87"/>
      <c r="B74" s="87"/>
      <c r="C74" s="356"/>
      <c r="D74" s="317"/>
      <c r="E74" s="248"/>
      <c r="F74" s="317"/>
      <c r="G74" s="248"/>
      <c r="H74" s="253"/>
      <c r="I74" s="325"/>
      <c r="J74" s="85"/>
      <c r="K74" s="336"/>
      <c r="L74" s="85"/>
      <c r="M74" s="85"/>
      <c r="N74" s="326"/>
      <c r="O74" s="85"/>
      <c r="P74" s="85"/>
      <c r="Q74" s="338"/>
      <c r="R74" s="328"/>
      <c r="S74" s="325"/>
      <c r="T74" s="85"/>
      <c r="U74" s="336"/>
      <c r="V74" s="85"/>
      <c r="W74" s="85"/>
      <c r="X74" s="326"/>
      <c r="Y74" s="85"/>
      <c r="Z74" s="85"/>
      <c r="AA74" s="338"/>
      <c r="AB74" s="328"/>
      <c r="AC74" s="85"/>
      <c r="AD74" s="85" t="str">
        <f t="shared" si="0"/>
        <v/>
      </c>
      <c r="AE74" s="326"/>
      <c r="AF74" s="85"/>
      <c r="AG74" s="85"/>
      <c r="AH74" s="338"/>
      <c r="AI74" s="328"/>
      <c r="AJ74" s="325"/>
      <c r="AK74" s="85"/>
      <c r="AL74" s="85"/>
      <c r="AM74" s="338"/>
      <c r="AN74" s="328"/>
      <c r="AO74" s="344"/>
      <c r="AP74" s="345"/>
      <c r="AQ74" s="92"/>
      <c r="AR74" s="338"/>
      <c r="AS74" s="328"/>
      <c r="AT74" s="349"/>
      <c r="AU74" s="350"/>
      <c r="AV74" s="350"/>
      <c r="AW74" s="350"/>
      <c r="AX74" s="92"/>
      <c r="AY74" s="338"/>
      <c r="AZ74" s="328"/>
      <c r="BA74" s="329"/>
      <c r="BB74" s="85"/>
      <c r="BC74" s="330"/>
      <c r="BD74" s="85"/>
      <c r="BE74" s="330"/>
      <c r="BF74" s="85"/>
      <c r="BG74" s="330"/>
      <c r="BH74" s="327"/>
      <c r="BI74" s="340"/>
      <c r="BJ74" s="336"/>
      <c r="BK74" s="336"/>
      <c r="BL74" s="336"/>
      <c r="BM74" s="381"/>
    </row>
    <row r="75" spans="1:65" x14ac:dyDescent="0.25">
      <c r="A75" s="87"/>
      <c r="B75" s="87"/>
      <c r="C75" s="356"/>
      <c r="D75" s="317"/>
      <c r="E75" s="248"/>
      <c r="F75" s="317"/>
      <c r="G75" s="248"/>
      <c r="H75" s="253"/>
      <c r="I75" s="325"/>
      <c r="J75" s="85"/>
      <c r="K75" s="336"/>
      <c r="L75" s="85"/>
      <c r="M75" s="85"/>
      <c r="N75" s="326"/>
      <c r="O75" s="85"/>
      <c r="P75" s="85"/>
      <c r="Q75" s="338"/>
      <c r="R75" s="328"/>
      <c r="S75" s="325"/>
      <c r="T75" s="85"/>
      <c r="U75" s="336"/>
      <c r="V75" s="85"/>
      <c r="W75" s="85"/>
      <c r="X75" s="326"/>
      <c r="Y75" s="85"/>
      <c r="Z75" s="85"/>
      <c r="AA75" s="338"/>
      <c r="AB75" s="328"/>
      <c r="AC75" s="85"/>
      <c r="AD75" s="85" t="str">
        <f t="shared" si="0"/>
        <v/>
      </c>
      <c r="AE75" s="326"/>
      <c r="AF75" s="85"/>
      <c r="AG75" s="85"/>
      <c r="AH75" s="338"/>
      <c r="AI75" s="328"/>
      <c r="AJ75" s="325"/>
      <c r="AK75" s="85"/>
      <c r="AL75" s="85"/>
      <c r="AM75" s="338"/>
      <c r="AN75" s="328"/>
      <c r="AO75" s="344"/>
      <c r="AP75" s="345"/>
      <c r="AQ75" s="92"/>
      <c r="AR75" s="338"/>
      <c r="AS75" s="328"/>
      <c r="AT75" s="349"/>
      <c r="AU75" s="350"/>
      <c r="AV75" s="350"/>
      <c r="AW75" s="350"/>
      <c r="AX75" s="92"/>
      <c r="AY75" s="338"/>
      <c r="AZ75" s="328"/>
      <c r="BA75" s="329"/>
      <c r="BB75" s="85"/>
      <c r="BC75" s="330"/>
      <c r="BD75" s="85"/>
      <c r="BE75" s="330"/>
      <c r="BF75" s="85"/>
      <c r="BG75" s="330"/>
      <c r="BH75" s="327"/>
      <c r="BI75" s="340"/>
      <c r="BJ75" s="336"/>
      <c r="BK75" s="336"/>
      <c r="BL75" s="336"/>
      <c r="BM75" s="381"/>
    </row>
    <row r="76" spans="1:65" x14ac:dyDescent="0.25">
      <c r="A76" s="87"/>
      <c r="B76" s="87"/>
      <c r="C76" s="358"/>
      <c r="D76" s="85"/>
      <c r="E76" s="248"/>
      <c r="F76" s="317"/>
      <c r="G76" s="248"/>
      <c r="H76" s="253"/>
      <c r="I76" s="325"/>
      <c r="J76" s="85"/>
      <c r="K76" s="336"/>
      <c r="L76" s="85"/>
      <c r="M76" s="85"/>
      <c r="N76" s="326"/>
      <c r="O76" s="85"/>
      <c r="P76" s="85"/>
      <c r="Q76" s="338"/>
      <c r="R76" s="328"/>
      <c r="S76" s="325"/>
      <c r="T76" s="85"/>
      <c r="U76" s="336"/>
      <c r="V76" s="85"/>
      <c r="W76" s="85"/>
      <c r="X76" s="326"/>
      <c r="Y76" s="85"/>
      <c r="Z76" s="85"/>
      <c r="AA76" s="338"/>
      <c r="AB76" s="328"/>
      <c r="AC76" s="85"/>
      <c r="AD76" s="85" t="str">
        <f t="shared" ref="AD76:AD100" si="8">IF(ISBLANK(C76),"",(IF(AC76&lt;&gt;"NA",1,0)))</f>
        <v/>
      </c>
      <c r="AE76" s="326"/>
      <c r="AF76" s="85"/>
      <c r="AG76" s="85"/>
      <c r="AH76" s="338"/>
      <c r="AI76" s="328"/>
      <c r="AJ76" s="325"/>
      <c r="AK76" s="85"/>
      <c r="AL76" s="85"/>
      <c r="AM76" s="338"/>
      <c r="AN76" s="328"/>
      <c r="AO76" s="344"/>
      <c r="AP76" s="345"/>
      <c r="AQ76" s="92"/>
      <c r="AR76" s="338"/>
      <c r="AS76" s="328"/>
      <c r="AT76" s="349"/>
      <c r="AU76" s="350"/>
      <c r="AV76" s="350"/>
      <c r="AW76" s="350"/>
      <c r="AX76" s="92"/>
      <c r="AY76" s="338"/>
      <c r="AZ76" s="328"/>
      <c r="BA76" s="329"/>
      <c r="BB76" s="85"/>
      <c r="BC76" s="330"/>
      <c r="BD76" s="85"/>
      <c r="BE76" s="330"/>
      <c r="BF76" s="85"/>
      <c r="BG76" s="330"/>
      <c r="BH76" s="327"/>
      <c r="BI76" s="340"/>
      <c r="BJ76" s="336"/>
      <c r="BK76" s="336"/>
      <c r="BL76" s="336"/>
      <c r="BM76" s="381"/>
    </row>
    <row r="77" spans="1:65" x14ac:dyDescent="0.25">
      <c r="A77" s="87"/>
      <c r="B77" s="87"/>
      <c r="C77" s="358"/>
      <c r="D77" s="85"/>
      <c r="E77" s="248"/>
      <c r="F77" s="317"/>
      <c r="G77" s="248"/>
      <c r="H77" s="253"/>
      <c r="I77" s="325"/>
      <c r="J77" s="85"/>
      <c r="K77" s="336"/>
      <c r="L77" s="85"/>
      <c r="M77" s="85"/>
      <c r="N77" s="326"/>
      <c r="O77" s="85"/>
      <c r="P77" s="85"/>
      <c r="Q77" s="338"/>
      <c r="R77" s="328"/>
      <c r="S77" s="325"/>
      <c r="T77" s="85"/>
      <c r="U77" s="336"/>
      <c r="V77" s="85"/>
      <c r="W77" s="85"/>
      <c r="X77" s="326"/>
      <c r="Y77" s="85"/>
      <c r="Z77" s="85"/>
      <c r="AA77" s="338"/>
      <c r="AB77" s="328"/>
      <c r="AC77" s="85"/>
      <c r="AD77" s="85" t="str">
        <f t="shared" si="8"/>
        <v/>
      </c>
      <c r="AE77" s="326"/>
      <c r="AF77" s="85"/>
      <c r="AG77" s="85"/>
      <c r="AH77" s="338"/>
      <c r="AI77" s="328"/>
      <c r="AJ77" s="325"/>
      <c r="AK77" s="85"/>
      <c r="AL77" s="85"/>
      <c r="AM77" s="338"/>
      <c r="AN77" s="328"/>
      <c r="AO77" s="344"/>
      <c r="AP77" s="345"/>
      <c r="AQ77" s="92"/>
      <c r="AR77" s="338"/>
      <c r="AS77" s="328"/>
      <c r="AT77" s="349"/>
      <c r="AU77" s="350"/>
      <c r="AV77" s="350"/>
      <c r="AW77" s="350"/>
      <c r="AX77" s="92"/>
      <c r="AY77" s="338"/>
      <c r="AZ77" s="328"/>
      <c r="BA77" s="329"/>
      <c r="BB77" s="85"/>
      <c r="BC77" s="330"/>
      <c r="BD77" s="85"/>
      <c r="BE77" s="330"/>
      <c r="BF77" s="85"/>
      <c r="BG77" s="330"/>
      <c r="BH77" s="327"/>
      <c r="BI77" s="340"/>
      <c r="BJ77" s="336"/>
      <c r="BK77" s="336"/>
      <c r="BL77" s="336"/>
      <c r="BM77" s="381"/>
    </row>
    <row r="78" spans="1:65" x14ac:dyDescent="0.25">
      <c r="A78" s="87"/>
      <c r="B78" s="87"/>
      <c r="C78" s="358"/>
      <c r="D78" s="85"/>
      <c r="E78" s="248"/>
      <c r="F78" s="317"/>
      <c r="G78" s="248"/>
      <c r="H78" s="253"/>
      <c r="I78" s="325"/>
      <c r="J78" s="85"/>
      <c r="K78" s="336"/>
      <c r="L78" s="85"/>
      <c r="M78" s="85"/>
      <c r="N78" s="326"/>
      <c r="O78" s="85"/>
      <c r="P78" s="85"/>
      <c r="Q78" s="338"/>
      <c r="R78" s="328"/>
      <c r="S78" s="325"/>
      <c r="T78" s="85"/>
      <c r="U78" s="336"/>
      <c r="V78" s="85"/>
      <c r="W78" s="85"/>
      <c r="X78" s="326"/>
      <c r="Y78" s="85"/>
      <c r="Z78" s="85"/>
      <c r="AA78" s="338"/>
      <c r="AB78" s="328"/>
      <c r="AC78" s="85"/>
      <c r="AD78" s="85" t="str">
        <f t="shared" si="8"/>
        <v/>
      </c>
      <c r="AE78" s="326"/>
      <c r="AF78" s="85"/>
      <c r="AG78" s="85"/>
      <c r="AH78" s="338"/>
      <c r="AI78" s="328"/>
      <c r="AJ78" s="325"/>
      <c r="AK78" s="85"/>
      <c r="AL78" s="85"/>
      <c r="AM78" s="338"/>
      <c r="AN78" s="328"/>
      <c r="AO78" s="344"/>
      <c r="AP78" s="345"/>
      <c r="AQ78" s="92"/>
      <c r="AR78" s="338"/>
      <c r="AS78" s="328"/>
      <c r="AT78" s="349"/>
      <c r="AU78" s="350"/>
      <c r="AV78" s="350"/>
      <c r="AW78" s="350"/>
      <c r="AX78" s="92"/>
      <c r="AY78" s="338"/>
      <c r="AZ78" s="328"/>
      <c r="BA78" s="329"/>
      <c r="BB78" s="85"/>
      <c r="BC78" s="330"/>
      <c r="BD78" s="85"/>
      <c r="BE78" s="330"/>
      <c r="BF78" s="85"/>
      <c r="BG78" s="330"/>
      <c r="BH78" s="327"/>
      <c r="BI78" s="340"/>
      <c r="BJ78" s="336"/>
      <c r="BK78" s="336"/>
      <c r="BL78" s="336"/>
      <c r="BM78" s="381"/>
    </row>
    <row r="79" spans="1:65" x14ac:dyDescent="0.25">
      <c r="A79" s="87"/>
      <c r="B79" s="87"/>
      <c r="C79" s="358"/>
      <c r="D79" s="85"/>
      <c r="E79" s="248"/>
      <c r="F79" s="317"/>
      <c r="G79" s="248"/>
      <c r="H79" s="253"/>
      <c r="I79" s="325"/>
      <c r="J79" s="85"/>
      <c r="K79" s="336"/>
      <c r="L79" s="85"/>
      <c r="M79" s="85"/>
      <c r="N79" s="326"/>
      <c r="O79" s="85"/>
      <c r="P79" s="85"/>
      <c r="Q79" s="338"/>
      <c r="R79" s="328"/>
      <c r="S79" s="325"/>
      <c r="T79" s="85"/>
      <c r="U79" s="336"/>
      <c r="V79" s="85"/>
      <c r="W79" s="85"/>
      <c r="X79" s="326"/>
      <c r="Y79" s="85"/>
      <c r="Z79" s="85"/>
      <c r="AA79" s="338"/>
      <c r="AB79" s="328"/>
      <c r="AC79" s="85"/>
      <c r="AD79" s="85" t="str">
        <f t="shared" si="8"/>
        <v/>
      </c>
      <c r="AE79" s="326"/>
      <c r="AF79" s="85"/>
      <c r="AG79" s="85"/>
      <c r="AH79" s="338"/>
      <c r="AI79" s="328"/>
      <c r="AJ79" s="325"/>
      <c r="AK79" s="85"/>
      <c r="AL79" s="85"/>
      <c r="AM79" s="338"/>
      <c r="AN79" s="328"/>
      <c r="AO79" s="344"/>
      <c r="AP79" s="345"/>
      <c r="AQ79" s="92"/>
      <c r="AR79" s="338"/>
      <c r="AS79" s="328"/>
      <c r="AT79" s="349"/>
      <c r="AU79" s="350"/>
      <c r="AV79" s="350"/>
      <c r="AW79" s="350"/>
      <c r="AX79" s="92"/>
      <c r="AY79" s="338"/>
      <c r="AZ79" s="328"/>
      <c r="BA79" s="329"/>
      <c r="BB79" s="85"/>
      <c r="BC79" s="330"/>
      <c r="BD79" s="85"/>
      <c r="BE79" s="330"/>
      <c r="BF79" s="85"/>
      <c r="BG79" s="330"/>
      <c r="BH79" s="327"/>
      <c r="BI79" s="340"/>
      <c r="BJ79" s="336"/>
      <c r="BK79" s="336"/>
      <c r="BL79" s="336"/>
      <c r="BM79" s="381"/>
    </row>
    <row r="80" spans="1:65" x14ac:dyDescent="0.25">
      <c r="A80" s="87"/>
      <c r="B80" s="210"/>
      <c r="C80" s="358"/>
      <c r="D80" s="85"/>
      <c r="E80" s="248"/>
      <c r="F80" s="317"/>
      <c r="G80" s="248"/>
      <c r="H80" s="253"/>
      <c r="I80" s="325"/>
      <c r="J80" s="85"/>
      <c r="K80" s="336"/>
      <c r="L80" s="85"/>
      <c r="M80" s="85"/>
      <c r="N80" s="326"/>
      <c r="O80" s="85"/>
      <c r="P80" s="85"/>
      <c r="Q80" s="338"/>
      <c r="R80" s="328"/>
      <c r="S80" s="325"/>
      <c r="T80" s="85"/>
      <c r="U80" s="336"/>
      <c r="V80" s="85"/>
      <c r="W80" s="85"/>
      <c r="X80" s="326"/>
      <c r="Y80" s="85"/>
      <c r="Z80" s="85"/>
      <c r="AA80" s="338"/>
      <c r="AB80" s="328"/>
      <c r="AC80" s="85"/>
      <c r="AD80" s="85" t="str">
        <f t="shared" si="8"/>
        <v/>
      </c>
      <c r="AE80" s="326"/>
      <c r="AF80" s="85"/>
      <c r="AG80" s="85"/>
      <c r="AH80" s="338"/>
      <c r="AI80" s="328"/>
      <c r="AJ80" s="325"/>
      <c r="AK80" s="85"/>
      <c r="AL80" s="85"/>
      <c r="AM80" s="338"/>
      <c r="AN80" s="328"/>
      <c r="AO80" s="344"/>
      <c r="AP80" s="345"/>
      <c r="AQ80" s="92"/>
      <c r="AR80" s="338"/>
      <c r="AS80" s="328"/>
      <c r="AT80" s="349"/>
      <c r="AU80" s="350"/>
      <c r="AV80" s="350"/>
      <c r="AW80" s="350"/>
      <c r="AX80" s="92"/>
      <c r="AY80" s="338"/>
      <c r="AZ80" s="328"/>
      <c r="BA80" s="329"/>
      <c r="BB80" s="85"/>
      <c r="BC80" s="330"/>
      <c r="BD80" s="85"/>
      <c r="BE80" s="330"/>
      <c r="BF80" s="85"/>
      <c r="BG80" s="330"/>
      <c r="BH80" s="327"/>
      <c r="BI80" s="340"/>
      <c r="BJ80" s="336"/>
      <c r="BK80" s="336"/>
      <c r="BL80" s="336"/>
      <c r="BM80" s="381"/>
    </row>
    <row r="81" spans="1:65" x14ac:dyDescent="0.25">
      <c r="A81" s="87"/>
      <c r="B81" s="210"/>
      <c r="C81" s="358"/>
      <c r="D81" s="85"/>
      <c r="E81" s="248"/>
      <c r="F81" s="317"/>
      <c r="G81" s="248"/>
      <c r="H81" s="253"/>
      <c r="I81" s="325"/>
      <c r="J81" s="85"/>
      <c r="K81" s="336"/>
      <c r="L81" s="85"/>
      <c r="M81" s="85"/>
      <c r="N81" s="326"/>
      <c r="O81" s="85"/>
      <c r="P81" s="85"/>
      <c r="Q81" s="338"/>
      <c r="R81" s="328"/>
      <c r="S81" s="325"/>
      <c r="T81" s="85"/>
      <c r="U81" s="336"/>
      <c r="V81" s="85"/>
      <c r="W81" s="85"/>
      <c r="X81" s="326"/>
      <c r="Y81" s="85"/>
      <c r="Z81" s="85"/>
      <c r="AA81" s="338"/>
      <c r="AB81" s="328"/>
      <c r="AC81" s="85"/>
      <c r="AD81" s="85" t="str">
        <f t="shared" si="8"/>
        <v/>
      </c>
      <c r="AE81" s="326"/>
      <c r="AF81" s="85"/>
      <c r="AG81" s="85"/>
      <c r="AH81" s="338"/>
      <c r="AI81" s="328"/>
      <c r="AJ81" s="325"/>
      <c r="AK81" s="85"/>
      <c r="AL81" s="85"/>
      <c r="AM81" s="338"/>
      <c r="AN81" s="328"/>
      <c r="AO81" s="344"/>
      <c r="AP81" s="345"/>
      <c r="AQ81" s="92"/>
      <c r="AR81" s="338"/>
      <c r="AS81" s="328"/>
      <c r="AT81" s="349"/>
      <c r="AU81" s="350"/>
      <c r="AV81" s="350"/>
      <c r="AW81" s="350"/>
      <c r="AX81" s="92"/>
      <c r="AY81" s="338"/>
      <c r="AZ81" s="328"/>
      <c r="BA81" s="329"/>
      <c r="BB81" s="85"/>
      <c r="BC81" s="330"/>
      <c r="BD81" s="85"/>
      <c r="BE81" s="330"/>
      <c r="BF81" s="85"/>
      <c r="BG81" s="330"/>
      <c r="BH81" s="327"/>
      <c r="BI81" s="340"/>
      <c r="BJ81" s="336"/>
      <c r="BK81" s="336"/>
      <c r="BL81" s="336"/>
      <c r="BM81" s="381"/>
    </row>
    <row r="82" spans="1:65" s="354" customFormat="1" x14ac:dyDescent="0.25">
      <c r="A82" s="87"/>
      <c r="B82" s="210"/>
      <c r="C82" s="358"/>
      <c r="D82" s="85"/>
      <c r="E82" s="248"/>
      <c r="F82" s="317"/>
      <c r="G82" s="248"/>
      <c r="H82" s="253"/>
      <c r="I82" s="325"/>
      <c r="J82" s="85"/>
      <c r="K82" s="336"/>
      <c r="L82" s="85"/>
      <c r="M82" s="85"/>
      <c r="N82" s="326"/>
      <c r="O82" s="85"/>
      <c r="P82" s="85"/>
      <c r="Q82" s="338"/>
      <c r="R82" s="328"/>
      <c r="S82" s="325"/>
      <c r="T82" s="85"/>
      <c r="U82" s="336"/>
      <c r="V82" s="85"/>
      <c r="W82" s="85"/>
      <c r="X82" s="326"/>
      <c r="Y82" s="85"/>
      <c r="Z82" s="85"/>
      <c r="AA82" s="338"/>
      <c r="AB82" s="328"/>
      <c r="AC82" s="85"/>
      <c r="AD82" s="85" t="str">
        <f t="shared" si="8"/>
        <v/>
      </c>
      <c r="AE82" s="326"/>
      <c r="AF82" s="85"/>
      <c r="AG82" s="85"/>
      <c r="AH82" s="338"/>
      <c r="AI82" s="328"/>
      <c r="AJ82" s="325"/>
      <c r="AK82" s="85"/>
      <c r="AL82" s="85"/>
      <c r="AM82" s="338"/>
      <c r="AN82" s="328"/>
      <c r="AO82" s="344"/>
      <c r="AP82" s="345"/>
      <c r="AQ82" s="92"/>
      <c r="AR82" s="338"/>
      <c r="AS82" s="328"/>
      <c r="AT82" s="349"/>
      <c r="AU82" s="350"/>
      <c r="AV82" s="350"/>
      <c r="AW82" s="350"/>
      <c r="AX82" s="92"/>
      <c r="AY82" s="338"/>
      <c r="AZ82" s="328"/>
      <c r="BA82" s="329"/>
      <c r="BB82" s="85"/>
      <c r="BC82" s="330"/>
      <c r="BD82" s="85"/>
      <c r="BE82" s="330"/>
      <c r="BF82" s="85"/>
      <c r="BG82" s="330"/>
      <c r="BH82" s="327"/>
      <c r="BI82" s="340"/>
      <c r="BJ82" s="336"/>
      <c r="BK82" s="336"/>
      <c r="BL82" s="336"/>
      <c r="BM82" s="381"/>
    </row>
    <row r="83" spans="1:65" x14ac:dyDescent="0.25">
      <c r="A83" s="87"/>
      <c r="B83" s="210"/>
      <c r="C83" s="358"/>
      <c r="D83" s="85"/>
      <c r="E83" s="248"/>
      <c r="F83" s="317"/>
      <c r="G83" s="248"/>
      <c r="H83" s="253"/>
      <c r="I83" s="325"/>
      <c r="J83" s="85"/>
      <c r="K83" s="336"/>
      <c r="L83" s="85"/>
      <c r="M83" s="85"/>
      <c r="N83" s="326"/>
      <c r="O83" s="85"/>
      <c r="P83" s="85"/>
      <c r="Q83" s="338"/>
      <c r="R83" s="328"/>
      <c r="S83" s="325"/>
      <c r="T83" s="85"/>
      <c r="U83" s="336"/>
      <c r="V83" s="85"/>
      <c r="W83" s="85"/>
      <c r="X83" s="326"/>
      <c r="Y83" s="85"/>
      <c r="Z83" s="85"/>
      <c r="AA83" s="338"/>
      <c r="AB83" s="328"/>
      <c r="AC83" s="85"/>
      <c r="AD83" s="85" t="str">
        <f t="shared" ref="AD83:AD87" si="9">IF(ISBLANK(C83),"",(IF(AC83&lt;&gt;"NA",1,0)))</f>
        <v/>
      </c>
      <c r="AE83" s="326"/>
      <c r="AF83" s="85"/>
      <c r="AG83" s="85"/>
      <c r="AH83" s="338"/>
      <c r="AI83" s="328"/>
      <c r="AJ83" s="325"/>
      <c r="AK83" s="85"/>
      <c r="AL83" s="85"/>
      <c r="AM83" s="338"/>
      <c r="AN83" s="328"/>
      <c r="AO83" s="344"/>
      <c r="AP83" s="345"/>
      <c r="AQ83" s="92"/>
      <c r="AR83" s="338"/>
      <c r="AS83" s="328"/>
      <c r="AT83" s="349"/>
      <c r="AU83" s="350"/>
      <c r="AV83" s="350"/>
      <c r="AW83" s="350"/>
      <c r="AX83" s="92"/>
      <c r="AY83" s="338"/>
      <c r="AZ83" s="328"/>
      <c r="BA83" s="329"/>
      <c r="BB83" s="85"/>
      <c r="BC83" s="330"/>
      <c r="BD83" s="85"/>
      <c r="BE83" s="330"/>
      <c r="BF83" s="85"/>
      <c r="BG83" s="330"/>
      <c r="BH83" s="327"/>
      <c r="BI83" s="340"/>
      <c r="BJ83" s="336"/>
      <c r="BK83" s="336"/>
      <c r="BL83" s="336"/>
      <c r="BM83" s="381"/>
    </row>
    <row r="84" spans="1:65" x14ac:dyDescent="0.25">
      <c r="A84" s="87"/>
      <c r="B84" s="210"/>
      <c r="C84" s="358"/>
      <c r="D84" s="85"/>
      <c r="E84" s="248"/>
      <c r="F84" s="317"/>
      <c r="G84" s="248"/>
      <c r="H84" s="253"/>
      <c r="I84" s="325"/>
      <c r="J84" s="85"/>
      <c r="K84" s="336"/>
      <c r="L84" s="85"/>
      <c r="M84" s="85"/>
      <c r="N84" s="326"/>
      <c r="O84" s="85"/>
      <c r="P84" s="85"/>
      <c r="Q84" s="338"/>
      <c r="R84" s="328"/>
      <c r="S84" s="325"/>
      <c r="T84" s="85"/>
      <c r="U84" s="336"/>
      <c r="V84" s="85"/>
      <c r="W84" s="85"/>
      <c r="X84" s="326"/>
      <c r="Y84" s="85"/>
      <c r="Z84" s="85"/>
      <c r="AA84" s="338"/>
      <c r="AB84" s="328"/>
      <c r="AC84" s="85"/>
      <c r="AD84" s="85" t="str">
        <f t="shared" si="9"/>
        <v/>
      </c>
      <c r="AE84" s="326"/>
      <c r="AF84" s="85"/>
      <c r="AG84" s="85"/>
      <c r="AH84" s="338"/>
      <c r="AI84" s="328"/>
      <c r="AJ84" s="325"/>
      <c r="AK84" s="85"/>
      <c r="AL84" s="85"/>
      <c r="AM84" s="338"/>
      <c r="AN84" s="328"/>
      <c r="AO84" s="344"/>
      <c r="AP84" s="345"/>
      <c r="AQ84" s="92"/>
      <c r="AR84" s="338"/>
      <c r="AS84" s="328"/>
      <c r="AT84" s="349"/>
      <c r="AU84" s="350"/>
      <c r="AV84" s="350"/>
      <c r="AW84" s="350"/>
      <c r="AX84" s="92"/>
      <c r="AY84" s="338"/>
      <c r="AZ84" s="328"/>
      <c r="BA84" s="329"/>
      <c r="BB84" s="85"/>
      <c r="BC84" s="330"/>
      <c r="BD84" s="85"/>
      <c r="BE84" s="330"/>
      <c r="BF84" s="85"/>
      <c r="BG84" s="330"/>
      <c r="BH84" s="327"/>
      <c r="BI84" s="340"/>
      <c r="BJ84" s="336"/>
      <c r="BK84" s="336"/>
      <c r="BL84" s="336"/>
      <c r="BM84" s="381"/>
    </row>
    <row r="85" spans="1:65" x14ac:dyDescent="0.25">
      <c r="A85" s="87"/>
      <c r="B85" s="210"/>
      <c r="C85" s="358"/>
      <c r="D85" s="85"/>
      <c r="E85" s="248"/>
      <c r="F85" s="317"/>
      <c r="G85" s="248"/>
      <c r="H85" s="253"/>
      <c r="I85" s="325"/>
      <c r="J85" s="85"/>
      <c r="K85" s="336"/>
      <c r="L85" s="85"/>
      <c r="M85" s="85"/>
      <c r="N85" s="326"/>
      <c r="O85" s="85"/>
      <c r="P85" s="85"/>
      <c r="Q85" s="338"/>
      <c r="R85" s="328"/>
      <c r="S85" s="325"/>
      <c r="T85" s="85"/>
      <c r="U85" s="336"/>
      <c r="V85" s="85"/>
      <c r="W85" s="85"/>
      <c r="X85" s="326"/>
      <c r="Y85" s="85"/>
      <c r="Z85" s="85"/>
      <c r="AA85" s="338"/>
      <c r="AB85" s="328"/>
      <c r="AC85" s="85"/>
      <c r="AD85" s="85" t="str">
        <f t="shared" si="9"/>
        <v/>
      </c>
      <c r="AE85" s="326"/>
      <c r="AF85" s="85"/>
      <c r="AG85" s="85"/>
      <c r="AH85" s="338"/>
      <c r="AI85" s="328"/>
      <c r="AJ85" s="325"/>
      <c r="AK85" s="85"/>
      <c r="AL85" s="85"/>
      <c r="AM85" s="338"/>
      <c r="AN85" s="328"/>
      <c r="AO85" s="344"/>
      <c r="AP85" s="345"/>
      <c r="AQ85" s="92"/>
      <c r="AR85" s="338"/>
      <c r="AS85" s="328"/>
      <c r="AT85" s="349"/>
      <c r="AU85" s="350"/>
      <c r="AV85" s="350"/>
      <c r="AW85" s="350"/>
      <c r="AX85" s="92"/>
      <c r="AY85" s="338"/>
      <c r="AZ85" s="328"/>
      <c r="BA85" s="329"/>
      <c r="BB85" s="85"/>
      <c r="BC85" s="330"/>
      <c r="BD85" s="85"/>
      <c r="BE85" s="330"/>
      <c r="BF85" s="85"/>
      <c r="BG85" s="330"/>
      <c r="BH85" s="327"/>
      <c r="BI85" s="340"/>
      <c r="BJ85" s="336"/>
      <c r="BK85" s="336"/>
      <c r="BL85" s="336"/>
      <c r="BM85" s="381"/>
    </row>
    <row r="86" spans="1:65" x14ac:dyDescent="0.25">
      <c r="A86" s="87"/>
      <c r="B86" s="210"/>
      <c r="C86" s="358"/>
      <c r="D86" s="85"/>
      <c r="E86" s="248"/>
      <c r="F86" s="317"/>
      <c r="G86" s="248"/>
      <c r="H86" s="253"/>
      <c r="I86" s="325"/>
      <c r="J86" s="85"/>
      <c r="K86" s="336"/>
      <c r="L86" s="85"/>
      <c r="M86" s="85"/>
      <c r="N86" s="326"/>
      <c r="O86" s="85"/>
      <c r="P86" s="85"/>
      <c r="Q86" s="338"/>
      <c r="R86" s="328"/>
      <c r="S86" s="325"/>
      <c r="T86" s="85"/>
      <c r="U86" s="336"/>
      <c r="V86" s="85"/>
      <c r="W86" s="85"/>
      <c r="X86" s="326"/>
      <c r="Y86" s="85"/>
      <c r="Z86" s="85"/>
      <c r="AA86" s="338"/>
      <c r="AB86" s="328"/>
      <c r="AC86" s="85"/>
      <c r="AD86" s="85" t="str">
        <f t="shared" ref="AD86" si="10">IF(ISBLANK(C86),"",(IF(AC86&lt;&gt;"NA",1,0)))</f>
        <v/>
      </c>
      <c r="AE86" s="326"/>
      <c r="AF86" s="85"/>
      <c r="AG86" s="85"/>
      <c r="AH86" s="338"/>
      <c r="AI86" s="328"/>
      <c r="AJ86" s="325"/>
      <c r="AK86" s="85"/>
      <c r="AL86" s="85"/>
      <c r="AM86" s="338"/>
      <c r="AN86" s="328"/>
      <c r="AO86" s="344"/>
      <c r="AP86" s="345"/>
      <c r="AQ86" s="92"/>
      <c r="AR86" s="338"/>
      <c r="AS86" s="328"/>
      <c r="AT86" s="349"/>
      <c r="AU86" s="350"/>
      <c r="AV86" s="350"/>
      <c r="AW86" s="350"/>
      <c r="AX86" s="92"/>
      <c r="AY86" s="338"/>
      <c r="AZ86" s="328"/>
      <c r="BA86" s="329"/>
      <c r="BB86" s="85"/>
      <c r="BC86" s="330"/>
      <c r="BD86" s="85"/>
      <c r="BE86" s="330"/>
      <c r="BF86" s="85"/>
      <c r="BG86" s="330"/>
      <c r="BH86" s="327"/>
      <c r="BI86" s="340"/>
      <c r="BJ86" s="336"/>
      <c r="BK86" s="336"/>
      <c r="BL86" s="336"/>
      <c r="BM86" s="381"/>
    </row>
    <row r="87" spans="1:65" x14ac:dyDescent="0.25">
      <c r="A87" s="87"/>
      <c r="B87" s="210"/>
      <c r="C87" s="358"/>
      <c r="D87" s="85"/>
      <c r="E87" s="248"/>
      <c r="F87" s="317"/>
      <c r="G87" s="248"/>
      <c r="H87" s="253"/>
      <c r="I87" s="325"/>
      <c r="J87" s="85"/>
      <c r="K87" s="336"/>
      <c r="L87" s="85"/>
      <c r="M87" s="85"/>
      <c r="N87" s="326"/>
      <c r="O87" s="85"/>
      <c r="P87" s="85"/>
      <c r="Q87" s="338"/>
      <c r="R87" s="328"/>
      <c r="S87" s="325"/>
      <c r="T87" s="85"/>
      <c r="U87" s="336"/>
      <c r="V87" s="85"/>
      <c r="W87" s="85"/>
      <c r="X87" s="326"/>
      <c r="Y87" s="85"/>
      <c r="Z87" s="85"/>
      <c r="AA87" s="338"/>
      <c r="AB87" s="328"/>
      <c r="AC87" s="85"/>
      <c r="AD87" s="85" t="str">
        <f t="shared" si="9"/>
        <v/>
      </c>
      <c r="AE87" s="326"/>
      <c r="AF87" s="85"/>
      <c r="AG87" s="85"/>
      <c r="AH87" s="338"/>
      <c r="AI87" s="328"/>
      <c r="AJ87" s="325"/>
      <c r="AK87" s="85"/>
      <c r="AL87" s="85"/>
      <c r="AM87" s="338"/>
      <c r="AN87" s="328"/>
      <c r="AO87" s="344"/>
      <c r="AP87" s="345"/>
      <c r="AQ87" s="92"/>
      <c r="AR87" s="338"/>
      <c r="AS87" s="328"/>
      <c r="AT87" s="349"/>
      <c r="AU87" s="350"/>
      <c r="AV87" s="350"/>
      <c r="AW87" s="350"/>
      <c r="AX87" s="92"/>
      <c r="AY87" s="338"/>
      <c r="AZ87" s="328"/>
      <c r="BA87" s="329"/>
      <c r="BB87" s="85"/>
      <c r="BC87" s="330"/>
      <c r="BD87" s="85"/>
      <c r="BE87" s="330"/>
      <c r="BF87" s="85"/>
      <c r="BG87" s="330"/>
      <c r="BH87" s="327"/>
      <c r="BI87" s="340"/>
      <c r="BJ87" s="336"/>
      <c r="BK87" s="336"/>
      <c r="BL87" s="336"/>
      <c r="BM87" s="381"/>
    </row>
    <row r="88" spans="1:65" x14ac:dyDescent="0.25">
      <c r="A88" s="87"/>
      <c r="B88" s="210"/>
      <c r="C88" s="358"/>
      <c r="D88" s="85"/>
      <c r="E88" s="248"/>
      <c r="F88" s="317"/>
      <c r="G88" s="248"/>
      <c r="H88" s="253"/>
      <c r="I88" s="325"/>
      <c r="J88" s="85"/>
      <c r="K88" s="336"/>
      <c r="L88" s="85"/>
      <c r="M88" s="85"/>
      <c r="N88" s="326"/>
      <c r="O88" s="85"/>
      <c r="P88" s="85"/>
      <c r="Q88" s="338"/>
      <c r="R88" s="328"/>
      <c r="S88" s="325"/>
      <c r="T88" s="85"/>
      <c r="U88" s="336"/>
      <c r="V88" s="85"/>
      <c r="W88" s="85"/>
      <c r="X88" s="326"/>
      <c r="Y88" s="85"/>
      <c r="Z88" s="85"/>
      <c r="AA88" s="338"/>
      <c r="AB88" s="328"/>
      <c r="AC88" s="85"/>
      <c r="AD88" s="85" t="str">
        <f t="shared" si="8"/>
        <v/>
      </c>
      <c r="AE88" s="326"/>
      <c r="AF88" s="85"/>
      <c r="AG88" s="85"/>
      <c r="AH88" s="338"/>
      <c r="AI88" s="328"/>
      <c r="AJ88" s="325"/>
      <c r="AK88" s="85"/>
      <c r="AL88" s="85"/>
      <c r="AM88" s="338"/>
      <c r="AN88" s="328"/>
      <c r="AO88" s="344"/>
      <c r="AP88" s="345"/>
      <c r="AQ88" s="92"/>
      <c r="AR88" s="338"/>
      <c r="AS88" s="328"/>
      <c r="AT88" s="349"/>
      <c r="AU88" s="350"/>
      <c r="AV88" s="350"/>
      <c r="AW88" s="350"/>
      <c r="AX88" s="92"/>
      <c r="AY88" s="338"/>
      <c r="AZ88" s="328"/>
      <c r="BA88" s="329"/>
      <c r="BB88" s="85"/>
      <c r="BC88" s="330"/>
      <c r="BD88" s="85"/>
      <c r="BE88" s="330"/>
      <c r="BF88" s="85"/>
      <c r="BG88" s="330"/>
      <c r="BH88" s="327"/>
      <c r="BI88" s="340"/>
      <c r="BJ88" s="336"/>
      <c r="BK88" s="336"/>
      <c r="BL88" s="336"/>
      <c r="BM88" s="381"/>
    </row>
    <row r="89" spans="1:65" x14ac:dyDescent="0.25">
      <c r="A89" s="87"/>
      <c r="B89" s="210"/>
      <c r="C89" s="358"/>
      <c r="D89" s="85"/>
      <c r="E89" s="248"/>
      <c r="F89" s="317"/>
      <c r="G89" s="248"/>
      <c r="H89" s="253"/>
      <c r="I89" s="325"/>
      <c r="J89" s="85"/>
      <c r="K89" s="336"/>
      <c r="L89" s="85"/>
      <c r="M89" s="85"/>
      <c r="N89" s="326"/>
      <c r="O89" s="85"/>
      <c r="P89" s="85"/>
      <c r="Q89" s="338"/>
      <c r="R89" s="328"/>
      <c r="S89" s="325"/>
      <c r="T89" s="85"/>
      <c r="U89" s="336"/>
      <c r="V89" s="85"/>
      <c r="W89" s="85"/>
      <c r="X89" s="326"/>
      <c r="Y89" s="85"/>
      <c r="Z89" s="85"/>
      <c r="AA89" s="338"/>
      <c r="AB89" s="328"/>
      <c r="AC89" s="85"/>
      <c r="AD89" s="85" t="str">
        <f t="shared" si="8"/>
        <v/>
      </c>
      <c r="AE89" s="326"/>
      <c r="AF89" s="85"/>
      <c r="AG89" s="85"/>
      <c r="AH89" s="338"/>
      <c r="AI89" s="328"/>
      <c r="AJ89" s="325"/>
      <c r="AK89" s="85"/>
      <c r="AL89" s="85"/>
      <c r="AM89" s="338"/>
      <c r="AN89" s="328"/>
      <c r="AO89" s="344"/>
      <c r="AP89" s="345"/>
      <c r="AQ89" s="92"/>
      <c r="AR89" s="338"/>
      <c r="AS89" s="328"/>
      <c r="AT89" s="349"/>
      <c r="AU89" s="350"/>
      <c r="AV89" s="350"/>
      <c r="AW89" s="350"/>
      <c r="AX89" s="92"/>
      <c r="AY89" s="338"/>
      <c r="AZ89" s="328"/>
      <c r="BA89" s="329"/>
      <c r="BB89" s="85"/>
      <c r="BC89" s="330"/>
      <c r="BD89" s="85"/>
      <c r="BE89" s="330"/>
      <c r="BF89" s="85"/>
      <c r="BG89" s="330"/>
      <c r="BH89" s="327"/>
      <c r="BI89" s="340"/>
      <c r="BJ89" s="336"/>
      <c r="BK89" s="336"/>
      <c r="BL89" s="336"/>
      <c r="BM89" s="381"/>
    </row>
    <row r="90" spans="1:65" x14ac:dyDescent="0.25">
      <c r="A90" s="87"/>
      <c r="B90" s="210"/>
      <c r="C90" s="358"/>
      <c r="D90" s="85"/>
      <c r="E90" s="248"/>
      <c r="F90" s="317"/>
      <c r="G90" s="248"/>
      <c r="H90" s="253"/>
      <c r="I90" s="325"/>
      <c r="J90" s="85"/>
      <c r="K90" s="336"/>
      <c r="L90" s="85"/>
      <c r="M90" s="85"/>
      <c r="N90" s="326"/>
      <c r="O90" s="85"/>
      <c r="P90" s="85"/>
      <c r="Q90" s="338"/>
      <c r="R90" s="328"/>
      <c r="S90" s="325"/>
      <c r="T90" s="85"/>
      <c r="U90" s="336"/>
      <c r="V90" s="85"/>
      <c r="W90" s="85"/>
      <c r="X90" s="326"/>
      <c r="Y90" s="85"/>
      <c r="Z90" s="85"/>
      <c r="AA90" s="338"/>
      <c r="AB90" s="328"/>
      <c r="AC90" s="85"/>
      <c r="AD90" s="85" t="str">
        <f t="shared" ref="AD90:AD95" si="11">IF(ISBLANK(C90),"",(IF(AC90&lt;&gt;"NA",1,0)))</f>
        <v/>
      </c>
      <c r="AE90" s="326"/>
      <c r="AF90" s="85"/>
      <c r="AG90" s="85"/>
      <c r="AH90" s="338"/>
      <c r="AI90" s="328"/>
      <c r="AJ90" s="325"/>
      <c r="AK90" s="85"/>
      <c r="AL90" s="85"/>
      <c r="AM90" s="338"/>
      <c r="AN90" s="328"/>
      <c r="AO90" s="344"/>
      <c r="AP90" s="345"/>
      <c r="AQ90" s="92"/>
      <c r="AR90" s="338"/>
      <c r="AS90" s="328"/>
      <c r="AT90" s="349"/>
      <c r="AU90" s="350"/>
      <c r="AV90" s="350"/>
      <c r="AW90" s="350"/>
      <c r="AX90" s="92"/>
      <c r="AY90" s="338"/>
      <c r="AZ90" s="328"/>
      <c r="BA90" s="329"/>
      <c r="BB90" s="85"/>
      <c r="BC90" s="330"/>
      <c r="BD90" s="85"/>
      <c r="BE90" s="330"/>
      <c r="BF90" s="85"/>
      <c r="BG90" s="330"/>
      <c r="BH90" s="327"/>
      <c r="BI90" s="340"/>
      <c r="BJ90" s="336"/>
      <c r="BK90" s="336"/>
      <c r="BL90" s="336"/>
      <c r="BM90" s="381"/>
    </row>
    <row r="91" spans="1:65" x14ac:dyDescent="0.25">
      <c r="A91" s="87"/>
      <c r="B91" s="210"/>
      <c r="C91" s="358"/>
      <c r="D91" s="85"/>
      <c r="E91" s="248"/>
      <c r="F91" s="317"/>
      <c r="G91" s="248"/>
      <c r="H91" s="253"/>
      <c r="I91" s="325"/>
      <c r="J91" s="85"/>
      <c r="K91" s="336"/>
      <c r="L91" s="85"/>
      <c r="M91" s="85"/>
      <c r="N91" s="326"/>
      <c r="O91" s="85"/>
      <c r="P91" s="85"/>
      <c r="Q91" s="338"/>
      <c r="R91" s="328"/>
      <c r="S91" s="325"/>
      <c r="T91" s="85"/>
      <c r="U91" s="336"/>
      <c r="V91" s="85"/>
      <c r="W91" s="85"/>
      <c r="X91" s="326"/>
      <c r="Y91" s="85"/>
      <c r="Z91" s="85"/>
      <c r="AA91" s="338"/>
      <c r="AB91" s="328"/>
      <c r="AC91" s="85"/>
      <c r="AD91" s="85" t="str">
        <f t="shared" si="11"/>
        <v/>
      </c>
      <c r="AE91" s="326"/>
      <c r="AF91" s="85"/>
      <c r="AG91" s="85"/>
      <c r="AH91" s="338"/>
      <c r="AI91" s="328"/>
      <c r="AJ91" s="325"/>
      <c r="AK91" s="85"/>
      <c r="AL91" s="85"/>
      <c r="AM91" s="338"/>
      <c r="AN91" s="328"/>
      <c r="AO91" s="344"/>
      <c r="AP91" s="345"/>
      <c r="AQ91" s="92"/>
      <c r="AR91" s="338"/>
      <c r="AS91" s="328"/>
      <c r="AT91" s="349"/>
      <c r="AU91" s="350"/>
      <c r="AV91" s="350"/>
      <c r="AW91" s="350"/>
      <c r="AX91" s="92"/>
      <c r="AY91" s="338"/>
      <c r="AZ91" s="328"/>
      <c r="BA91" s="329"/>
      <c r="BB91" s="85"/>
      <c r="BC91" s="330"/>
      <c r="BD91" s="85"/>
      <c r="BE91" s="330"/>
      <c r="BF91" s="85"/>
      <c r="BG91" s="330"/>
      <c r="BH91" s="327"/>
      <c r="BI91" s="340"/>
      <c r="BJ91" s="336"/>
      <c r="BK91" s="336"/>
      <c r="BL91" s="336"/>
      <c r="BM91" s="381"/>
    </row>
    <row r="92" spans="1:65" x14ac:dyDescent="0.25">
      <c r="A92" s="87"/>
      <c r="B92" s="210"/>
      <c r="C92" s="358"/>
      <c r="D92" s="85"/>
      <c r="E92" s="248"/>
      <c r="F92" s="317"/>
      <c r="G92" s="248"/>
      <c r="H92" s="253"/>
      <c r="I92" s="325"/>
      <c r="J92" s="85"/>
      <c r="K92" s="336"/>
      <c r="L92" s="85"/>
      <c r="M92" s="85"/>
      <c r="N92" s="326"/>
      <c r="O92" s="85"/>
      <c r="P92" s="85"/>
      <c r="Q92" s="338"/>
      <c r="R92" s="328"/>
      <c r="S92" s="325"/>
      <c r="T92" s="85"/>
      <c r="U92" s="336"/>
      <c r="V92" s="85"/>
      <c r="W92" s="85"/>
      <c r="X92" s="326"/>
      <c r="Y92" s="85"/>
      <c r="Z92" s="85"/>
      <c r="AA92" s="338"/>
      <c r="AB92" s="328"/>
      <c r="AC92" s="85"/>
      <c r="AD92" s="85" t="str">
        <f t="shared" ref="AD92" si="12">IF(ISBLANK(C92),"",(IF(AC92&lt;&gt;"NA",1,0)))</f>
        <v/>
      </c>
      <c r="AE92" s="326"/>
      <c r="AF92" s="85"/>
      <c r="AG92" s="85"/>
      <c r="AH92" s="338"/>
      <c r="AI92" s="328"/>
      <c r="AJ92" s="325"/>
      <c r="AK92" s="85"/>
      <c r="AL92" s="85"/>
      <c r="AM92" s="338"/>
      <c r="AN92" s="328"/>
      <c r="AO92" s="344"/>
      <c r="AP92" s="345"/>
      <c r="AQ92" s="92"/>
      <c r="AR92" s="338"/>
      <c r="AS92" s="328"/>
      <c r="AT92" s="349"/>
      <c r="AU92" s="350"/>
      <c r="AV92" s="350"/>
      <c r="AW92" s="350"/>
      <c r="AX92" s="92"/>
      <c r="AY92" s="338"/>
      <c r="AZ92" s="328"/>
      <c r="BA92" s="329"/>
      <c r="BB92" s="85"/>
      <c r="BC92" s="330"/>
      <c r="BD92" s="85"/>
      <c r="BE92" s="330"/>
      <c r="BF92" s="85"/>
      <c r="BG92" s="330"/>
      <c r="BH92" s="327"/>
      <c r="BI92" s="340"/>
      <c r="BJ92" s="336"/>
      <c r="BK92" s="336"/>
      <c r="BL92" s="336"/>
      <c r="BM92" s="381"/>
    </row>
    <row r="93" spans="1:65" x14ac:dyDescent="0.25">
      <c r="A93" s="87"/>
      <c r="B93" s="210"/>
      <c r="C93" s="358"/>
      <c r="D93" s="85"/>
      <c r="E93" s="248"/>
      <c r="F93" s="317"/>
      <c r="G93" s="248"/>
      <c r="H93" s="253"/>
      <c r="I93" s="325"/>
      <c r="J93" s="85"/>
      <c r="K93" s="336"/>
      <c r="L93" s="85"/>
      <c r="M93" s="85"/>
      <c r="N93" s="326"/>
      <c r="O93" s="85"/>
      <c r="P93" s="85"/>
      <c r="Q93" s="338"/>
      <c r="R93" s="328"/>
      <c r="S93" s="325"/>
      <c r="T93" s="85"/>
      <c r="U93" s="336"/>
      <c r="V93" s="85"/>
      <c r="W93" s="85"/>
      <c r="X93" s="326"/>
      <c r="Y93" s="85"/>
      <c r="Z93" s="85"/>
      <c r="AA93" s="338"/>
      <c r="AB93" s="328"/>
      <c r="AC93" s="85"/>
      <c r="AD93" s="85" t="str">
        <f t="shared" si="11"/>
        <v/>
      </c>
      <c r="AE93" s="326"/>
      <c r="AF93" s="85"/>
      <c r="AG93" s="85"/>
      <c r="AH93" s="338"/>
      <c r="AI93" s="328"/>
      <c r="AJ93" s="325"/>
      <c r="AK93" s="85"/>
      <c r="AL93" s="85"/>
      <c r="AM93" s="338"/>
      <c r="AN93" s="328"/>
      <c r="AO93" s="344"/>
      <c r="AP93" s="345"/>
      <c r="AQ93" s="92"/>
      <c r="AR93" s="338"/>
      <c r="AS93" s="328"/>
      <c r="AT93" s="349"/>
      <c r="AU93" s="350"/>
      <c r="AV93" s="350"/>
      <c r="AW93" s="350"/>
      <c r="AX93" s="92"/>
      <c r="AY93" s="338"/>
      <c r="AZ93" s="328"/>
      <c r="BA93" s="329"/>
      <c r="BB93" s="85"/>
      <c r="BC93" s="330"/>
      <c r="BD93" s="85"/>
      <c r="BE93" s="330"/>
      <c r="BF93" s="85"/>
      <c r="BG93" s="330"/>
      <c r="BH93" s="327"/>
      <c r="BI93" s="340"/>
      <c r="BJ93" s="336"/>
      <c r="BK93" s="336"/>
      <c r="BL93" s="336"/>
      <c r="BM93" s="381"/>
    </row>
    <row r="94" spans="1:65" x14ac:dyDescent="0.25">
      <c r="A94" s="87"/>
      <c r="B94" s="210"/>
      <c r="C94" s="358"/>
      <c r="D94" s="85"/>
      <c r="E94" s="248"/>
      <c r="F94" s="317"/>
      <c r="G94" s="248"/>
      <c r="H94" s="253"/>
      <c r="I94" s="325"/>
      <c r="J94" s="85"/>
      <c r="K94" s="336"/>
      <c r="L94" s="85"/>
      <c r="M94" s="85"/>
      <c r="N94" s="326"/>
      <c r="O94" s="85"/>
      <c r="P94" s="85"/>
      <c r="Q94" s="338"/>
      <c r="R94" s="328"/>
      <c r="S94" s="325"/>
      <c r="T94" s="85"/>
      <c r="U94" s="336"/>
      <c r="V94" s="85"/>
      <c r="W94" s="85"/>
      <c r="X94" s="326"/>
      <c r="Y94" s="85"/>
      <c r="Z94" s="85"/>
      <c r="AA94" s="338"/>
      <c r="AB94" s="328"/>
      <c r="AC94" s="85"/>
      <c r="AD94" s="85" t="str">
        <f t="shared" ref="AD94" si="13">IF(ISBLANK(C94),"",(IF(AC94&lt;&gt;"NA",1,0)))</f>
        <v/>
      </c>
      <c r="AE94" s="326"/>
      <c r="AF94" s="85"/>
      <c r="AG94" s="85"/>
      <c r="AH94" s="338"/>
      <c r="AI94" s="328"/>
      <c r="AJ94" s="325"/>
      <c r="AK94" s="85"/>
      <c r="AL94" s="85"/>
      <c r="AM94" s="338"/>
      <c r="AN94" s="328"/>
      <c r="AO94" s="344"/>
      <c r="AP94" s="345"/>
      <c r="AQ94" s="92"/>
      <c r="AR94" s="338"/>
      <c r="AS94" s="328"/>
      <c r="AT94" s="349"/>
      <c r="AU94" s="350"/>
      <c r="AV94" s="350"/>
      <c r="AW94" s="350"/>
      <c r="AX94" s="92"/>
      <c r="AY94" s="338"/>
      <c r="AZ94" s="328"/>
      <c r="BA94" s="329"/>
      <c r="BB94" s="85"/>
      <c r="BC94" s="330"/>
      <c r="BD94" s="85"/>
      <c r="BE94" s="330"/>
      <c r="BF94" s="85"/>
      <c r="BG94" s="330"/>
      <c r="BH94" s="327"/>
      <c r="BI94" s="340"/>
      <c r="BJ94" s="336"/>
      <c r="BK94" s="336"/>
      <c r="BL94" s="336"/>
      <c r="BM94" s="381"/>
    </row>
    <row r="95" spans="1:65" x14ac:dyDescent="0.25">
      <c r="A95" s="87"/>
      <c r="B95" s="210"/>
      <c r="C95" s="358"/>
      <c r="D95" s="85"/>
      <c r="E95" s="248"/>
      <c r="F95" s="317"/>
      <c r="G95" s="248"/>
      <c r="H95" s="253"/>
      <c r="I95" s="325"/>
      <c r="J95" s="85"/>
      <c r="K95" s="336"/>
      <c r="L95" s="85"/>
      <c r="M95" s="85"/>
      <c r="N95" s="326"/>
      <c r="O95" s="85"/>
      <c r="P95" s="85"/>
      <c r="Q95" s="338"/>
      <c r="R95" s="328"/>
      <c r="S95" s="325"/>
      <c r="T95" s="85"/>
      <c r="U95" s="336"/>
      <c r="V95" s="85"/>
      <c r="W95" s="85" t="str">
        <f t="shared" ref="W95" si="14">IF(ISBLANK(C95),"",(IF(V95&lt;&gt;"NA",1,0)))</f>
        <v/>
      </c>
      <c r="X95" s="326"/>
      <c r="Y95" s="85"/>
      <c r="Z95" s="85"/>
      <c r="AA95" s="338"/>
      <c r="AB95" s="328"/>
      <c r="AC95" s="85"/>
      <c r="AD95" s="85" t="str">
        <f t="shared" si="11"/>
        <v/>
      </c>
      <c r="AE95" s="326"/>
      <c r="AF95" s="85"/>
      <c r="AG95" s="85"/>
      <c r="AH95" s="338"/>
      <c r="AI95" s="328"/>
      <c r="AJ95" s="325"/>
      <c r="AK95" s="85"/>
      <c r="AL95" s="85"/>
      <c r="AM95" s="338"/>
      <c r="AN95" s="328"/>
      <c r="AO95" s="344"/>
      <c r="AP95" s="345"/>
      <c r="AQ95" s="92"/>
      <c r="AR95" s="338"/>
      <c r="AS95" s="328"/>
      <c r="AT95" s="349"/>
      <c r="AU95" s="350"/>
      <c r="AV95" s="350"/>
      <c r="AW95" s="350"/>
      <c r="AX95" s="92"/>
      <c r="AY95" s="338"/>
      <c r="AZ95" s="328"/>
      <c r="BA95" s="329"/>
      <c r="BB95" s="85"/>
      <c r="BC95" s="330"/>
      <c r="BD95" s="85"/>
      <c r="BE95" s="330"/>
      <c r="BF95" s="85"/>
      <c r="BG95" s="330"/>
      <c r="BH95" s="327"/>
      <c r="BI95" s="340"/>
      <c r="BJ95" s="336"/>
      <c r="BK95" s="336"/>
      <c r="BL95" s="336"/>
      <c r="BM95" s="381"/>
    </row>
    <row r="96" spans="1:65" x14ac:dyDescent="0.25">
      <c r="A96" s="87"/>
      <c r="B96" s="210"/>
      <c r="C96" s="358"/>
      <c r="D96" s="85"/>
      <c r="E96" s="248"/>
      <c r="F96" s="317"/>
      <c r="G96" s="248"/>
      <c r="H96" s="253"/>
      <c r="I96" s="325"/>
      <c r="J96" s="85"/>
      <c r="K96" s="336"/>
      <c r="L96" s="85"/>
      <c r="M96" s="85"/>
      <c r="N96" s="326"/>
      <c r="O96" s="85"/>
      <c r="P96" s="85"/>
      <c r="Q96" s="338"/>
      <c r="R96" s="328"/>
      <c r="S96" s="325"/>
      <c r="T96" s="85"/>
      <c r="U96" s="336"/>
      <c r="V96" s="85"/>
      <c r="W96" s="85" t="str">
        <f t="shared" ref="W96:W100" si="15">IF(ISBLANK(C96),"",(IF(V96&lt;&gt;"NA",1,0)))</f>
        <v/>
      </c>
      <c r="X96" s="326"/>
      <c r="Y96" s="85"/>
      <c r="Z96" s="85"/>
      <c r="AA96" s="338"/>
      <c r="AB96" s="328"/>
      <c r="AC96" s="85"/>
      <c r="AD96" s="85" t="str">
        <f t="shared" si="8"/>
        <v/>
      </c>
      <c r="AE96" s="326"/>
      <c r="AF96" s="85"/>
      <c r="AG96" s="85"/>
      <c r="AH96" s="338"/>
      <c r="AI96" s="328"/>
      <c r="AJ96" s="325"/>
      <c r="AK96" s="85"/>
      <c r="AL96" s="85"/>
      <c r="AM96" s="338"/>
      <c r="AN96" s="328"/>
      <c r="AO96" s="344"/>
      <c r="AP96" s="345"/>
      <c r="AQ96" s="92"/>
      <c r="AR96" s="338"/>
      <c r="AS96" s="328"/>
      <c r="AT96" s="349"/>
      <c r="AU96" s="350"/>
      <c r="AV96" s="350"/>
      <c r="AW96" s="350"/>
      <c r="AX96" s="92"/>
      <c r="AY96" s="338"/>
      <c r="AZ96" s="328"/>
      <c r="BA96" s="329"/>
      <c r="BB96" s="85"/>
      <c r="BC96" s="330"/>
      <c r="BD96" s="85"/>
      <c r="BE96" s="330"/>
      <c r="BF96" s="85"/>
      <c r="BG96" s="330"/>
      <c r="BH96" s="327"/>
      <c r="BI96" s="340"/>
      <c r="BJ96" s="336"/>
      <c r="BK96" s="336"/>
      <c r="BL96" s="336"/>
      <c r="BM96" s="381"/>
    </row>
    <row r="97" spans="1:65" x14ac:dyDescent="0.25">
      <c r="A97" s="87"/>
      <c r="B97" s="210"/>
      <c r="C97" s="358"/>
      <c r="D97" s="85"/>
      <c r="E97" s="248"/>
      <c r="F97" s="317"/>
      <c r="G97" s="248"/>
      <c r="H97" s="253"/>
      <c r="I97" s="325"/>
      <c r="J97" s="85"/>
      <c r="K97" s="336"/>
      <c r="L97" s="85"/>
      <c r="M97" s="85"/>
      <c r="N97" s="326"/>
      <c r="O97" s="85"/>
      <c r="P97" s="85"/>
      <c r="Q97" s="338"/>
      <c r="R97" s="328"/>
      <c r="S97" s="325"/>
      <c r="T97" s="85"/>
      <c r="U97" s="336"/>
      <c r="V97" s="85"/>
      <c r="W97" s="85" t="str">
        <f t="shared" si="15"/>
        <v/>
      </c>
      <c r="X97" s="326"/>
      <c r="Y97" s="85"/>
      <c r="Z97" s="85"/>
      <c r="AA97" s="338"/>
      <c r="AB97" s="328"/>
      <c r="AC97" s="85"/>
      <c r="AD97" s="85" t="str">
        <f t="shared" si="8"/>
        <v/>
      </c>
      <c r="AE97" s="326"/>
      <c r="AF97" s="85"/>
      <c r="AG97" s="85"/>
      <c r="AH97" s="338"/>
      <c r="AI97" s="328"/>
      <c r="AJ97" s="325"/>
      <c r="AK97" s="85"/>
      <c r="AL97" s="85"/>
      <c r="AM97" s="338"/>
      <c r="AN97" s="328"/>
      <c r="AO97" s="344"/>
      <c r="AP97" s="345"/>
      <c r="AQ97" s="92"/>
      <c r="AR97" s="338"/>
      <c r="AS97" s="328"/>
      <c r="AT97" s="349"/>
      <c r="AU97" s="350"/>
      <c r="AV97" s="350"/>
      <c r="AW97" s="350"/>
      <c r="AX97" s="92"/>
      <c r="AY97" s="338"/>
      <c r="AZ97" s="328"/>
      <c r="BA97" s="329"/>
      <c r="BB97" s="85"/>
      <c r="BC97" s="330"/>
      <c r="BD97" s="85"/>
      <c r="BE97" s="330"/>
      <c r="BF97" s="85"/>
      <c r="BG97" s="330"/>
      <c r="BH97" s="327"/>
      <c r="BI97" s="340"/>
      <c r="BJ97" s="336"/>
      <c r="BK97" s="336"/>
      <c r="BL97" s="336"/>
      <c r="BM97" s="381"/>
    </row>
    <row r="98" spans="1:65" x14ac:dyDescent="0.25">
      <c r="A98" s="87"/>
      <c r="B98" s="210"/>
      <c r="C98" s="358"/>
      <c r="D98" s="85"/>
      <c r="E98" s="248"/>
      <c r="F98" s="317"/>
      <c r="G98" s="248"/>
      <c r="H98" s="253"/>
      <c r="I98" s="325"/>
      <c r="J98" s="85"/>
      <c r="K98" s="336"/>
      <c r="L98" s="85"/>
      <c r="M98" s="85"/>
      <c r="N98" s="326"/>
      <c r="O98" s="85"/>
      <c r="P98" s="85"/>
      <c r="Q98" s="338"/>
      <c r="R98" s="328"/>
      <c r="S98" s="325"/>
      <c r="T98" s="85"/>
      <c r="U98" s="336"/>
      <c r="V98" s="85"/>
      <c r="W98" s="85" t="str">
        <f t="shared" si="15"/>
        <v/>
      </c>
      <c r="X98" s="326"/>
      <c r="Y98" s="85"/>
      <c r="Z98" s="85"/>
      <c r="AA98" s="338"/>
      <c r="AB98" s="328"/>
      <c r="AC98" s="85"/>
      <c r="AD98" s="85" t="str">
        <f t="shared" si="8"/>
        <v/>
      </c>
      <c r="AE98" s="326"/>
      <c r="AF98" s="85"/>
      <c r="AG98" s="85"/>
      <c r="AH98" s="338"/>
      <c r="AI98" s="328"/>
      <c r="AJ98" s="325"/>
      <c r="AK98" s="85"/>
      <c r="AL98" s="85"/>
      <c r="AM98" s="338"/>
      <c r="AN98" s="328"/>
      <c r="AO98" s="344"/>
      <c r="AP98" s="345"/>
      <c r="AQ98" s="92"/>
      <c r="AR98" s="338"/>
      <c r="AS98" s="328"/>
      <c r="AT98" s="349"/>
      <c r="AU98" s="350"/>
      <c r="AV98" s="350"/>
      <c r="AW98" s="350"/>
      <c r="AX98" s="92"/>
      <c r="AY98" s="338"/>
      <c r="AZ98" s="328"/>
      <c r="BA98" s="329"/>
      <c r="BB98" s="85"/>
      <c r="BC98" s="330"/>
      <c r="BD98" s="85"/>
      <c r="BE98" s="330"/>
      <c r="BF98" s="85"/>
      <c r="BG98" s="330"/>
      <c r="BH98" s="327"/>
      <c r="BI98" s="340"/>
      <c r="BJ98" s="336"/>
      <c r="BK98" s="336"/>
      <c r="BL98" s="336"/>
      <c r="BM98" s="381"/>
    </row>
    <row r="99" spans="1:65" x14ac:dyDescent="0.25">
      <c r="A99" s="87"/>
      <c r="B99" s="210"/>
      <c r="C99" s="358"/>
      <c r="D99" s="85"/>
      <c r="E99" s="248"/>
      <c r="F99" s="317"/>
      <c r="G99" s="248"/>
      <c r="H99" s="253"/>
      <c r="I99" s="325"/>
      <c r="J99" s="85"/>
      <c r="K99" s="336"/>
      <c r="L99" s="85"/>
      <c r="M99" s="85"/>
      <c r="N99" s="326"/>
      <c r="O99" s="85"/>
      <c r="P99" s="85"/>
      <c r="Q99" s="338"/>
      <c r="R99" s="328"/>
      <c r="S99" s="325"/>
      <c r="T99" s="85"/>
      <c r="U99" s="336"/>
      <c r="V99" s="85"/>
      <c r="W99" s="85" t="str">
        <f t="shared" si="15"/>
        <v/>
      </c>
      <c r="X99" s="326"/>
      <c r="Y99" s="85"/>
      <c r="Z99" s="85"/>
      <c r="AA99" s="338"/>
      <c r="AB99" s="328"/>
      <c r="AC99" s="85"/>
      <c r="AD99" s="85" t="str">
        <f t="shared" si="8"/>
        <v/>
      </c>
      <c r="AE99" s="326"/>
      <c r="AF99" s="85"/>
      <c r="AG99" s="85"/>
      <c r="AH99" s="338"/>
      <c r="AI99" s="328"/>
      <c r="AJ99" s="325"/>
      <c r="AK99" s="85"/>
      <c r="AL99" s="85"/>
      <c r="AM99" s="338"/>
      <c r="AN99" s="328"/>
      <c r="AO99" s="344"/>
      <c r="AP99" s="345"/>
      <c r="AQ99" s="92"/>
      <c r="AR99" s="338"/>
      <c r="AS99" s="328"/>
      <c r="AT99" s="349"/>
      <c r="AU99" s="350"/>
      <c r="AV99" s="350"/>
      <c r="AW99" s="350"/>
      <c r="AX99" s="92"/>
      <c r="AY99" s="338"/>
      <c r="AZ99" s="328"/>
      <c r="BA99" s="329"/>
      <c r="BB99" s="85"/>
      <c r="BC99" s="330"/>
      <c r="BD99" s="85"/>
      <c r="BE99" s="330"/>
      <c r="BF99" s="85"/>
      <c r="BG99" s="330"/>
      <c r="BH99" s="327"/>
      <c r="BI99" s="340"/>
      <c r="BJ99" s="336"/>
      <c r="BK99" s="336"/>
      <c r="BL99" s="336"/>
      <c r="BM99" s="381"/>
    </row>
    <row r="100" spans="1:65" ht="15.75" thickBot="1" x14ac:dyDescent="0.3">
      <c r="A100" s="87"/>
      <c r="B100" s="210"/>
      <c r="C100" s="358"/>
      <c r="D100" s="85"/>
      <c r="E100" s="248"/>
      <c r="F100" s="317"/>
      <c r="G100" s="248"/>
      <c r="H100" s="253"/>
      <c r="I100" s="331"/>
      <c r="J100" s="85"/>
      <c r="K100" s="337"/>
      <c r="L100" s="332"/>
      <c r="M100" s="332"/>
      <c r="N100" s="333"/>
      <c r="O100" s="332"/>
      <c r="P100" s="85"/>
      <c r="Q100" s="339"/>
      <c r="R100" s="328"/>
      <c r="S100" s="325"/>
      <c r="T100" s="85"/>
      <c r="U100" s="336"/>
      <c r="V100" s="332"/>
      <c r="W100" s="332" t="str">
        <f t="shared" si="15"/>
        <v/>
      </c>
      <c r="X100" s="333"/>
      <c r="Y100" s="332"/>
      <c r="Z100" s="332"/>
      <c r="AA100" s="339"/>
      <c r="AB100" s="328"/>
      <c r="AC100" s="332"/>
      <c r="AD100" s="332" t="str">
        <f t="shared" si="8"/>
        <v/>
      </c>
      <c r="AE100" s="333"/>
      <c r="AF100" s="332"/>
      <c r="AG100" s="332"/>
      <c r="AH100" s="339"/>
      <c r="AI100" s="328"/>
      <c r="AJ100" s="331"/>
      <c r="AK100" s="332"/>
      <c r="AL100" s="332"/>
      <c r="AM100" s="339"/>
      <c r="AN100" s="328"/>
      <c r="AO100" s="344"/>
      <c r="AP100" s="345"/>
      <c r="AQ100" s="92"/>
      <c r="AR100" s="338"/>
      <c r="AS100" s="328"/>
      <c r="AT100" s="349"/>
      <c r="AU100" s="350"/>
      <c r="AV100" s="350"/>
      <c r="AW100" s="350"/>
      <c r="AX100" s="92"/>
      <c r="AY100" s="338"/>
      <c r="AZ100" s="328"/>
      <c r="BA100" s="329"/>
      <c r="BB100" s="85"/>
      <c r="BC100" s="330"/>
      <c r="BD100" s="85"/>
      <c r="BE100" s="330"/>
      <c r="BF100" s="85"/>
      <c r="BG100" s="330"/>
      <c r="BH100" s="327"/>
      <c r="BI100" s="340"/>
      <c r="BJ100" s="336"/>
      <c r="BK100" s="336"/>
      <c r="BL100" s="336"/>
      <c r="BM100" s="381"/>
    </row>
    <row r="101" spans="1:65" x14ac:dyDescent="0.25">
      <c r="C101" s="359"/>
      <c r="D101" s="82"/>
      <c r="F101" s="317"/>
      <c r="I101" s="334"/>
      <c r="J101" s="82"/>
      <c r="K101" s="82"/>
      <c r="L101" s="82"/>
      <c r="M101" s="82"/>
      <c r="N101" s="334"/>
      <c r="O101" s="82"/>
      <c r="P101" s="82"/>
      <c r="Q101" s="82"/>
      <c r="R101" s="82"/>
      <c r="S101" s="334"/>
      <c r="T101" s="82"/>
      <c r="U101" s="82"/>
      <c r="V101" s="82"/>
      <c r="W101" s="82"/>
      <c r="X101" s="334"/>
      <c r="Y101" s="82"/>
      <c r="Z101" s="82"/>
      <c r="AA101" s="82"/>
      <c r="AB101" s="82"/>
      <c r="AC101" s="82"/>
      <c r="AD101" s="82"/>
      <c r="AE101" s="334"/>
      <c r="AF101" s="82"/>
      <c r="AG101" s="82"/>
      <c r="AH101" s="82"/>
      <c r="AI101" s="82"/>
      <c r="AJ101" s="334"/>
      <c r="AK101" s="82"/>
      <c r="AL101" s="82"/>
      <c r="AM101" s="82"/>
      <c r="AN101" s="82"/>
      <c r="AO101" s="82"/>
      <c r="AP101" s="82"/>
      <c r="AQ101" s="82"/>
      <c r="AR101" s="82"/>
      <c r="AS101" s="82"/>
      <c r="AT101" s="351"/>
      <c r="AU101" s="351"/>
      <c r="AV101" s="351"/>
      <c r="AW101" s="351"/>
      <c r="AX101" s="82"/>
      <c r="AY101" s="346"/>
      <c r="AZ101" s="82"/>
      <c r="BA101" s="335"/>
      <c r="BB101" s="82"/>
      <c r="BC101" s="335"/>
      <c r="BD101" s="82"/>
      <c r="BE101" s="335"/>
      <c r="BF101" s="82"/>
      <c r="BG101" s="335"/>
      <c r="BH101" s="82"/>
      <c r="BI101" s="346"/>
      <c r="BJ101" s="346"/>
      <c r="BK101" s="346"/>
      <c r="BL101" s="346"/>
      <c r="BM101" s="346"/>
    </row>
    <row r="102" spans="1:65" x14ac:dyDescent="0.25">
      <c r="C102" s="359"/>
      <c r="D102" s="82"/>
      <c r="F102" s="317"/>
      <c r="I102" s="334"/>
      <c r="J102" s="82"/>
      <c r="K102" s="82"/>
      <c r="L102" s="82"/>
      <c r="M102" s="82"/>
      <c r="N102" s="334"/>
      <c r="O102" s="82"/>
      <c r="P102" s="82"/>
      <c r="Q102" s="82"/>
      <c r="R102" s="82"/>
      <c r="S102" s="334"/>
      <c r="T102" s="82"/>
      <c r="U102" s="82"/>
      <c r="V102" s="82"/>
      <c r="W102" s="82"/>
      <c r="X102" s="334"/>
      <c r="Y102" s="82"/>
      <c r="Z102" s="82"/>
      <c r="AA102" s="82"/>
      <c r="AB102" s="82"/>
      <c r="AC102" s="82"/>
      <c r="AD102" s="82"/>
      <c r="AE102" s="334"/>
      <c r="AF102" s="82"/>
      <c r="AG102" s="82"/>
      <c r="AH102" s="82"/>
      <c r="AI102" s="82"/>
      <c r="AJ102" s="334"/>
      <c r="AK102" s="82"/>
      <c r="AL102" s="82"/>
      <c r="AM102" s="82"/>
      <c r="AN102" s="82"/>
      <c r="AO102" s="82"/>
      <c r="AP102" s="82"/>
      <c r="AQ102" s="82"/>
      <c r="AR102" s="82"/>
      <c r="AS102" s="82"/>
      <c r="AT102" s="351"/>
      <c r="AU102" s="351"/>
      <c r="AV102" s="351"/>
      <c r="AW102" s="351"/>
      <c r="AX102" s="82"/>
      <c r="AY102" s="346"/>
      <c r="AZ102" s="82"/>
      <c r="BA102" s="335"/>
      <c r="BB102" s="82"/>
      <c r="BC102" s="335"/>
      <c r="BD102" s="82"/>
      <c r="BE102" s="335"/>
      <c r="BF102" s="82"/>
      <c r="BG102" s="335"/>
      <c r="BH102" s="82"/>
      <c r="BI102" s="346"/>
      <c r="BJ102" s="346"/>
      <c r="BK102" s="346"/>
      <c r="BL102" s="346"/>
      <c r="BM102" s="346"/>
    </row>
    <row r="103" spans="1:65" x14ac:dyDescent="0.25">
      <c r="C103" s="359"/>
      <c r="D103" s="82"/>
      <c r="F103" s="317"/>
      <c r="I103" s="334"/>
      <c r="J103" s="82"/>
      <c r="K103" s="82"/>
      <c r="L103" s="82"/>
      <c r="M103" s="82"/>
      <c r="N103" s="334"/>
      <c r="O103" s="82"/>
      <c r="P103" s="82"/>
      <c r="Q103" s="82"/>
      <c r="R103" s="82"/>
      <c r="S103" s="334"/>
      <c r="T103" s="82"/>
      <c r="U103" s="82"/>
      <c r="V103" s="82"/>
      <c r="W103" s="82"/>
      <c r="X103" s="334"/>
      <c r="Y103" s="82"/>
      <c r="Z103" s="82"/>
      <c r="AA103" s="82"/>
      <c r="AB103" s="82"/>
      <c r="AC103" s="82"/>
      <c r="AD103" s="82"/>
      <c r="AE103" s="334"/>
      <c r="AF103" s="82"/>
      <c r="AG103" s="82"/>
      <c r="AH103" s="82"/>
      <c r="AI103" s="82"/>
      <c r="AJ103" s="334"/>
      <c r="AK103" s="82"/>
      <c r="AL103" s="82"/>
      <c r="AM103" s="82"/>
      <c r="AN103" s="82"/>
      <c r="AO103" s="82"/>
      <c r="AP103" s="82"/>
      <c r="AQ103" s="82"/>
      <c r="AR103" s="82"/>
      <c r="AS103" s="82"/>
      <c r="AT103" s="351"/>
      <c r="AU103" s="351"/>
      <c r="AV103" s="351"/>
      <c r="AW103" s="351"/>
      <c r="AX103" s="82"/>
      <c r="AY103" s="346"/>
      <c r="AZ103" s="82"/>
      <c r="BA103" s="335"/>
      <c r="BB103" s="82"/>
      <c r="BC103" s="335"/>
      <c r="BD103" s="82"/>
      <c r="BE103" s="335"/>
      <c r="BF103" s="82"/>
      <c r="BG103" s="335"/>
      <c r="BH103" s="82"/>
      <c r="BI103" s="346"/>
      <c r="BJ103" s="346"/>
      <c r="BK103" s="346"/>
      <c r="BL103" s="346"/>
      <c r="BM103" s="346"/>
    </row>
    <row r="104" spans="1:65" x14ac:dyDescent="0.25">
      <c r="C104" s="359"/>
      <c r="D104" s="82"/>
      <c r="F104" s="317"/>
      <c r="I104" s="334"/>
      <c r="J104" s="82"/>
      <c r="K104" s="82"/>
      <c r="L104" s="82"/>
      <c r="M104" s="82"/>
      <c r="N104" s="334"/>
      <c r="O104" s="82"/>
      <c r="P104" s="82"/>
      <c r="Q104" s="82"/>
      <c r="R104" s="82"/>
      <c r="S104" s="334"/>
      <c r="T104" s="82"/>
      <c r="U104" s="82"/>
      <c r="V104" s="82"/>
      <c r="W104" s="82"/>
      <c r="X104" s="334"/>
      <c r="Y104" s="82"/>
      <c r="Z104" s="82"/>
      <c r="AA104" s="82"/>
      <c r="AB104" s="82"/>
      <c r="AC104" s="82"/>
      <c r="AD104" s="82"/>
      <c r="AE104" s="334"/>
      <c r="AF104" s="82"/>
      <c r="AG104" s="82"/>
      <c r="AH104" s="82"/>
      <c r="AI104" s="82"/>
      <c r="AJ104" s="334"/>
      <c r="AK104" s="82"/>
      <c r="AL104" s="82"/>
      <c r="AM104" s="82"/>
      <c r="AN104" s="82"/>
      <c r="AO104" s="82"/>
      <c r="AP104" s="82"/>
      <c r="AQ104" s="82"/>
      <c r="AR104" s="82"/>
      <c r="AS104" s="82"/>
      <c r="AT104" s="351"/>
      <c r="AU104" s="351"/>
      <c r="AV104" s="351"/>
      <c r="AW104" s="351"/>
      <c r="AX104" s="82"/>
      <c r="AY104" s="346"/>
      <c r="AZ104" s="82"/>
      <c r="BA104" s="335"/>
      <c r="BB104" s="82"/>
      <c r="BC104" s="335"/>
      <c r="BD104" s="82"/>
      <c r="BE104" s="335"/>
      <c r="BF104" s="82"/>
      <c r="BG104" s="335"/>
      <c r="BH104" s="82"/>
      <c r="BI104" s="346"/>
      <c r="BJ104" s="346"/>
      <c r="BK104" s="346"/>
      <c r="BL104" s="346"/>
      <c r="BM104" s="346"/>
    </row>
    <row r="105" spans="1:65" x14ac:dyDescent="0.25">
      <c r="C105" s="359"/>
      <c r="D105" s="82"/>
      <c r="F105" s="317"/>
      <c r="I105" s="334"/>
      <c r="J105" s="82"/>
      <c r="K105" s="82"/>
      <c r="L105" s="82"/>
      <c r="M105" s="82"/>
      <c r="N105" s="334"/>
      <c r="O105" s="82"/>
      <c r="P105" s="82"/>
      <c r="Q105" s="82"/>
      <c r="R105" s="82"/>
      <c r="S105" s="334"/>
      <c r="T105" s="82"/>
      <c r="U105" s="82"/>
      <c r="V105" s="82"/>
      <c r="W105" s="82"/>
      <c r="X105" s="334"/>
      <c r="Y105" s="82"/>
      <c r="Z105" s="82"/>
      <c r="AA105" s="82"/>
      <c r="AB105" s="82"/>
      <c r="AC105" s="82"/>
      <c r="AD105" s="82"/>
      <c r="AE105" s="334"/>
      <c r="AF105" s="82"/>
      <c r="AG105" s="82"/>
      <c r="AH105" s="82"/>
      <c r="AI105" s="82"/>
      <c r="AJ105" s="334"/>
      <c r="AK105" s="82"/>
      <c r="AL105" s="82"/>
      <c r="AM105" s="82"/>
      <c r="AN105" s="82"/>
      <c r="AO105" s="82"/>
      <c r="AP105" s="82"/>
      <c r="AQ105" s="82"/>
      <c r="AR105" s="82"/>
      <c r="AS105" s="82"/>
      <c r="AT105" s="351"/>
      <c r="AU105" s="351"/>
      <c r="AV105" s="351"/>
      <c r="AW105" s="351"/>
      <c r="AX105" s="82"/>
      <c r="AY105" s="346"/>
      <c r="AZ105" s="82"/>
      <c r="BA105" s="335"/>
      <c r="BB105" s="82"/>
      <c r="BC105" s="335"/>
      <c r="BD105" s="82"/>
      <c r="BE105" s="335"/>
      <c r="BF105" s="82"/>
      <c r="BG105" s="335"/>
      <c r="BH105" s="82"/>
      <c r="BI105" s="346"/>
      <c r="BJ105" s="346"/>
      <c r="BK105" s="346"/>
      <c r="BL105" s="346"/>
      <c r="BM105" s="346"/>
    </row>
    <row r="106" spans="1:65" x14ac:dyDescent="0.25">
      <c r="C106" s="359"/>
      <c r="D106" s="82"/>
      <c r="F106" s="317"/>
      <c r="I106" s="334"/>
      <c r="J106" s="82"/>
      <c r="K106" s="82"/>
      <c r="L106" s="82"/>
      <c r="M106" s="82"/>
      <c r="N106" s="334"/>
      <c r="O106" s="82"/>
      <c r="P106" s="82"/>
      <c r="Q106" s="82"/>
      <c r="R106" s="82"/>
      <c r="S106" s="334"/>
      <c r="T106" s="82"/>
      <c r="U106" s="82"/>
      <c r="V106" s="82"/>
      <c r="W106" s="82"/>
      <c r="X106" s="334"/>
      <c r="Y106" s="82"/>
      <c r="Z106" s="82"/>
      <c r="AA106" s="82"/>
      <c r="AB106" s="82"/>
      <c r="AC106" s="82"/>
      <c r="AD106" s="82"/>
      <c r="AE106" s="334"/>
      <c r="AF106" s="82"/>
      <c r="AG106" s="82"/>
      <c r="AH106" s="82"/>
      <c r="AI106" s="82"/>
      <c r="AJ106" s="334"/>
      <c r="AK106" s="82"/>
      <c r="AL106" s="82"/>
      <c r="AM106" s="82"/>
      <c r="AN106" s="82"/>
      <c r="AO106" s="82"/>
      <c r="AP106" s="82"/>
      <c r="AQ106" s="82"/>
      <c r="AR106" s="82"/>
      <c r="AS106" s="82"/>
      <c r="AT106" s="351"/>
      <c r="AU106" s="351"/>
      <c r="AV106" s="351"/>
      <c r="AW106" s="351"/>
      <c r="AX106" s="82"/>
      <c r="AY106" s="346"/>
      <c r="AZ106" s="82"/>
      <c r="BA106" s="335"/>
      <c r="BB106" s="82"/>
      <c r="BC106" s="335"/>
      <c r="BD106" s="82"/>
      <c r="BE106" s="335"/>
      <c r="BF106" s="82"/>
      <c r="BG106" s="335"/>
      <c r="BH106" s="82"/>
      <c r="BI106" s="346"/>
      <c r="BJ106" s="346"/>
      <c r="BK106" s="346"/>
      <c r="BL106" s="346"/>
      <c r="BM106" s="346"/>
    </row>
    <row r="107" spans="1:65" x14ac:dyDescent="0.25">
      <c r="C107" s="359"/>
      <c r="D107" s="82"/>
      <c r="F107" s="317"/>
      <c r="I107" s="334"/>
      <c r="J107" s="82"/>
      <c r="K107" s="82"/>
      <c r="L107" s="82"/>
      <c r="M107" s="82"/>
      <c r="N107" s="334"/>
      <c r="O107" s="82"/>
      <c r="P107" s="82"/>
      <c r="Q107" s="82"/>
      <c r="R107" s="82"/>
      <c r="S107" s="334"/>
      <c r="T107" s="82"/>
      <c r="U107" s="82"/>
      <c r="V107" s="82"/>
      <c r="W107" s="82"/>
      <c r="X107" s="334"/>
      <c r="Y107" s="82"/>
      <c r="Z107" s="82"/>
      <c r="AA107" s="82"/>
      <c r="AB107" s="82"/>
      <c r="AC107" s="82"/>
      <c r="AD107" s="82"/>
      <c r="AE107" s="334"/>
      <c r="AF107" s="82"/>
      <c r="AG107" s="82"/>
      <c r="AH107" s="82"/>
      <c r="AI107" s="82"/>
      <c r="AJ107" s="334"/>
      <c r="AK107" s="82"/>
      <c r="AL107" s="82"/>
      <c r="AM107" s="82"/>
      <c r="AN107" s="82"/>
      <c r="AO107" s="82"/>
      <c r="AP107" s="82"/>
      <c r="AQ107" s="82"/>
      <c r="AR107" s="82"/>
      <c r="AS107" s="82"/>
      <c r="AT107" s="351"/>
      <c r="AU107" s="351"/>
      <c r="AV107" s="351"/>
      <c r="AW107" s="351"/>
      <c r="AX107" s="82"/>
      <c r="AY107" s="346"/>
      <c r="AZ107" s="82"/>
      <c r="BA107" s="335"/>
      <c r="BB107" s="82"/>
      <c r="BC107" s="335"/>
      <c r="BD107" s="82"/>
      <c r="BE107" s="335"/>
      <c r="BF107" s="82"/>
      <c r="BG107" s="335"/>
      <c r="BH107" s="82"/>
      <c r="BI107" s="346"/>
      <c r="BJ107" s="346"/>
      <c r="BK107" s="346"/>
      <c r="BL107" s="346"/>
      <c r="BM107" s="346"/>
    </row>
    <row r="108" spans="1:65" x14ac:dyDescent="0.25">
      <c r="C108" s="359"/>
      <c r="D108" s="82"/>
      <c r="F108" s="317"/>
      <c r="I108" s="334"/>
      <c r="J108" s="82"/>
      <c r="K108" s="82"/>
      <c r="L108" s="82"/>
      <c r="M108" s="82"/>
      <c r="N108" s="334"/>
      <c r="O108" s="82"/>
      <c r="P108" s="82"/>
      <c r="Q108" s="82"/>
      <c r="R108" s="82"/>
      <c r="S108" s="334"/>
      <c r="T108" s="82"/>
      <c r="U108" s="82"/>
      <c r="V108" s="82"/>
      <c r="W108" s="82"/>
      <c r="X108" s="334"/>
      <c r="Y108" s="82"/>
      <c r="Z108" s="82"/>
      <c r="AA108" s="82"/>
      <c r="AB108" s="82"/>
      <c r="AC108" s="82"/>
      <c r="AD108" s="82"/>
      <c r="AE108" s="334"/>
      <c r="AF108" s="82"/>
      <c r="AG108" s="82"/>
      <c r="AH108" s="82"/>
      <c r="AI108" s="82"/>
      <c r="AJ108" s="334"/>
      <c r="AK108" s="82"/>
      <c r="AL108" s="82"/>
      <c r="AM108" s="82"/>
      <c r="AN108" s="82"/>
      <c r="AO108" s="82"/>
      <c r="AP108" s="82"/>
      <c r="AQ108" s="82"/>
      <c r="AR108" s="82"/>
      <c r="AS108" s="82"/>
      <c r="AT108" s="351"/>
      <c r="AU108" s="351"/>
      <c r="AV108" s="351"/>
      <c r="AW108" s="351"/>
      <c r="AX108" s="82"/>
      <c r="AY108" s="346"/>
      <c r="AZ108" s="82"/>
      <c r="BA108" s="335"/>
      <c r="BB108" s="82"/>
      <c r="BC108" s="335"/>
      <c r="BD108" s="82"/>
      <c r="BE108" s="335"/>
      <c r="BF108" s="82"/>
      <c r="BG108" s="335"/>
      <c r="BH108" s="82"/>
      <c r="BI108" s="346"/>
      <c r="BJ108" s="346"/>
      <c r="BK108" s="346"/>
      <c r="BL108" s="346"/>
      <c r="BM108" s="346"/>
    </row>
    <row r="109" spans="1:65" x14ac:dyDescent="0.25">
      <c r="C109" s="359"/>
      <c r="D109" s="82"/>
      <c r="I109" s="334"/>
      <c r="J109" s="82"/>
      <c r="K109" s="82"/>
      <c r="L109" s="82"/>
      <c r="M109" s="82"/>
      <c r="N109" s="334"/>
      <c r="O109" s="82"/>
      <c r="P109" s="82"/>
      <c r="Q109" s="82"/>
      <c r="R109" s="82"/>
      <c r="S109" s="334"/>
      <c r="T109" s="82"/>
      <c r="U109" s="82"/>
      <c r="V109" s="82"/>
      <c r="W109" s="82"/>
      <c r="X109" s="334"/>
      <c r="Y109" s="82"/>
      <c r="Z109" s="82"/>
      <c r="AA109" s="82"/>
      <c r="AB109" s="82"/>
      <c r="AC109" s="82"/>
      <c r="AD109" s="82"/>
      <c r="AE109" s="334"/>
      <c r="AF109" s="82"/>
      <c r="AG109" s="82"/>
      <c r="AH109" s="82"/>
      <c r="AI109" s="82"/>
      <c r="AJ109" s="334"/>
      <c r="AK109" s="82"/>
      <c r="AL109" s="82"/>
      <c r="AM109" s="82"/>
      <c r="AN109" s="82"/>
      <c r="AO109" s="82"/>
      <c r="AP109" s="82"/>
      <c r="AQ109" s="82"/>
      <c r="AR109" s="82"/>
      <c r="AS109" s="82"/>
      <c r="AT109" s="351"/>
      <c r="AU109" s="351"/>
      <c r="AV109" s="351"/>
      <c r="AW109" s="351"/>
      <c r="AX109" s="82"/>
      <c r="AY109" s="82"/>
      <c r="AZ109" s="82"/>
      <c r="BA109" s="335"/>
      <c r="BB109" s="82"/>
      <c r="BC109" s="335"/>
      <c r="BD109" s="82"/>
      <c r="BE109" s="335"/>
      <c r="BF109" s="82"/>
      <c r="BG109" s="335"/>
      <c r="BH109" s="82"/>
      <c r="BI109" s="346"/>
      <c r="BJ109" s="346"/>
      <c r="BK109" s="346"/>
      <c r="BL109" s="346"/>
      <c r="BM109" s="346"/>
    </row>
    <row r="110" spans="1:65" x14ac:dyDescent="0.25">
      <c r="C110" s="359"/>
      <c r="D110" s="82"/>
      <c r="I110" s="334"/>
      <c r="J110" s="82"/>
      <c r="K110" s="82"/>
      <c r="L110" s="82"/>
      <c r="M110" s="82"/>
      <c r="N110" s="334"/>
      <c r="O110" s="82"/>
      <c r="P110" s="82"/>
      <c r="Q110" s="82"/>
      <c r="R110" s="82"/>
      <c r="S110" s="334"/>
      <c r="T110" s="82"/>
      <c r="U110" s="82"/>
      <c r="V110" s="82"/>
      <c r="W110" s="82"/>
      <c r="X110" s="334"/>
      <c r="Y110" s="82"/>
      <c r="Z110" s="82"/>
      <c r="AA110" s="82"/>
      <c r="AB110" s="82"/>
      <c r="AC110" s="82"/>
      <c r="AD110" s="82"/>
      <c r="AE110" s="334"/>
      <c r="AF110" s="82"/>
      <c r="AG110" s="82"/>
      <c r="AH110" s="82"/>
      <c r="AI110" s="82"/>
      <c r="AJ110" s="334"/>
      <c r="AK110" s="82"/>
      <c r="AL110" s="82"/>
      <c r="AM110" s="82"/>
      <c r="AN110" s="82"/>
      <c r="AO110" s="82"/>
      <c r="AP110" s="82"/>
      <c r="AQ110" s="82"/>
      <c r="AR110" s="82"/>
      <c r="AS110" s="82"/>
      <c r="AT110" s="351"/>
      <c r="AU110" s="351"/>
      <c r="AV110" s="351"/>
      <c r="AW110" s="351"/>
      <c r="AX110" s="82"/>
      <c r="AY110" s="82"/>
      <c r="AZ110" s="82"/>
      <c r="BA110" s="335"/>
      <c r="BB110" s="82"/>
      <c r="BC110" s="335"/>
      <c r="BD110" s="82"/>
      <c r="BE110" s="335"/>
      <c r="BF110" s="82"/>
      <c r="BG110" s="335"/>
      <c r="BH110" s="82"/>
      <c r="BI110" s="346"/>
      <c r="BJ110" s="346"/>
      <c r="BK110" s="346"/>
      <c r="BL110" s="346"/>
      <c r="BM110" s="346"/>
    </row>
    <row r="111" spans="1:65" x14ac:dyDescent="0.25">
      <c r="C111" s="359"/>
      <c r="D111" s="82"/>
      <c r="I111" s="334"/>
      <c r="J111" s="82"/>
      <c r="K111" s="82"/>
      <c r="L111" s="82"/>
      <c r="M111" s="82"/>
      <c r="N111" s="334"/>
      <c r="O111" s="82"/>
      <c r="P111" s="82"/>
      <c r="Q111" s="82"/>
      <c r="R111" s="82"/>
      <c r="S111" s="334"/>
      <c r="T111" s="82"/>
      <c r="U111" s="82"/>
      <c r="V111" s="82"/>
      <c r="W111" s="82"/>
      <c r="X111" s="334"/>
      <c r="Y111" s="82"/>
      <c r="Z111" s="82"/>
      <c r="AA111" s="82"/>
      <c r="AB111" s="82"/>
      <c r="AC111" s="82"/>
      <c r="AD111" s="82"/>
      <c r="AE111" s="334"/>
      <c r="AF111" s="82"/>
      <c r="AG111" s="82"/>
      <c r="AH111" s="82"/>
      <c r="AI111" s="82"/>
      <c r="AJ111" s="334"/>
      <c r="AK111" s="82"/>
      <c r="AL111" s="82"/>
      <c r="AM111" s="82"/>
      <c r="AN111" s="82"/>
      <c r="AO111" s="82"/>
      <c r="AP111" s="82"/>
      <c r="AQ111" s="82"/>
      <c r="AR111" s="82"/>
      <c r="AS111" s="82"/>
      <c r="AT111" s="351"/>
      <c r="AU111" s="351"/>
      <c r="AV111" s="351"/>
      <c r="AW111" s="351"/>
      <c r="AX111" s="82"/>
      <c r="AY111" s="82"/>
      <c r="AZ111" s="82"/>
      <c r="BA111" s="335"/>
      <c r="BB111" s="82"/>
      <c r="BC111" s="335"/>
      <c r="BD111" s="82"/>
      <c r="BE111" s="335"/>
      <c r="BF111" s="82"/>
      <c r="BG111" s="335"/>
      <c r="BH111" s="82"/>
      <c r="BI111" s="346"/>
      <c r="BJ111" s="346"/>
      <c r="BK111" s="346"/>
      <c r="BL111" s="346"/>
      <c r="BM111" s="346"/>
    </row>
    <row r="112" spans="1:65" x14ac:dyDescent="0.25">
      <c r="C112" s="359"/>
      <c r="D112" s="82"/>
      <c r="I112" s="334"/>
      <c r="J112" s="82"/>
      <c r="K112" s="82"/>
      <c r="L112" s="82"/>
      <c r="M112" s="82"/>
      <c r="N112" s="334"/>
      <c r="O112" s="82"/>
      <c r="P112" s="82"/>
      <c r="Q112" s="82"/>
      <c r="R112" s="82"/>
      <c r="S112" s="334"/>
      <c r="T112" s="82"/>
      <c r="U112" s="82"/>
      <c r="V112" s="82"/>
      <c r="W112" s="82"/>
      <c r="X112" s="334"/>
      <c r="Y112" s="82"/>
      <c r="Z112" s="82"/>
      <c r="AA112" s="82"/>
      <c r="AB112" s="82"/>
      <c r="AC112" s="82"/>
      <c r="AD112" s="82"/>
      <c r="AE112" s="334"/>
      <c r="AF112" s="82"/>
      <c r="AG112" s="82"/>
      <c r="AH112" s="82"/>
      <c r="AI112" s="82"/>
      <c r="AJ112" s="334"/>
      <c r="AK112" s="82"/>
      <c r="AL112" s="82"/>
      <c r="AM112" s="82"/>
      <c r="AN112" s="82"/>
      <c r="AO112" s="82"/>
      <c r="AP112" s="82"/>
      <c r="AQ112" s="82"/>
      <c r="AR112" s="82"/>
      <c r="AS112" s="82"/>
      <c r="AT112" s="351"/>
      <c r="AU112" s="351"/>
      <c r="AV112" s="351"/>
      <c r="AW112" s="351"/>
      <c r="AX112" s="82"/>
      <c r="AY112" s="82"/>
      <c r="AZ112" s="82"/>
      <c r="BA112" s="335"/>
      <c r="BB112" s="82"/>
      <c r="BC112" s="335"/>
      <c r="BD112" s="82"/>
      <c r="BE112" s="335"/>
      <c r="BF112" s="82"/>
      <c r="BG112" s="335"/>
      <c r="BH112" s="82"/>
      <c r="BI112" s="346"/>
      <c r="BJ112" s="346"/>
      <c r="BK112" s="346"/>
      <c r="BL112" s="346"/>
      <c r="BM112" s="346"/>
    </row>
    <row r="113" spans="3:65" x14ac:dyDescent="0.25">
      <c r="C113" s="359"/>
      <c r="D113" s="82"/>
      <c r="I113" s="334"/>
      <c r="J113" s="82"/>
      <c r="K113" s="82"/>
      <c r="L113" s="82"/>
      <c r="M113" s="82"/>
      <c r="N113" s="334"/>
      <c r="O113" s="82"/>
      <c r="P113" s="82"/>
      <c r="Q113" s="82"/>
      <c r="R113" s="82"/>
      <c r="S113" s="334"/>
      <c r="T113" s="82"/>
      <c r="U113" s="82"/>
      <c r="V113" s="82"/>
      <c r="W113" s="82"/>
      <c r="X113" s="334"/>
      <c r="Y113" s="82"/>
      <c r="Z113" s="82"/>
      <c r="AA113" s="82"/>
      <c r="AB113" s="82"/>
      <c r="AC113" s="82"/>
      <c r="AD113" s="82"/>
      <c r="AE113" s="334"/>
      <c r="AF113" s="82"/>
      <c r="AG113" s="82"/>
      <c r="AH113" s="82"/>
      <c r="AI113" s="82"/>
      <c r="AJ113" s="334"/>
      <c r="AK113" s="82"/>
      <c r="AL113" s="82"/>
      <c r="AM113" s="82"/>
      <c r="AN113" s="82"/>
      <c r="AO113" s="82"/>
      <c r="AP113" s="82"/>
      <c r="AQ113" s="82"/>
      <c r="AR113" s="82"/>
      <c r="AS113" s="82"/>
      <c r="AT113" s="351"/>
      <c r="AU113" s="351"/>
      <c r="AV113" s="351"/>
      <c r="AW113" s="351"/>
      <c r="AX113" s="82"/>
      <c r="AY113" s="82"/>
      <c r="AZ113" s="82"/>
      <c r="BA113" s="335"/>
      <c r="BB113" s="82"/>
      <c r="BC113" s="335"/>
      <c r="BD113" s="82"/>
      <c r="BE113" s="335"/>
      <c r="BF113" s="82"/>
      <c r="BG113" s="335"/>
      <c r="BH113" s="82"/>
      <c r="BI113" s="346"/>
      <c r="BJ113" s="346"/>
      <c r="BK113" s="346"/>
      <c r="BL113" s="346"/>
      <c r="BM113" s="346"/>
    </row>
    <row r="114" spans="3:65" x14ac:dyDescent="0.25">
      <c r="C114" s="359"/>
      <c r="D114" s="82"/>
      <c r="I114" s="334"/>
      <c r="J114" s="82"/>
      <c r="K114" s="82"/>
      <c r="L114" s="82"/>
      <c r="M114" s="82"/>
      <c r="N114" s="334"/>
      <c r="O114" s="82"/>
      <c r="P114" s="82"/>
      <c r="Q114" s="82"/>
      <c r="R114" s="82"/>
      <c r="S114" s="334"/>
      <c r="T114" s="82"/>
      <c r="U114" s="82"/>
      <c r="V114" s="82"/>
      <c r="W114" s="82"/>
      <c r="X114" s="334"/>
      <c r="Y114" s="82"/>
      <c r="Z114" s="82"/>
      <c r="AA114" s="82"/>
      <c r="AB114" s="82"/>
      <c r="AC114" s="82"/>
      <c r="AD114" s="82"/>
      <c r="AE114" s="334"/>
      <c r="AF114" s="82"/>
      <c r="AG114" s="82"/>
      <c r="AH114" s="82"/>
      <c r="AI114" s="82"/>
      <c r="AJ114" s="334"/>
      <c r="AK114" s="82"/>
      <c r="AL114" s="82"/>
      <c r="AM114" s="82"/>
      <c r="AN114" s="82"/>
      <c r="AO114" s="82"/>
      <c r="AP114" s="82"/>
      <c r="AQ114" s="82"/>
      <c r="AR114" s="82"/>
      <c r="AS114" s="82"/>
      <c r="AT114" s="351"/>
      <c r="AU114" s="351"/>
      <c r="AV114" s="351"/>
      <c r="AW114" s="351"/>
      <c r="AX114" s="82"/>
      <c r="AY114" s="82"/>
      <c r="AZ114" s="82"/>
      <c r="BA114" s="335"/>
      <c r="BB114" s="82"/>
      <c r="BC114" s="335"/>
      <c r="BD114" s="82"/>
      <c r="BE114" s="335"/>
      <c r="BF114" s="82"/>
      <c r="BG114" s="335"/>
      <c r="BH114" s="82"/>
      <c r="BI114" s="346"/>
      <c r="BJ114" s="346"/>
      <c r="BK114" s="346"/>
      <c r="BL114" s="346"/>
      <c r="BM114" s="346"/>
    </row>
    <row r="115" spans="3:65" x14ac:dyDescent="0.25">
      <c r="C115" s="359"/>
      <c r="D115" s="82"/>
      <c r="I115" s="334"/>
      <c r="J115" s="82"/>
      <c r="K115" s="82"/>
      <c r="L115" s="82"/>
      <c r="M115" s="82"/>
      <c r="N115" s="334"/>
      <c r="O115" s="82"/>
      <c r="P115" s="82"/>
      <c r="Q115" s="82"/>
      <c r="R115" s="82"/>
      <c r="S115" s="334"/>
      <c r="T115" s="82"/>
      <c r="U115" s="82"/>
      <c r="V115" s="82"/>
      <c r="W115" s="82"/>
      <c r="X115" s="334"/>
      <c r="Y115" s="82"/>
      <c r="Z115" s="82"/>
      <c r="AA115" s="82"/>
      <c r="AB115" s="82"/>
      <c r="AC115" s="82"/>
      <c r="AD115" s="82"/>
      <c r="AE115" s="334"/>
      <c r="AF115" s="82"/>
      <c r="AG115" s="82"/>
      <c r="AH115" s="82"/>
      <c r="AI115" s="82"/>
      <c r="AJ115" s="334"/>
      <c r="AK115" s="82"/>
      <c r="AL115" s="82"/>
      <c r="AM115" s="82"/>
      <c r="AN115" s="82"/>
      <c r="AO115" s="82"/>
      <c r="AP115" s="82"/>
      <c r="AQ115" s="82"/>
      <c r="AR115" s="82"/>
      <c r="AS115" s="82"/>
      <c r="AT115" s="351"/>
      <c r="AU115" s="351"/>
      <c r="AV115" s="351"/>
      <c r="AW115" s="351"/>
      <c r="AX115" s="82"/>
      <c r="AY115" s="82"/>
      <c r="AZ115" s="82"/>
      <c r="BA115" s="335"/>
      <c r="BB115" s="82"/>
      <c r="BC115" s="335"/>
      <c r="BD115" s="82"/>
      <c r="BE115" s="335"/>
      <c r="BF115" s="82"/>
      <c r="BG115" s="335"/>
      <c r="BH115" s="82"/>
      <c r="BI115" s="346"/>
      <c r="BJ115" s="346"/>
      <c r="BK115" s="346"/>
      <c r="BL115" s="346"/>
      <c r="BM115" s="346"/>
    </row>
    <row r="116" spans="3:65" x14ac:dyDescent="0.25">
      <c r="C116" s="359"/>
      <c r="D116" s="82"/>
      <c r="I116" s="334"/>
      <c r="J116" s="82"/>
      <c r="K116" s="82"/>
      <c r="L116" s="82"/>
      <c r="M116" s="82"/>
      <c r="N116" s="334"/>
      <c r="O116" s="82"/>
      <c r="P116" s="82"/>
      <c r="Q116" s="82"/>
      <c r="R116" s="82"/>
      <c r="S116" s="334"/>
      <c r="T116" s="82"/>
      <c r="U116" s="82"/>
      <c r="V116" s="82"/>
      <c r="W116" s="82"/>
      <c r="X116" s="334"/>
      <c r="Y116" s="82"/>
      <c r="Z116" s="82"/>
      <c r="AA116" s="82"/>
      <c r="AB116" s="82"/>
      <c r="AC116" s="82"/>
      <c r="AD116" s="82"/>
      <c r="AE116" s="334"/>
      <c r="AF116" s="82"/>
      <c r="AG116" s="82"/>
      <c r="AH116" s="82"/>
      <c r="AI116" s="82"/>
      <c r="AJ116" s="334"/>
      <c r="AK116" s="82"/>
      <c r="AL116" s="82"/>
      <c r="AM116" s="82"/>
      <c r="AN116" s="82"/>
      <c r="AO116" s="82"/>
      <c r="AP116" s="82"/>
      <c r="AQ116" s="82"/>
      <c r="AR116" s="82"/>
      <c r="AS116" s="82"/>
      <c r="AT116" s="351"/>
      <c r="AU116" s="351"/>
      <c r="AV116" s="351"/>
      <c r="AW116" s="351"/>
      <c r="AX116" s="82"/>
      <c r="AY116" s="82"/>
      <c r="AZ116" s="82"/>
      <c r="BA116" s="335"/>
      <c r="BB116" s="82"/>
      <c r="BC116" s="335"/>
      <c r="BD116" s="82"/>
      <c r="BE116" s="335"/>
      <c r="BF116" s="82"/>
      <c r="BG116" s="335"/>
      <c r="BH116" s="82"/>
      <c r="BI116" s="82"/>
      <c r="BJ116" s="82"/>
      <c r="BK116" s="82"/>
      <c r="BL116" s="82"/>
      <c r="BM116" s="82"/>
    </row>
    <row r="117" spans="3:65" x14ac:dyDescent="0.25">
      <c r="C117" s="359"/>
      <c r="D117" s="82"/>
      <c r="I117" s="334"/>
      <c r="J117" s="82"/>
      <c r="K117" s="82"/>
      <c r="L117" s="82"/>
      <c r="M117" s="82"/>
      <c r="N117" s="334"/>
      <c r="O117" s="82"/>
      <c r="P117" s="82"/>
      <c r="Q117" s="82"/>
      <c r="R117" s="82"/>
      <c r="S117" s="334"/>
      <c r="T117" s="82"/>
      <c r="U117" s="82"/>
      <c r="V117" s="82"/>
      <c r="W117" s="82"/>
      <c r="X117" s="334"/>
      <c r="Y117" s="82"/>
      <c r="Z117" s="82"/>
      <c r="AA117" s="82"/>
      <c r="AB117" s="82"/>
      <c r="AC117" s="82"/>
      <c r="AD117" s="82"/>
      <c r="AE117" s="334"/>
      <c r="AF117" s="82"/>
      <c r="AG117" s="82"/>
      <c r="AH117" s="82"/>
      <c r="AI117" s="82"/>
      <c r="AJ117" s="334"/>
      <c r="AK117" s="82"/>
      <c r="AL117" s="82"/>
      <c r="AM117" s="82"/>
      <c r="AN117" s="82"/>
      <c r="AO117" s="82"/>
      <c r="AP117" s="82"/>
      <c r="AQ117" s="82"/>
      <c r="AR117" s="82"/>
      <c r="AS117" s="82"/>
      <c r="AT117" s="351"/>
      <c r="AU117" s="351"/>
      <c r="AV117" s="351"/>
      <c r="AW117" s="351"/>
      <c r="AX117" s="82"/>
      <c r="AY117" s="82"/>
      <c r="AZ117" s="82"/>
      <c r="BA117" s="335"/>
      <c r="BB117" s="82"/>
      <c r="BC117" s="335"/>
      <c r="BD117" s="82"/>
      <c r="BE117" s="335"/>
      <c r="BF117" s="82"/>
      <c r="BG117" s="335"/>
      <c r="BH117" s="82"/>
      <c r="BI117" s="82"/>
      <c r="BJ117" s="82"/>
      <c r="BK117" s="82"/>
      <c r="BL117" s="82"/>
      <c r="BM117" s="82"/>
    </row>
    <row r="118" spans="3:65" x14ac:dyDescent="0.25">
      <c r="C118" s="359"/>
      <c r="D118" s="82"/>
      <c r="I118" s="334"/>
      <c r="J118" s="82"/>
      <c r="K118" s="82"/>
      <c r="L118" s="82"/>
      <c r="M118" s="82"/>
      <c r="N118" s="334"/>
      <c r="O118" s="82"/>
      <c r="P118" s="82"/>
      <c r="Q118" s="82"/>
      <c r="R118" s="82"/>
      <c r="S118" s="334"/>
      <c r="T118" s="82"/>
      <c r="U118" s="82"/>
      <c r="V118" s="82"/>
      <c r="W118" s="82"/>
      <c r="X118" s="334"/>
      <c r="Y118" s="82"/>
      <c r="Z118" s="82"/>
      <c r="AA118" s="82"/>
      <c r="AB118" s="82"/>
      <c r="AC118" s="82"/>
      <c r="AD118" s="82"/>
      <c r="AE118" s="334"/>
      <c r="AF118" s="82"/>
      <c r="AG118" s="82"/>
      <c r="AH118" s="82"/>
      <c r="AI118" s="82"/>
      <c r="AJ118" s="334"/>
      <c r="AK118" s="82"/>
      <c r="AL118" s="82"/>
      <c r="AM118" s="82"/>
      <c r="AN118" s="82"/>
      <c r="AO118" s="82"/>
      <c r="AP118" s="82"/>
      <c r="AQ118" s="82"/>
      <c r="AR118" s="82"/>
      <c r="AS118" s="82"/>
      <c r="AT118" s="351"/>
      <c r="AU118" s="351"/>
      <c r="AV118" s="351"/>
      <c r="AW118" s="351"/>
      <c r="AX118" s="82"/>
      <c r="AY118" s="82"/>
      <c r="AZ118" s="82"/>
      <c r="BA118" s="335"/>
      <c r="BB118" s="82"/>
      <c r="BC118" s="335"/>
      <c r="BD118" s="82"/>
      <c r="BE118" s="335"/>
      <c r="BF118" s="82"/>
      <c r="BG118" s="335"/>
      <c r="BH118" s="82"/>
      <c r="BI118" s="82"/>
      <c r="BJ118" s="82"/>
      <c r="BK118" s="82"/>
      <c r="BL118" s="82"/>
      <c r="BM118" s="82"/>
    </row>
    <row r="119" spans="3:65" x14ac:dyDescent="0.25">
      <c r="C119" s="359"/>
      <c r="D119" s="82"/>
      <c r="I119" s="334"/>
      <c r="J119" s="82"/>
      <c r="K119" s="82"/>
      <c r="L119" s="82"/>
      <c r="M119" s="82"/>
      <c r="N119" s="334"/>
      <c r="O119" s="82"/>
      <c r="P119" s="82"/>
      <c r="Q119" s="82"/>
      <c r="R119" s="82"/>
      <c r="S119" s="334"/>
      <c r="T119" s="82"/>
      <c r="U119" s="82"/>
      <c r="V119" s="82"/>
      <c r="W119" s="82"/>
      <c r="X119" s="334"/>
      <c r="Y119" s="82"/>
      <c r="Z119" s="82"/>
      <c r="AA119" s="82"/>
      <c r="AB119" s="82"/>
      <c r="AC119" s="82"/>
      <c r="AD119" s="82"/>
      <c r="AE119" s="334"/>
      <c r="AF119" s="82"/>
      <c r="AG119" s="82"/>
      <c r="AH119" s="82"/>
      <c r="AI119" s="82"/>
      <c r="AJ119" s="334"/>
      <c r="AK119" s="82"/>
      <c r="AL119" s="82"/>
      <c r="AM119" s="82"/>
      <c r="AN119" s="82"/>
      <c r="AO119" s="82"/>
      <c r="AP119" s="82"/>
      <c r="AQ119" s="82"/>
      <c r="AR119" s="82"/>
      <c r="AS119" s="82"/>
      <c r="AT119" s="351"/>
      <c r="AU119" s="351"/>
      <c r="AV119" s="351"/>
      <c r="AW119" s="351"/>
      <c r="AX119" s="82"/>
      <c r="AY119" s="82"/>
      <c r="AZ119" s="82"/>
      <c r="BA119" s="335"/>
      <c r="BB119" s="82"/>
      <c r="BC119" s="335"/>
      <c r="BD119" s="82"/>
      <c r="BE119" s="335"/>
      <c r="BF119" s="82"/>
      <c r="BG119" s="335"/>
      <c r="BH119" s="82"/>
      <c r="BI119" s="82"/>
      <c r="BJ119" s="82"/>
      <c r="BK119" s="82"/>
      <c r="BL119" s="82"/>
      <c r="BM119" s="82"/>
    </row>
    <row r="120" spans="3:65" x14ac:dyDescent="0.25">
      <c r="C120" s="359"/>
      <c r="D120" s="82"/>
      <c r="I120" s="334"/>
      <c r="J120" s="82"/>
      <c r="K120" s="82"/>
      <c r="L120" s="82"/>
      <c r="M120" s="82"/>
      <c r="N120" s="334"/>
      <c r="O120" s="82"/>
      <c r="P120" s="82"/>
      <c r="Q120" s="82"/>
      <c r="R120" s="82"/>
      <c r="S120" s="334"/>
      <c r="T120" s="82"/>
      <c r="U120" s="82"/>
      <c r="V120" s="82"/>
      <c r="W120" s="82"/>
      <c r="X120" s="334"/>
      <c r="Y120" s="82"/>
      <c r="Z120" s="82"/>
      <c r="AA120" s="82"/>
      <c r="AB120" s="82"/>
      <c r="AC120" s="82"/>
      <c r="AD120" s="82"/>
      <c r="AE120" s="334"/>
      <c r="AF120" s="82"/>
      <c r="AG120" s="82"/>
      <c r="AH120" s="82"/>
      <c r="AI120" s="82"/>
      <c r="AJ120" s="334"/>
      <c r="AK120" s="82"/>
      <c r="AL120" s="82"/>
      <c r="AM120" s="82"/>
      <c r="AN120" s="82"/>
      <c r="AO120" s="82"/>
      <c r="AP120" s="82"/>
      <c r="AQ120" s="82"/>
      <c r="AR120" s="82"/>
      <c r="AS120" s="82"/>
      <c r="AT120" s="351"/>
      <c r="AU120" s="351"/>
      <c r="AV120" s="351"/>
      <c r="AW120" s="351"/>
      <c r="AX120" s="82"/>
      <c r="AY120" s="82"/>
      <c r="AZ120" s="82"/>
      <c r="BA120" s="335"/>
      <c r="BB120" s="82"/>
      <c r="BC120" s="335"/>
      <c r="BD120" s="82"/>
      <c r="BE120" s="335"/>
      <c r="BF120" s="82"/>
      <c r="BG120" s="335"/>
      <c r="BH120" s="82"/>
      <c r="BI120" s="82"/>
      <c r="BJ120" s="82"/>
      <c r="BK120" s="82"/>
      <c r="BL120" s="82"/>
      <c r="BM120" s="82"/>
    </row>
    <row r="121" spans="3:65" x14ac:dyDescent="0.25">
      <c r="C121" s="359"/>
      <c r="D121" s="82"/>
      <c r="I121" s="334"/>
      <c r="J121" s="82"/>
      <c r="K121" s="82"/>
      <c r="L121" s="82"/>
      <c r="M121" s="82"/>
      <c r="N121" s="334"/>
      <c r="O121" s="82"/>
      <c r="P121" s="82"/>
      <c r="Q121" s="82"/>
      <c r="R121" s="82"/>
      <c r="S121" s="334"/>
      <c r="T121" s="82"/>
      <c r="U121" s="82"/>
      <c r="V121" s="82"/>
      <c r="W121" s="82"/>
      <c r="X121" s="334"/>
      <c r="Y121" s="82"/>
      <c r="Z121" s="82"/>
      <c r="AA121" s="82"/>
      <c r="AB121" s="82"/>
      <c r="AC121" s="82"/>
      <c r="AD121" s="82"/>
      <c r="AE121" s="334"/>
      <c r="AF121" s="82"/>
      <c r="AG121" s="82"/>
      <c r="AH121" s="82"/>
      <c r="AI121" s="82"/>
      <c r="AJ121" s="334"/>
      <c r="AK121" s="82"/>
      <c r="AL121" s="82"/>
      <c r="AM121" s="82"/>
      <c r="AN121" s="82"/>
      <c r="AO121" s="82"/>
      <c r="AP121" s="82"/>
      <c r="AQ121" s="82"/>
      <c r="AR121" s="82"/>
      <c r="AS121" s="82"/>
      <c r="AT121" s="351"/>
      <c r="AU121" s="351"/>
      <c r="AV121" s="351"/>
      <c r="AW121" s="351"/>
      <c r="AX121" s="82"/>
      <c r="AY121" s="82"/>
      <c r="AZ121" s="82"/>
      <c r="BA121" s="335"/>
      <c r="BB121" s="82"/>
      <c r="BC121" s="335"/>
      <c r="BD121" s="82"/>
      <c r="BE121" s="335"/>
      <c r="BF121" s="82"/>
      <c r="BG121" s="335"/>
      <c r="BH121" s="82"/>
      <c r="BI121" s="82"/>
      <c r="BJ121" s="82"/>
      <c r="BK121" s="82"/>
      <c r="BL121" s="82"/>
      <c r="BM121" s="82"/>
    </row>
    <row r="122" spans="3:65" x14ac:dyDescent="0.25">
      <c r="C122" s="359"/>
      <c r="D122" s="82"/>
      <c r="I122" s="334"/>
      <c r="J122" s="82"/>
      <c r="K122" s="82"/>
      <c r="L122" s="82"/>
      <c r="M122" s="82"/>
      <c r="N122" s="334"/>
      <c r="O122" s="82"/>
      <c r="P122" s="82"/>
      <c r="Q122" s="82"/>
      <c r="R122" s="82"/>
      <c r="S122" s="334"/>
      <c r="T122" s="82"/>
      <c r="U122" s="82"/>
      <c r="V122" s="82"/>
      <c r="W122" s="82"/>
      <c r="X122" s="334"/>
      <c r="Y122" s="82"/>
      <c r="Z122" s="82"/>
      <c r="AA122" s="82"/>
      <c r="AB122" s="82"/>
      <c r="AC122" s="82"/>
      <c r="AD122" s="82"/>
      <c r="AE122" s="334"/>
      <c r="AF122" s="82"/>
      <c r="AG122" s="82"/>
      <c r="AH122" s="82"/>
      <c r="AI122" s="82"/>
      <c r="AJ122" s="334"/>
      <c r="AK122" s="82"/>
      <c r="AL122" s="82"/>
      <c r="AM122" s="82"/>
      <c r="AN122" s="82"/>
      <c r="AO122" s="82"/>
      <c r="AP122" s="82"/>
      <c r="AQ122" s="82"/>
      <c r="AR122" s="82"/>
      <c r="AS122" s="82"/>
      <c r="AT122" s="351"/>
      <c r="AU122" s="351"/>
      <c r="AV122" s="351"/>
      <c r="AW122" s="351"/>
      <c r="AX122" s="82"/>
      <c r="AY122" s="82"/>
      <c r="AZ122" s="82"/>
      <c r="BA122" s="335"/>
      <c r="BB122" s="82"/>
      <c r="BC122" s="335"/>
      <c r="BD122" s="82"/>
      <c r="BE122" s="335"/>
      <c r="BF122" s="82"/>
      <c r="BG122" s="335"/>
      <c r="BH122" s="82"/>
      <c r="BI122" s="82"/>
      <c r="BJ122" s="82"/>
      <c r="BK122" s="82"/>
      <c r="BL122" s="82"/>
      <c r="BM122" s="82"/>
    </row>
    <row r="123" spans="3:65" x14ac:dyDescent="0.25">
      <c r="C123" s="359"/>
      <c r="D123" s="82"/>
      <c r="I123" s="334"/>
      <c r="J123" s="82"/>
      <c r="K123" s="82"/>
      <c r="L123" s="82"/>
      <c r="M123" s="82"/>
      <c r="N123" s="334"/>
      <c r="O123" s="82"/>
      <c r="P123" s="82"/>
      <c r="Q123" s="82"/>
      <c r="R123" s="82"/>
      <c r="S123" s="334"/>
      <c r="T123" s="82"/>
      <c r="U123" s="82"/>
      <c r="V123" s="82"/>
      <c r="W123" s="82"/>
      <c r="X123" s="334"/>
      <c r="Y123" s="82"/>
      <c r="Z123" s="82"/>
      <c r="AA123" s="82"/>
      <c r="AB123" s="82"/>
      <c r="AC123" s="82"/>
      <c r="AD123" s="82"/>
      <c r="AE123" s="334"/>
      <c r="AF123" s="82"/>
      <c r="AG123" s="82"/>
      <c r="AH123" s="82"/>
      <c r="AI123" s="82"/>
      <c r="AJ123" s="334"/>
      <c r="AK123" s="82"/>
      <c r="AL123" s="82"/>
      <c r="AM123" s="82"/>
      <c r="AN123" s="82"/>
      <c r="AO123" s="82"/>
      <c r="AP123" s="82"/>
      <c r="AQ123" s="82"/>
      <c r="AR123" s="82"/>
      <c r="AS123" s="82"/>
      <c r="AT123" s="351"/>
      <c r="AU123" s="351"/>
      <c r="AV123" s="351"/>
      <c r="AW123" s="351"/>
      <c r="AX123" s="82"/>
      <c r="AY123" s="82"/>
      <c r="AZ123" s="82"/>
      <c r="BA123" s="335"/>
      <c r="BB123" s="82"/>
      <c r="BC123" s="335"/>
      <c r="BD123" s="82"/>
      <c r="BE123" s="335"/>
      <c r="BF123" s="82"/>
      <c r="BG123" s="335"/>
      <c r="BH123" s="82"/>
      <c r="BI123" s="82"/>
      <c r="BJ123" s="82"/>
      <c r="BK123" s="82"/>
      <c r="BL123" s="82"/>
      <c r="BM123" s="82"/>
    </row>
    <row r="124" spans="3:65" x14ac:dyDescent="0.25">
      <c r="C124" s="359"/>
      <c r="D124" s="82"/>
      <c r="I124" s="334"/>
      <c r="J124" s="82"/>
      <c r="K124" s="82"/>
      <c r="L124" s="82"/>
      <c r="M124" s="82"/>
      <c r="N124" s="334"/>
      <c r="O124" s="82"/>
      <c r="P124" s="82"/>
      <c r="Q124" s="82"/>
      <c r="R124" s="82"/>
      <c r="S124" s="334"/>
      <c r="T124" s="82"/>
      <c r="U124" s="82"/>
      <c r="V124" s="82"/>
      <c r="W124" s="82"/>
      <c r="X124" s="334"/>
      <c r="Y124" s="82"/>
      <c r="Z124" s="82"/>
      <c r="AA124" s="82"/>
      <c r="AB124" s="82"/>
      <c r="AC124" s="82"/>
      <c r="AD124" s="82"/>
      <c r="AE124" s="334"/>
      <c r="AF124" s="82"/>
      <c r="AG124" s="82"/>
      <c r="AH124" s="82"/>
      <c r="AI124" s="82"/>
      <c r="AJ124" s="334"/>
      <c r="AK124" s="82"/>
      <c r="AL124" s="82"/>
      <c r="AM124" s="82"/>
      <c r="AN124" s="82"/>
      <c r="AO124" s="82"/>
      <c r="AP124" s="82"/>
      <c r="AQ124" s="82"/>
      <c r="AR124" s="82"/>
      <c r="AS124" s="82"/>
      <c r="AT124" s="351"/>
      <c r="AU124" s="351"/>
      <c r="AV124" s="351"/>
      <c r="AW124" s="351"/>
      <c r="AX124" s="82"/>
      <c r="AY124" s="82"/>
      <c r="AZ124" s="82"/>
      <c r="BA124" s="335"/>
      <c r="BB124" s="82"/>
      <c r="BC124" s="335"/>
      <c r="BD124" s="82"/>
      <c r="BE124" s="335"/>
      <c r="BF124" s="82"/>
      <c r="BG124" s="335"/>
      <c r="BH124" s="82"/>
      <c r="BI124" s="82"/>
      <c r="BJ124" s="82"/>
      <c r="BK124" s="82"/>
      <c r="BL124" s="82"/>
      <c r="BM124" s="82"/>
    </row>
    <row r="125" spans="3:65" x14ac:dyDescent="0.25">
      <c r="C125" s="360"/>
      <c r="I125" s="334"/>
      <c r="J125" s="82"/>
      <c r="K125" s="82"/>
      <c r="L125" s="82"/>
      <c r="M125" s="82"/>
      <c r="N125" s="334"/>
      <c r="O125" s="82"/>
      <c r="P125" s="82"/>
      <c r="Q125" s="82"/>
      <c r="R125" s="82"/>
      <c r="S125" s="334"/>
      <c r="T125" s="82"/>
      <c r="U125" s="82"/>
      <c r="V125" s="82"/>
      <c r="W125" s="82"/>
      <c r="X125" s="334"/>
      <c r="Y125" s="82"/>
      <c r="Z125" s="82"/>
      <c r="AA125" s="82"/>
      <c r="AB125" s="82"/>
      <c r="AC125" s="82"/>
      <c r="AD125" s="82"/>
      <c r="AE125" s="334"/>
      <c r="AF125" s="82"/>
      <c r="AG125" s="82"/>
      <c r="AH125" s="82"/>
      <c r="AI125" s="82"/>
      <c r="AJ125" s="334"/>
      <c r="AK125" s="82"/>
      <c r="AL125" s="82"/>
      <c r="AM125" s="82"/>
      <c r="AN125" s="82"/>
      <c r="AO125" s="82"/>
      <c r="AP125" s="82"/>
      <c r="AQ125" s="82"/>
      <c r="AR125" s="82"/>
      <c r="AS125" s="82"/>
      <c r="AT125" s="351"/>
      <c r="AU125" s="351"/>
      <c r="AV125" s="351"/>
      <c r="AW125" s="351"/>
      <c r="AX125" s="82"/>
      <c r="AY125" s="82"/>
      <c r="AZ125" s="82"/>
      <c r="BA125" s="335"/>
      <c r="BB125" s="82"/>
      <c r="BC125" s="335"/>
      <c r="BD125" s="82"/>
      <c r="BE125" s="335"/>
      <c r="BF125" s="82"/>
      <c r="BG125" s="335"/>
      <c r="BH125" s="82"/>
      <c r="BI125" s="82"/>
      <c r="BJ125" s="82"/>
      <c r="BK125" s="82"/>
      <c r="BL125" s="82"/>
      <c r="BM125" s="82"/>
    </row>
    <row r="126" spans="3:65" x14ac:dyDescent="0.25">
      <c r="C126" s="360"/>
      <c r="I126" s="334"/>
      <c r="J126" s="82"/>
      <c r="K126" s="82"/>
      <c r="L126" s="82"/>
      <c r="M126" s="82"/>
      <c r="N126" s="334"/>
      <c r="O126" s="82"/>
      <c r="P126" s="82"/>
      <c r="Q126" s="82"/>
      <c r="R126" s="82"/>
      <c r="S126" s="334"/>
      <c r="T126" s="82"/>
      <c r="U126" s="82"/>
      <c r="V126" s="82"/>
      <c r="W126" s="82"/>
      <c r="X126" s="334"/>
      <c r="Y126" s="82"/>
      <c r="Z126" s="82"/>
      <c r="AA126" s="82"/>
      <c r="AB126" s="82"/>
      <c r="AC126" s="82"/>
      <c r="AD126" s="82"/>
      <c r="AE126" s="334"/>
      <c r="AF126" s="82"/>
      <c r="AG126" s="82"/>
      <c r="AH126" s="82"/>
      <c r="AI126" s="82"/>
      <c r="AJ126" s="334"/>
      <c r="AK126" s="82"/>
      <c r="AL126" s="82"/>
      <c r="AM126" s="82"/>
      <c r="AN126" s="82"/>
      <c r="AO126" s="82"/>
      <c r="AP126" s="82"/>
      <c r="AQ126" s="82"/>
      <c r="AR126" s="82"/>
      <c r="AS126" s="82"/>
      <c r="AT126" s="351"/>
      <c r="AU126" s="351"/>
      <c r="AV126" s="351"/>
      <c r="AW126" s="351"/>
      <c r="AX126" s="82"/>
      <c r="AY126" s="82"/>
      <c r="AZ126" s="82"/>
      <c r="BA126" s="335"/>
      <c r="BB126" s="82"/>
      <c r="BC126" s="335"/>
      <c r="BD126" s="82"/>
      <c r="BE126" s="335"/>
      <c r="BF126" s="82"/>
      <c r="BG126" s="335"/>
      <c r="BH126" s="82"/>
      <c r="BI126" s="82"/>
      <c r="BJ126" s="82"/>
      <c r="BK126" s="82"/>
      <c r="BL126" s="82"/>
      <c r="BM126" s="82"/>
    </row>
    <row r="127" spans="3:65" x14ac:dyDescent="0.25">
      <c r="C127" s="360"/>
      <c r="I127" s="334"/>
      <c r="J127" s="82"/>
      <c r="K127" s="82"/>
      <c r="L127" s="82"/>
      <c r="M127" s="82"/>
      <c r="N127" s="334"/>
      <c r="O127" s="82"/>
      <c r="P127" s="82"/>
      <c r="Q127" s="82"/>
      <c r="R127" s="82"/>
      <c r="S127" s="334"/>
      <c r="T127" s="82"/>
      <c r="U127" s="82"/>
      <c r="V127" s="82"/>
      <c r="W127" s="82"/>
      <c r="X127" s="334"/>
      <c r="Y127" s="82"/>
      <c r="Z127" s="82"/>
      <c r="AA127" s="82"/>
      <c r="AB127" s="82"/>
      <c r="AC127" s="82"/>
      <c r="AD127" s="82"/>
      <c r="AE127" s="334"/>
      <c r="AF127" s="82"/>
      <c r="AG127" s="82"/>
      <c r="AH127" s="82"/>
      <c r="AI127" s="82"/>
      <c r="AJ127" s="334"/>
      <c r="AK127" s="82"/>
      <c r="AL127" s="82"/>
      <c r="AM127" s="82"/>
      <c r="AN127" s="82"/>
      <c r="AO127" s="82"/>
      <c r="AP127" s="82"/>
      <c r="AQ127" s="82"/>
      <c r="AR127" s="82"/>
      <c r="AS127" s="82"/>
      <c r="AT127" s="351"/>
      <c r="AU127" s="351"/>
      <c r="AV127" s="351"/>
      <c r="AW127" s="351"/>
      <c r="AX127" s="82"/>
      <c r="AY127" s="82"/>
      <c r="AZ127" s="82"/>
      <c r="BA127" s="335"/>
      <c r="BB127" s="82"/>
      <c r="BC127" s="335"/>
      <c r="BD127" s="82"/>
      <c r="BE127" s="335"/>
      <c r="BF127" s="82"/>
      <c r="BG127" s="335"/>
      <c r="BH127" s="82"/>
      <c r="BI127" s="82"/>
      <c r="BJ127" s="82"/>
      <c r="BK127" s="82"/>
      <c r="BL127" s="82"/>
      <c r="BM127" s="82"/>
    </row>
    <row r="128" spans="3:65" x14ac:dyDescent="0.25">
      <c r="C128" s="360"/>
      <c r="I128" s="334"/>
      <c r="J128" s="82"/>
      <c r="K128" s="82"/>
      <c r="L128" s="82"/>
      <c r="M128" s="82"/>
      <c r="N128" s="334"/>
      <c r="O128" s="82"/>
      <c r="P128" s="82"/>
      <c r="Q128" s="82"/>
      <c r="R128" s="82"/>
      <c r="S128" s="334"/>
      <c r="T128" s="82"/>
      <c r="U128" s="82"/>
      <c r="V128" s="82"/>
      <c r="W128" s="82"/>
      <c r="X128" s="334"/>
      <c r="Y128" s="82"/>
      <c r="Z128" s="82"/>
      <c r="AA128" s="82"/>
      <c r="AB128" s="82"/>
      <c r="AC128" s="82"/>
      <c r="AD128" s="82"/>
      <c r="AE128" s="334"/>
      <c r="AF128" s="82"/>
      <c r="AG128" s="82"/>
      <c r="AH128" s="82"/>
      <c r="AI128" s="82"/>
      <c r="AJ128" s="334"/>
      <c r="AK128" s="82"/>
      <c r="AL128" s="82"/>
      <c r="AM128" s="82"/>
      <c r="AN128" s="82"/>
      <c r="AO128" s="82"/>
      <c r="AP128" s="82"/>
      <c r="AQ128" s="82"/>
      <c r="AR128" s="82"/>
      <c r="AS128" s="82"/>
      <c r="AT128" s="351"/>
      <c r="AU128" s="351"/>
      <c r="AV128" s="351"/>
      <c r="AW128" s="351"/>
      <c r="AX128" s="82"/>
      <c r="AY128" s="82"/>
      <c r="AZ128" s="82"/>
      <c r="BA128" s="335"/>
      <c r="BB128" s="82"/>
      <c r="BC128" s="335"/>
      <c r="BD128" s="82"/>
      <c r="BE128" s="335"/>
      <c r="BF128" s="82"/>
      <c r="BG128" s="335"/>
      <c r="BH128" s="82"/>
      <c r="BI128" s="82"/>
      <c r="BJ128" s="82"/>
      <c r="BK128" s="82"/>
      <c r="BL128" s="82"/>
      <c r="BM128" s="82"/>
    </row>
    <row r="129" spans="3:65" x14ac:dyDescent="0.25">
      <c r="C129" s="360"/>
      <c r="I129" s="334"/>
      <c r="J129" s="82"/>
      <c r="K129" s="82"/>
      <c r="L129" s="82"/>
      <c r="M129" s="82"/>
      <c r="N129" s="334"/>
      <c r="O129" s="82"/>
      <c r="P129" s="82"/>
      <c r="Q129" s="82"/>
      <c r="R129" s="82"/>
      <c r="S129" s="334"/>
      <c r="T129" s="82"/>
      <c r="U129" s="82"/>
      <c r="V129" s="82"/>
      <c r="W129" s="82"/>
      <c r="X129" s="334"/>
      <c r="Y129" s="82"/>
      <c r="Z129" s="82"/>
      <c r="AA129" s="82"/>
      <c r="AB129" s="82"/>
      <c r="AC129" s="82"/>
      <c r="AD129" s="82"/>
      <c r="AE129" s="334"/>
      <c r="AF129" s="82"/>
      <c r="AG129" s="82"/>
      <c r="AH129" s="82"/>
      <c r="AI129" s="82"/>
      <c r="AJ129" s="334"/>
      <c r="AK129" s="82"/>
      <c r="AL129" s="82"/>
      <c r="AM129" s="82"/>
      <c r="AN129" s="82"/>
      <c r="AO129" s="82"/>
      <c r="AP129" s="82"/>
      <c r="AQ129" s="82"/>
      <c r="AR129" s="82"/>
      <c r="AS129" s="82"/>
      <c r="AT129" s="351"/>
      <c r="AU129" s="351"/>
      <c r="AV129" s="351"/>
      <c r="AW129" s="351"/>
      <c r="AX129" s="82"/>
      <c r="AY129" s="82"/>
      <c r="AZ129" s="82"/>
      <c r="BA129" s="335"/>
      <c r="BB129" s="82"/>
      <c r="BC129" s="335"/>
      <c r="BD129" s="82"/>
      <c r="BE129" s="335"/>
      <c r="BF129" s="82"/>
      <c r="BG129" s="335"/>
      <c r="BH129" s="82"/>
      <c r="BI129" s="82"/>
      <c r="BJ129" s="82"/>
      <c r="BK129" s="82"/>
      <c r="BL129" s="82"/>
      <c r="BM129" s="82"/>
    </row>
    <row r="130" spans="3:65" x14ac:dyDescent="0.25">
      <c r="C130" s="360"/>
      <c r="I130" s="334"/>
      <c r="J130" s="82"/>
      <c r="K130" s="82"/>
      <c r="L130" s="82"/>
      <c r="M130" s="82"/>
      <c r="N130" s="334"/>
      <c r="O130" s="82"/>
      <c r="P130" s="82"/>
      <c r="Q130" s="82"/>
      <c r="R130" s="82"/>
      <c r="S130" s="334"/>
      <c r="T130" s="82"/>
      <c r="U130" s="82"/>
      <c r="V130" s="82"/>
      <c r="W130" s="82"/>
      <c r="X130" s="334"/>
      <c r="Y130" s="82"/>
      <c r="Z130" s="82"/>
      <c r="AA130" s="82"/>
      <c r="AB130" s="82"/>
      <c r="AC130" s="82"/>
      <c r="AD130" s="82"/>
      <c r="AE130" s="334"/>
      <c r="AF130" s="82"/>
      <c r="AG130" s="82"/>
      <c r="AH130" s="82"/>
      <c r="AI130" s="82"/>
      <c r="AJ130" s="334"/>
      <c r="AK130" s="82"/>
      <c r="AL130" s="82"/>
      <c r="AM130" s="82"/>
      <c r="AN130" s="82"/>
      <c r="AO130" s="82"/>
      <c r="AP130" s="82"/>
      <c r="AQ130" s="82"/>
      <c r="AR130" s="82"/>
      <c r="AS130" s="82"/>
      <c r="AT130" s="351"/>
      <c r="AU130" s="351"/>
      <c r="AV130" s="351"/>
      <c r="AW130" s="351"/>
      <c r="AX130" s="82"/>
      <c r="AY130" s="82"/>
      <c r="AZ130" s="82"/>
      <c r="BA130" s="335"/>
      <c r="BB130" s="82"/>
      <c r="BC130" s="335"/>
      <c r="BD130" s="82"/>
      <c r="BE130" s="335"/>
      <c r="BF130" s="82"/>
      <c r="BG130" s="335"/>
      <c r="BH130" s="82"/>
      <c r="BI130" s="82"/>
      <c r="BJ130" s="82"/>
      <c r="BK130" s="82"/>
      <c r="BL130" s="82"/>
      <c r="BM130" s="82"/>
    </row>
    <row r="131" spans="3:65" x14ac:dyDescent="0.25">
      <c r="C131" s="360"/>
      <c r="I131" s="334"/>
      <c r="J131" s="82"/>
      <c r="K131" s="82"/>
      <c r="L131" s="82"/>
      <c r="M131" s="82"/>
      <c r="N131" s="334"/>
      <c r="O131" s="82"/>
      <c r="P131" s="82"/>
      <c r="Q131" s="82"/>
      <c r="R131" s="82"/>
      <c r="S131" s="334"/>
      <c r="T131" s="82"/>
      <c r="U131" s="82"/>
      <c r="V131" s="82"/>
      <c r="W131" s="82"/>
      <c r="X131" s="334"/>
      <c r="Y131" s="82"/>
      <c r="Z131" s="82"/>
      <c r="AA131" s="82"/>
      <c r="AB131" s="82"/>
      <c r="AC131" s="82"/>
      <c r="AD131" s="82"/>
      <c r="AE131" s="334"/>
      <c r="AF131" s="82"/>
      <c r="AG131" s="82"/>
      <c r="AH131" s="82"/>
      <c r="AI131" s="82"/>
      <c r="AJ131" s="334"/>
      <c r="AK131" s="82"/>
      <c r="AL131" s="82"/>
      <c r="AM131" s="82"/>
      <c r="AN131" s="82"/>
      <c r="AO131" s="82"/>
      <c r="AP131" s="82"/>
      <c r="AQ131" s="82"/>
      <c r="AR131" s="82"/>
      <c r="AS131" s="82"/>
      <c r="AT131" s="351"/>
      <c r="AU131" s="351"/>
      <c r="AV131" s="351"/>
      <c r="AW131" s="351"/>
      <c r="AX131" s="82"/>
      <c r="AY131" s="82"/>
      <c r="AZ131" s="82"/>
      <c r="BA131" s="335"/>
      <c r="BB131" s="82"/>
      <c r="BC131" s="335"/>
      <c r="BD131" s="82"/>
      <c r="BE131" s="335"/>
      <c r="BF131" s="82"/>
      <c r="BG131" s="335"/>
      <c r="BH131" s="82"/>
      <c r="BI131" s="82"/>
      <c r="BJ131" s="82"/>
      <c r="BK131" s="82"/>
      <c r="BL131" s="82"/>
      <c r="BM131" s="82"/>
    </row>
    <row r="132" spans="3:65" x14ac:dyDescent="0.25">
      <c r="C132" s="360"/>
      <c r="I132" s="334"/>
      <c r="J132" s="82"/>
      <c r="K132" s="82"/>
      <c r="L132" s="82"/>
      <c r="M132" s="82"/>
      <c r="N132" s="334"/>
      <c r="O132" s="82"/>
      <c r="P132" s="82"/>
      <c r="Q132" s="82"/>
      <c r="R132" s="82"/>
      <c r="S132" s="334"/>
      <c r="T132" s="82"/>
      <c r="U132" s="82"/>
      <c r="V132" s="82"/>
      <c r="W132" s="82"/>
      <c r="X132" s="334"/>
      <c r="Y132" s="82"/>
      <c r="Z132" s="82"/>
      <c r="AA132" s="82"/>
      <c r="AB132" s="82"/>
      <c r="AC132" s="82"/>
      <c r="AD132" s="82"/>
      <c r="AE132" s="334"/>
      <c r="AF132" s="82"/>
      <c r="AG132" s="82"/>
      <c r="AH132" s="82"/>
      <c r="AI132" s="82"/>
      <c r="AJ132" s="334"/>
      <c r="AK132" s="82"/>
      <c r="AL132" s="82"/>
      <c r="AM132" s="82"/>
      <c r="AN132" s="82"/>
      <c r="AO132" s="82"/>
      <c r="AP132" s="82"/>
      <c r="AQ132" s="82"/>
      <c r="AR132" s="82"/>
      <c r="AS132" s="82"/>
      <c r="AT132" s="351"/>
      <c r="AU132" s="351"/>
      <c r="AV132" s="351"/>
      <c r="AW132" s="351"/>
      <c r="AX132" s="82"/>
      <c r="AY132" s="82"/>
      <c r="AZ132" s="82"/>
      <c r="BA132" s="335"/>
      <c r="BB132" s="82"/>
      <c r="BC132" s="335"/>
      <c r="BD132" s="82"/>
      <c r="BE132" s="335"/>
      <c r="BF132" s="82"/>
      <c r="BG132" s="335"/>
      <c r="BH132" s="82"/>
      <c r="BI132" s="82"/>
      <c r="BJ132" s="82"/>
      <c r="BK132" s="82"/>
      <c r="BL132" s="82"/>
      <c r="BM132" s="82"/>
    </row>
    <row r="133" spans="3:65" x14ac:dyDescent="0.25">
      <c r="C133" s="360"/>
      <c r="I133" s="219"/>
      <c r="J133" s="106"/>
      <c r="K133" s="106"/>
      <c r="N133" s="219"/>
      <c r="S133" s="219"/>
      <c r="T133" s="106"/>
      <c r="U133" s="106"/>
      <c r="X133" s="219"/>
      <c r="AB133" s="106"/>
      <c r="AE133" s="219"/>
      <c r="AI133" s="106"/>
      <c r="AJ133" s="219"/>
      <c r="AN133" s="106"/>
      <c r="AT133" s="133"/>
      <c r="AU133" s="133"/>
      <c r="AV133" s="133"/>
      <c r="AW133" s="133"/>
      <c r="BA133" s="220"/>
      <c r="BC133" s="220"/>
      <c r="BE133" s="220"/>
      <c r="BG133" s="220"/>
    </row>
    <row r="134" spans="3:65" x14ac:dyDescent="0.25">
      <c r="C134" s="360"/>
      <c r="I134" s="219"/>
      <c r="J134" s="106"/>
      <c r="K134" s="106"/>
      <c r="N134" s="219"/>
      <c r="S134" s="219"/>
      <c r="T134" s="106"/>
      <c r="U134" s="106"/>
      <c r="X134" s="219"/>
      <c r="AB134" s="106"/>
      <c r="AE134" s="219"/>
      <c r="AI134" s="106"/>
      <c r="AJ134" s="219"/>
      <c r="AN134" s="106"/>
      <c r="AT134" s="133"/>
      <c r="AU134" s="133"/>
      <c r="AV134" s="133"/>
      <c r="AW134" s="133"/>
      <c r="BA134" s="220"/>
      <c r="BC134" s="220"/>
      <c r="BE134" s="220"/>
      <c r="BG134" s="220"/>
    </row>
    <row r="135" spans="3:65" x14ac:dyDescent="0.25">
      <c r="C135" s="360"/>
      <c r="I135" s="219"/>
      <c r="J135" s="106"/>
      <c r="K135" s="106"/>
      <c r="N135" s="219"/>
      <c r="S135" s="219"/>
      <c r="T135" s="106"/>
      <c r="U135" s="106"/>
      <c r="X135" s="219"/>
      <c r="AB135" s="106"/>
      <c r="AE135" s="219"/>
      <c r="AI135" s="106"/>
      <c r="AJ135" s="219"/>
      <c r="AN135" s="106"/>
      <c r="AT135" s="133"/>
      <c r="AU135" s="133"/>
      <c r="AV135" s="133"/>
      <c r="AW135" s="133"/>
      <c r="BA135" s="220"/>
      <c r="BC135" s="220"/>
      <c r="BE135" s="220"/>
      <c r="BG135" s="220"/>
    </row>
    <row r="136" spans="3:65" x14ac:dyDescent="0.25">
      <c r="C136" s="360"/>
      <c r="I136" s="219"/>
      <c r="J136" s="106"/>
      <c r="K136" s="106"/>
      <c r="N136" s="219"/>
      <c r="S136" s="219"/>
      <c r="T136" s="106"/>
      <c r="U136" s="106"/>
      <c r="X136" s="219"/>
      <c r="AB136" s="106"/>
      <c r="AE136" s="219"/>
      <c r="AI136" s="106"/>
      <c r="AJ136" s="219"/>
      <c r="AN136" s="106"/>
      <c r="AT136" s="133"/>
      <c r="AU136" s="133"/>
      <c r="AV136" s="133"/>
      <c r="AW136" s="133"/>
      <c r="BA136" s="220"/>
      <c r="BC136" s="220"/>
      <c r="BE136" s="220"/>
      <c r="BG136" s="220"/>
    </row>
    <row r="137" spans="3:65" x14ac:dyDescent="0.25">
      <c r="C137" s="360"/>
      <c r="I137" s="219"/>
      <c r="J137" s="106"/>
      <c r="K137" s="106"/>
      <c r="N137" s="219"/>
      <c r="S137" s="219"/>
      <c r="T137" s="106"/>
      <c r="U137" s="106"/>
      <c r="X137" s="219"/>
      <c r="AB137" s="106"/>
      <c r="AE137" s="219"/>
      <c r="AI137" s="106"/>
      <c r="AJ137" s="219"/>
      <c r="AN137" s="106"/>
      <c r="AT137" s="133"/>
      <c r="AU137" s="133"/>
      <c r="AV137" s="133"/>
      <c r="AW137" s="133"/>
      <c r="BA137" s="220"/>
      <c r="BC137" s="220"/>
      <c r="BE137" s="220"/>
      <c r="BG137" s="220"/>
    </row>
    <row r="138" spans="3:65" x14ac:dyDescent="0.25">
      <c r="C138" s="360"/>
      <c r="I138" s="219"/>
      <c r="J138" s="106"/>
      <c r="K138" s="106"/>
      <c r="N138" s="219"/>
      <c r="S138" s="219"/>
      <c r="T138" s="106"/>
      <c r="U138" s="106"/>
      <c r="X138" s="219"/>
      <c r="AB138" s="106"/>
      <c r="AE138" s="219"/>
      <c r="AI138" s="106"/>
      <c r="AJ138" s="219"/>
      <c r="AN138" s="106"/>
      <c r="AT138" s="133"/>
      <c r="AU138" s="133"/>
      <c r="AV138" s="133"/>
      <c r="AW138" s="133"/>
      <c r="BA138" s="220"/>
      <c r="BC138" s="220"/>
      <c r="BE138" s="220"/>
      <c r="BG138" s="220"/>
    </row>
    <row r="139" spans="3:65" x14ac:dyDescent="0.25">
      <c r="C139" s="360"/>
      <c r="I139" s="219"/>
      <c r="J139" s="106"/>
      <c r="K139" s="106"/>
      <c r="N139" s="219"/>
      <c r="S139" s="219"/>
      <c r="T139" s="106"/>
      <c r="U139" s="106"/>
      <c r="X139" s="219"/>
      <c r="AB139" s="106"/>
      <c r="AE139" s="219"/>
      <c r="AI139" s="106"/>
      <c r="AJ139" s="219"/>
      <c r="AN139" s="106"/>
      <c r="AT139" s="133"/>
      <c r="AU139" s="133"/>
      <c r="AV139" s="133"/>
      <c r="AW139" s="133"/>
      <c r="BA139" s="220"/>
      <c r="BC139" s="220"/>
      <c r="BE139" s="220"/>
      <c r="BG139" s="220"/>
    </row>
    <row r="140" spans="3:65" x14ac:dyDescent="0.25">
      <c r="C140" s="360"/>
      <c r="I140" s="219"/>
      <c r="J140" s="106"/>
      <c r="K140" s="106"/>
      <c r="N140" s="219"/>
      <c r="S140" s="219"/>
      <c r="T140" s="106"/>
      <c r="U140" s="106"/>
      <c r="X140" s="219"/>
      <c r="AB140" s="106"/>
      <c r="AE140" s="219"/>
      <c r="AI140" s="106"/>
      <c r="AJ140" s="219"/>
      <c r="AN140" s="106"/>
      <c r="AT140" s="133"/>
      <c r="AU140" s="133"/>
      <c r="AV140" s="133"/>
      <c r="AW140" s="133"/>
      <c r="BA140" s="220"/>
      <c r="BC140" s="220"/>
      <c r="BE140" s="220"/>
      <c r="BG140" s="220"/>
    </row>
    <row r="141" spans="3:65" x14ac:dyDescent="0.25">
      <c r="C141" s="360"/>
      <c r="I141" s="219"/>
      <c r="J141" s="106"/>
      <c r="K141" s="106"/>
      <c r="N141" s="219"/>
      <c r="S141" s="219"/>
      <c r="T141" s="106"/>
      <c r="U141" s="106"/>
      <c r="X141" s="219"/>
      <c r="AB141" s="106"/>
      <c r="AE141" s="219"/>
      <c r="AI141" s="106"/>
      <c r="AJ141" s="219"/>
      <c r="AN141" s="106"/>
      <c r="AT141" s="133"/>
      <c r="AU141" s="133"/>
      <c r="AV141" s="133"/>
      <c r="AW141" s="133"/>
      <c r="BA141" s="220"/>
      <c r="BC141" s="220"/>
      <c r="BE141" s="220"/>
      <c r="BG141" s="220"/>
    </row>
    <row r="142" spans="3:65" x14ac:dyDescent="0.25">
      <c r="C142" s="360"/>
      <c r="I142" s="219"/>
      <c r="J142" s="106"/>
      <c r="K142" s="106"/>
      <c r="N142" s="219"/>
      <c r="S142" s="219"/>
      <c r="T142" s="106"/>
      <c r="U142" s="106"/>
      <c r="X142" s="219"/>
      <c r="AB142" s="106"/>
      <c r="AE142" s="219"/>
      <c r="AI142" s="106"/>
      <c r="AJ142" s="219"/>
      <c r="AN142" s="106"/>
      <c r="AT142" s="133"/>
      <c r="AU142" s="133"/>
      <c r="AV142" s="133"/>
      <c r="AW142" s="133"/>
      <c r="BA142" s="220"/>
      <c r="BC142" s="220"/>
      <c r="BE142" s="220"/>
      <c r="BG142" s="220"/>
    </row>
    <row r="143" spans="3:65" x14ac:dyDescent="0.25">
      <c r="C143" s="360"/>
      <c r="I143" s="219"/>
      <c r="J143" s="106"/>
      <c r="K143" s="106"/>
      <c r="N143" s="219"/>
      <c r="S143" s="219"/>
      <c r="T143" s="106"/>
      <c r="U143" s="106"/>
      <c r="X143" s="219"/>
      <c r="AB143" s="106"/>
      <c r="AE143" s="219"/>
      <c r="AI143" s="106"/>
      <c r="AJ143" s="219"/>
      <c r="AN143" s="106"/>
      <c r="AT143" s="133"/>
      <c r="AU143" s="133"/>
      <c r="AV143" s="133"/>
      <c r="AW143" s="133"/>
      <c r="BA143" s="220"/>
      <c r="BC143" s="220"/>
      <c r="BE143" s="220"/>
      <c r="BG143" s="220"/>
    </row>
    <row r="144" spans="3:65" x14ac:dyDescent="0.25">
      <c r="C144" s="360"/>
      <c r="I144" s="219"/>
      <c r="J144" s="106"/>
      <c r="K144" s="106"/>
      <c r="N144" s="219"/>
      <c r="S144" s="219"/>
      <c r="T144" s="106"/>
      <c r="U144" s="106"/>
      <c r="X144" s="219"/>
      <c r="AB144" s="106"/>
      <c r="AE144" s="219"/>
      <c r="AI144" s="106"/>
      <c r="AJ144" s="219"/>
      <c r="AN144" s="106"/>
      <c r="AT144" s="133"/>
      <c r="AU144" s="133"/>
      <c r="AV144" s="133"/>
      <c r="AW144" s="133"/>
      <c r="BA144" s="220"/>
      <c r="BC144" s="220"/>
      <c r="BE144" s="220"/>
      <c r="BG144" s="220"/>
    </row>
    <row r="145" spans="3:59" x14ac:dyDescent="0.25">
      <c r="C145" s="360"/>
      <c r="I145" s="219"/>
      <c r="J145" s="106"/>
      <c r="K145" s="106"/>
      <c r="N145" s="219"/>
      <c r="S145" s="219"/>
      <c r="T145" s="106"/>
      <c r="U145" s="106"/>
      <c r="X145" s="219"/>
      <c r="AB145" s="106"/>
      <c r="AE145" s="219"/>
      <c r="AI145" s="106"/>
      <c r="AJ145" s="219"/>
      <c r="AN145" s="106"/>
      <c r="AT145" s="133"/>
      <c r="AU145" s="133"/>
      <c r="AV145" s="133"/>
      <c r="AW145" s="133"/>
      <c r="BA145" s="220"/>
      <c r="BC145" s="220"/>
      <c r="BE145" s="220"/>
      <c r="BG145" s="220"/>
    </row>
    <row r="146" spans="3:59" x14ac:dyDescent="0.25">
      <c r="C146" s="360"/>
      <c r="I146" s="219"/>
      <c r="J146" s="106"/>
      <c r="K146" s="106"/>
      <c r="N146" s="219"/>
      <c r="S146" s="219"/>
      <c r="T146" s="106"/>
      <c r="U146" s="106"/>
      <c r="X146" s="219"/>
      <c r="AB146" s="106"/>
      <c r="AE146" s="219"/>
      <c r="AI146" s="106"/>
      <c r="AJ146" s="219"/>
      <c r="AN146" s="106"/>
      <c r="AT146" s="133"/>
      <c r="AU146" s="133"/>
      <c r="AV146" s="133"/>
      <c r="AW146" s="133"/>
      <c r="BA146" s="220"/>
      <c r="BC146" s="220"/>
      <c r="BE146" s="220"/>
      <c r="BG146" s="220"/>
    </row>
    <row r="147" spans="3:59" x14ac:dyDescent="0.25">
      <c r="C147" s="360"/>
      <c r="I147" s="219"/>
      <c r="J147" s="106"/>
      <c r="K147" s="106"/>
      <c r="N147" s="219"/>
      <c r="S147" s="219"/>
      <c r="T147" s="106"/>
      <c r="U147" s="106"/>
      <c r="X147" s="219"/>
      <c r="AB147" s="106"/>
      <c r="AE147" s="219"/>
      <c r="AI147" s="106"/>
      <c r="AJ147" s="219"/>
      <c r="AN147" s="106"/>
      <c r="AT147" s="133"/>
      <c r="AU147" s="133"/>
      <c r="AV147" s="133"/>
      <c r="AW147" s="133"/>
      <c r="BA147" s="220"/>
      <c r="BC147" s="220"/>
      <c r="BE147" s="220"/>
      <c r="BG147" s="220"/>
    </row>
    <row r="148" spans="3:59" x14ac:dyDescent="0.25">
      <c r="C148" s="360"/>
      <c r="I148" s="219"/>
      <c r="J148" s="106"/>
      <c r="K148" s="106"/>
      <c r="N148" s="219"/>
      <c r="S148" s="219"/>
      <c r="T148" s="106"/>
      <c r="U148" s="106"/>
      <c r="X148" s="219"/>
      <c r="AB148" s="106"/>
      <c r="AE148" s="219"/>
      <c r="AI148" s="106"/>
      <c r="AJ148" s="219"/>
      <c r="AN148" s="106"/>
      <c r="AT148" s="133"/>
      <c r="AU148" s="133"/>
      <c r="AV148" s="133"/>
      <c r="AW148" s="133"/>
      <c r="BA148" s="220"/>
      <c r="BC148" s="220"/>
      <c r="BE148" s="220"/>
      <c r="BG148" s="220"/>
    </row>
    <row r="149" spans="3:59" x14ac:dyDescent="0.25">
      <c r="C149" s="360"/>
      <c r="I149" s="219"/>
      <c r="J149" s="106"/>
      <c r="K149" s="106"/>
      <c r="N149" s="219"/>
      <c r="S149" s="219"/>
      <c r="T149" s="106"/>
      <c r="U149" s="106"/>
      <c r="X149" s="219"/>
      <c r="AB149" s="106"/>
      <c r="AE149" s="219"/>
      <c r="AI149" s="106"/>
      <c r="AJ149" s="219"/>
      <c r="AN149" s="106"/>
      <c r="BA149" s="220"/>
      <c r="BC149" s="220"/>
      <c r="BE149" s="220"/>
      <c r="BG149" s="220"/>
    </row>
    <row r="150" spans="3:59" x14ac:dyDescent="0.25">
      <c r="C150" s="360"/>
      <c r="I150" s="219"/>
      <c r="J150" s="106"/>
      <c r="K150" s="106"/>
      <c r="N150" s="219"/>
      <c r="S150" s="219"/>
      <c r="T150" s="106"/>
      <c r="U150" s="106"/>
      <c r="X150" s="219"/>
      <c r="AB150" s="106"/>
      <c r="AE150" s="219"/>
      <c r="AI150" s="106"/>
      <c r="AJ150" s="219"/>
      <c r="AN150" s="106"/>
      <c r="BA150" s="220"/>
      <c r="BC150" s="220"/>
      <c r="BE150" s="220"/>
      <c r="BG150" s="220"/>
    </row>
    <row r="151" spans="3:59" x14ac:dyDescent="0.25">
      <c r="C151" s="360"/>
      <c r="I151" s="219"/>
      <c r="J151" s="106"/>
      <c r="K151" s="106"/>
      <c r="N151" s="219"/>
      <c r="S151" s="219"/>
      <c r="T151" s="106"/>
      <c r="U151" s="106"/>
      <c r="X151" s="219"/>
      <c r="AB151" s="106"/>
      <c r="AE151" s="219"/>
      <c r="AI151" s="106"/>
      <c r="AJ151" s="219"/>
      <c r="AN151" s="106"/>
      <c r="BA151" s="220"/>
      <c r="BC151" s="220"/>
      <c r="BE151" s="220"/>
      <c r="BG151" s="220"/>
    </row>
    <row r="152" spans="3:59" x14ac:dyDescent="0.25">
      <c r="C152" s="360"/>
      <c r="I152" s="219"/>
      <c r="J152" s="106"/>
      <c r="K152" s="106"/>
      <c r="N152" s="219"/>
      <c r="S152" s="219"/>
      <c r="T152" s="106"/>
      <c r="U152" s="106"/>
      <c r="X152" s="219"/>
      <c r="AB152" s="106"/>
      <c r="AE152" s="219"/>
      <c r="AI152" s="106"/>
      <c r="AJ152" s="219"/>
      <c r="AN152" s="106"/>
      <c r="BA152" s="220"/>
      <c r="BC152" s="220"/>
      <c r="BE152" s="220"/>
      <c r="BG152" s="220"/>
    </row>
    <row r="153" spans="3:59" x14ac:dyDescent="0.25">
      <c r="C153" s="360"/>
      <c r="I153" s="219"/>
      <c r="J153" s="106"/>
      <c r="K153" s="106"/>
      <c r="N153" s="219"/>
      <c r="S153" s="219"/>
      <c r="T153" s="106"/>
      <c r="U153" s="106"/>
      <c r="X153" s="219"/>
      <c r="AB153" s="106"/>
      <c r="AE153" s="219"/>
      <c r="AI153" s="106"/>
      <c r="AJ153" s="219"/>
      <c r="AN153" s="106"/>
      <c r="BA153" s="220"/>
      <c r="BC153" s="220"/>
      <c r="BE153" s="220"/>
      <c r="BG153" s="220"/>
    </row>
    <row r="154" spans="3:59" x14ac:dyDescent="0.25">
      <c r="C154" s="360"/>
      <c r="I154" s="219"/>
      <c r="J154" s="106"/>
      <c r="K154" s="106"/>
      <c r="N154" s="219"/>
      <c r="S154" s="219"/>
      <c r="T154" s="106"/>
      <c r="U154" s="106"/>
      <c r="X154" s="219"/>
      <c r="AB154" s="106"/>
      <c r="AE154" s="219"/>
      <c r="AI154" s="106"/>
      <c r="AJ154" s="219"/>
      <c r="AN154" s="106"/>
      <c r="BA154" s="220"/>
      <c r="BC154" s="220"/>
      <c r="BE154" s="220"/>
      <c r="BG154" s="220"/>
    </row>
    <row r="155" spans="3:59" x14ac:dyDescent="0.25">
      <c r="C155" s="360"/>
      <c r="I155" s="219"/>
      <c r="J155" s="106"/>
      <c r="K155" s="106"/>
      <c r="N155" s="219"/>
      <c r="S155" s="219"/>
      <c r="T155" s="106"/>
      <c r="U155" s="106"/>
      <c r="X155" s="219"/>
      <c r="AB155" s="106"/>
      <c r="AE155" s="219"/>
      <c r="AI155" s="106"/>
      <c r="AJ155" s="219"/>
      <c r="AN155" s="106"/>
      <c r="BA155" s="220"/>
      <c r="BC155" s="220"/>
      <c r="BE155" s="220"/>
      <c r="BG155" s="220"/>
    </row>
    <row r="156" spans="3:59" x14ac:dyDescent="0.25">
      <c r="C156" s="360"/>
      <c r="I156" s="219"/>
      <c r="J156" s="106"/>
      <c r="K156" s="106"/>
      <c r="N156" s="219"/>
      <c r="S156" s="219"/>
      <c r="T156" s="106"/>
      <c r="U156" s="106"/>
      <c r="X156" s="219"/>
      <c r="AB156" s="106"/>
      <c r="AE156" s="219"/>
      <c r="AI156" s="106"/>
      <c r="AJ156" s="219"/>
      <c r="AN156" s="106"/>
      <c r="BA156" s="220"/>
      <c r="BC156" s="220"/>
      <c r="BE156" s="220"/>
      <c r="BG156" s="220"/>
    </row>
    <row r="157" spans="3:59" x14ac:dyDescent="0.25">
      <c r="C157" s="360"/>
      <c r="I157" s="219"/>
      <c r="J157" s="106"/>
      <c r="K157" s="106"/>
      <c r="N157" s="219"/>
      <c r="S157" s="219"/>
      <c r="T157" s="106"/>
      <c r="U157" s="106"/>
      <c r="X157" s="219"/>
      <c r="AB157" s="106"/>
      <c r="AE157" s="219"/>
      <c r="AI157" s="106"/>
      <c r="AJ157" s="219"/>
      <c r="AN157" s="106"/>
      <c r="BA157" s="220"/>
      <c r="BC157" s="220"/>
      <c r="BE157" s="220"/>
      <c r="BG157" s="220"/>
    </row>
    <row r="158" spans="3:59" x14ac:dyDescent="0.25">
      <c r="C158" s="360"/>
      <c r="I158" s="219"/>
      <c r="J158" s="106"/>
      <c r="K158" s="106"/>
      <c r="N158" s="219"/>
      <c r="S158" s="219"/>
      <c r="T158" s="106"/>
      <c r="U158" s="106"/>
      <c r="X158" s="219"/>
      <c r="AB158" s="106"/>
      <c r="AE158" s="219"/>
      <c r="AI158" s="106"/>
      <c r="AJ158" s="219"/>
      <c r="AN158" s="106"/>
      <c r="BA158" s="220"/>
      <c r="BC158" s="220"/>
      <c r="BE158" s="220"/>
      <c r="BG158" s="220"/>
    </row>
    <row r="159" spans="3:59" x14ac:dyDescent="0.25">
      <c r="C159" s="360"/>
      <c r="I159" s="219"/>
      <c r="J159" s="106"/>
      <c r="K159" s="106"/>
      <c r="N159" s="219"/>
      <c r="S159" s="219"/>
      <c r="T159" s="106"/>
      <c r="U159" s="106"/>
      <c r="X159" s="219"/>
      <c r="AB159" s="106"/>
      <c r="AE159" s="219"/>
      <c r="AI159" s="106"/>
      <c r="AJ159" s="219"/>
      <c r="AN159" s="106"/>
      <c r="BA159" s="220"/>
      <c r="BC159" s="220"/>
      <c r="BE159" s="220"/>
      <c r="BG159" s="220"/>
    </row>
    <row r="160" spans="3:59" x14ac:dyDescent="0.25">
      <c r="C160" s="360"/>
      <c r="I160" s="219"/>
      <c r="J160" s="106"/>
      <c r="K160" s="106"/>
      <c r="N160" s="219"/>
      <c r="S160" s="219"/>
      <c r="T160" s="106"/>
      <c r="U160" s="106"/>
      <c r="X160" s="219"/>
      <c r="AB160" s="106"/>
      <c r="AE160" s="219"/>
      <c r="AI160" s="106"/>
      <c r="AJ160" s="219"/>
      <c r="AN160" s="106"/>
      <c r="BA160" s="220"/>
      <c r="BC160" s="220"/>
      <c r="BE160" s="220"/>
      <c r="BG160" s="220"/>
    </row>
    <row r="161" spans="3:59" x14ac:dyDescent="0.25">
      <c r="C161" s="360"/>
      <c r="I161" s="219"/>
      <c r="J161" s="106"/>
      <c r="K161" s="106"/>
      <c r="N161" s="219"/>
      <c r="S161" s="219"/>
      <c r="T161" s="106"/>
      <c r="U161" s="106"/>
      <c r="X161" s="219"/>
      <c r="AB161" s="106"/>
      <c r="AE161" s="219"/>
      <c r="AI161" s="106"/>
      <c r="AJ161" s="219"/>
      <c r="AN161" s="106"/>
      <c r="BA161" s="220"/>
      <c r="BC161" s="220"/>
      <c r="BE161" s="220"/>
      <c r="BG161" s="220"/>
    </row>
    <row r="162" spans="3:59" x14ac:dyDescent="0.25">
      <c r="C162" s="360"/>
      <c r="I162" s="219"/>
      <c r="J162" s="106"/>
      <c r="K162" s="106"/>
      <c r="N162" s="219"/>
      <c r="S162" s="219"/>
      <c r="T162" s="106"/>
      <c r="U162" s="106"/>
      <c r="X162" s="219"/>
      <c r="AB162" s="106"/>
      <c r="AE162" s="219"/>
      <c r="AI162" s="106"/>
      <c r="AJ162" s="219"/>
      <c r="AN162" s="106"/>
      <c r="BA162" s="220"/>
      <c r="BC162" s="220"/>
      <c r="BE162" s="220"/>
      <c r="BG162" s="220"/>
    </row>
    <row r="163" spans="3:59" x14ac:dyDescent="0.25">
      <c r="C163" s="360"/>
      <c r="I163" s="219"/>
      <c r="J163" s="106"/>
      <c r="K163" s="106"/>
      <c r="N163" s="219"/>
      <c r="S163" s="219"/>
      <c r="T163" s="106"/>
      <c r="U163" s="106"/>
      <c r="X163" s="219"/>
      <c r="AB163" s="106"/>
      <c r="AE163" s="219"/>
      <c r="AI163" s="106"/>
      <c r="AJ163" s="219"/>
      <c r="AN163" s="106"/>
      <c r="BA163" s="220"/>
      <c r="BC163" s="220"/>
      <c r="BE163" s="220"/>
      <c r="BG163" s="220"/>
    </row>
    <row r="164" spans="3:59" x14ac:dyDescent="0.25">
      <c r="C164" s="360"/>
      <c r="I164" s="219"/>
      <c r="J164" s="106"/>
      <c r="K164" s="106"/>
      <c r="N164" s="219"/>
      <c r="S164" s="219"/>
      <c r="T164" s="106"/>
      <c r="U164" s="106"/>
      <c r="X164" s="219"/>
      <c r="AB164" s="106"/>
      <c r="AE164" s="219"/>
      <c r="AI164" s="106"/>
      <c r="AJ164" s="219"/>
      <c r="AN164" s="106"/>
      <c r="BA164" s="220"/>
      <c r="BC164" s="220"/>
      <c r="BE164" s="220"/>
      <c r="BG164" s="220"/>
    </row>
    <row r="165" spans="3:59" x14ac:dyDescent="0.25">
      <c r="C165" s="360"/>
      <c r="I165" s="219"/>
      <c r="J165" s="106"/>
      <c r="K165" s="106"/>
      <c r="N165" s="219"/>
      <c r="S165" s="219"/>
      <c r="T165" s="106"/>
      <c r="U165" s="106"/>
      <c r="X165" s="219"/>
      <c r="AB165" s="106"/>
      <c r="AE165" s="219"/>
      <c r="AI165" s="106"/>
      <c r="AJ165" s="219"/>
      <c r="AN165" s="106"/>
      <c r="BA165" s="220"/>
      <c r="BC165" s="220"/>
      <c r="BE165" s="220"/>
      <c r="BG165" s="220"/>
    </row>
    <row r="166" spans="3:59" x14ac:dyDescent="0.25">
      <c r="C166" s="360"/>
      <c r="I166" s="219"/>
      <c r="J166" s="106"/>
      <c r="K166" s="106"/>
      <c r="N166" s="219"/>
      <c r="S166" s="219"/>
      <c r="T166" s="106"/>
      <c r="U166" s="106"/>
      <c r="X166" s="219"/>
      <c r="AB166" s="106"/>
      <c r="AE166" s="219"/>
      <c r="AI166" s="106"/>
      <c r="AJ166" s="219"/>
      <c r="AN166" s="106"/>
      <c r="BA166" s="220"/>
      <c r="BC166" s="220"/>
      <c r="BE166" s="220"/>
      <c r="BG166" s="220"/>
    </row>
    <row r="167" spans="3:59" x14ac:dyDescent="0.25">
      <c r="C167" s="360"/>
      <c r="I167" s="219"/>
      <c r="J167" s="106"/>
      <c r="K167" s="106"/>
      <c r="N167" s="219"/>
      <c r="S167" s="219"/>
      <c r="T167" s="106"/>
      <c r="U167" s="106"/>
      <c r="X167" s="219"/>
      <c r="AB167" s="106"/>
      <c r="AE167" s="219"/>
      <c r="AI167" s="106"/>
      <c r="AJ167" s="219"/>
      <c r="AN167" s="106"/>
      <c r="BA167" s="220"/>
      <c r="BC167" s="220"/>
      <c r="BE167" s="220"/>
      <c r="BG167" s="220"/>
    </row>
    <row r="168" spans="3:59" x14ac:dyDescent="0.25">
      <c r="C168" s="360"/>
      <c r="I168" s="219"/>
      <c r="J168" s="106"/>
      <c r="K168" s="106"/>
      <c r="N168" s="219"/>
      <c r="S168" s="219"/>
      <c r="T168" s="106"/>
      <c r="U168" s="106"/>
      <c r="X168" s="219"/>
      <c r="AB168" s="106"/>
      <c r="AE168" s="219"/>
      <c r="AI168" s="106"/>
      <c r="AJ168" s="219"/>
      <c r="AN168" s="106"/>
      <c r="BA168" s="220"/>
      <c r="BC168" s="220"/>
      <c r="BE168" s="220"/>
      <c r="BG168" s="220"/>
    </row>
    <row r="169" spans="3:59" x14ac:dyDescent="0.25">
      <c r="C169" s="360"/>
      <c r="I169" s="219"/>
      <c r="J169" s="106"/>
      <c r="K169" s="106"/>
      <c r="N169" s="219"/>
      <c r="S169" s="219"/>
      <c r="T169" s="106"/>
      <c r="U169" s="106"/>
      <c r="X169" s="219"/>
      <c r="AB169" s="106"/>
      <c r="AE169" s="219"/>
      <c r="AI169" s="106"/>
      <c r="AJ169" s="219"/>
      <c r="AN169" s="106"/>
      <c r="BA169" s="220"/>
      <c r="BC169" s="220"/>
      <c r="BE169" s="220"/>
      <c r="BG169" s="220"/>
    </row>
    <row r="170" spans="3:59" x14ac:dyDescent="0.25">
      <c r="C170" s="360"/>
      <c r="I170" s="219"/>
      <c r="J170" s="106"/>
      <c r="K170" s="106"/>
      <c r="N170" s="219"/>
      <c r="S170" s="219"/>
      <c r="T170" s="106"/>
      <c r="U170" s="106"/>
      <c r="X170" s="219"/>
      <c r="AB170" s="106"/>
      <c r="AE170" s="219"/>
      <c r="AI170" s="106"/>
      <c r="AJ170" s="219"/>
      <c r="AN170" s="106"/>
      <c r="BA170" s="220"/>
      <c r="BC170" s="220"/>
      <c r="BE170" s="220"/>
      <c r="BG170" s="220"/>
    </row>
    <row r="171" spans="3:59" x14ac:dyDescent="0.25">
      <c r="C171" s="360"/>
      <c r="I171" s="219"/>
      <c r="J171" s="106"/>
      <c r="K171" s="106"/>
      <c r="N171" s="219"/>
      <c r="S171" s="219"/>
      <c r="T171" s="106"/>
      <c r="U171" s="106"/>
      <c r="X171" s="219"/>
      <c r="AB171" s="106"/>
      <c r="AE171" s="219"/>
      <c r="AI171" s="106"/>
      <c r="AJ171" s="219"/>
      <c r="AN171" s="106"/>
      <c r="BA171" s="220"/>
      <c r="BC171" s="220"/>
      <c r="BE171" s="220"/>
      <c r="BG171" s="220"/>
    </row>
    <row r="172" spans="3:59" x14ac:dyDescent="0.25">
      <c r="C172" s="360"/>
      <c r="I172" s="219"/>
      <c r="J172" s="106"/>
      <c r="K172" s="106"/>
      <c r="N172" s="219"/>
      <c r="S172" s="219"/>
      <c r="T172" s="106"/>
      <c r="U172" s="106"/>
      <c r="X172" s="219"/>
      <c r="AB172" s="106"/>
      <c r="AE172" s="219"/>
      <c r="AI172" s="106"/>
      <c r="AJ172" s="219"/>
      <c r="AN172" s="106"/>
      <c r="BA172" s="220"/>
      <c r="BC172" s="220"/>
      <c r="BE172" s="220"/>
      <c r="BG172" s="220"/>
    </row>
    <row r="173" spans="3:59" x14ac:dyDescent="0.25">
      <c r="C173" s="360"/>
      <c r="I173" s="219"/>
      <c r="J173" s="106"/>
      <c r="K173" s="106"/>
      <c r="N173" s="219"/>
      <c r="S173" s="219"/>
      <c r="T173" s="106"/>
      <c r="U173" s="106"/>
      <c r="X173" s="219"/>
      <c r="AB173" s="106"/>
      <c r="AE173" s="219"/>
      <c r="AI173" s="106"/>
      <c r="AJ173" s="219"/>
      <c r="AN173" s="106"/>
      <c r="BA173" s="220"/>
      <c r="BC173" s="220"/>
      <c r="BE173" s="220"/>
      <c r="BG173" s="220"/>
    </row>
    <row r="174" spans="3:59" x14ac:dyDescent="0.25">
      <c r="C174" s="360"/>
      <c r="I174" s="219"/>
      <c r="J174" s="106"/>
      <c r="K174" s="106"/>
      <c r="N174" s="219"/>
      <c r="S174" s="219"/>
      <c r="T174" s="106"/>
      <c r="U174" s="106"/>
      <c r="X174" s="219"/>
      <c r="AB174" s="106"/>
      <c r="AE174" s="219"/>
      <c r="AI174" s="106"/>
      <c r="AJ174" s="219"/>
      <c r="AN174" s="106"/>
      <c r="BA174" s="220"/>
      <c r="BC174" s="220"/>
      <c r="BE174" s="220"/>
      <c r="BG174" s="220"/>
    </row>
    <row r="175" spans="3:59" x14ac:dyDescent="0.25">
      <c r="C175" s="360"/>
      <c r="I175" s="219"/>
      <c r="J175" s="106"/>
      <c r="K175" s="106"/>
      <c r="N175" s="219"/>
      <c r="S175" s="219"/>
      <c r="T175" s="106"/>
      <c r="U175" s="106"/>
      <c r="X175" s="219"/>
      <c r="AB175" s="106"/>
      <c r="AE175" s="219"/>
      <c r="AI175" s="106"/>
      <c r="AJ175" s="219"/>
      <c r="AN175" s="106"/>
      <c r="BA175" s="220"/>
      <c r="BC175" s="220"/>
      <c r="BE175" s="220"/>
      <c r="BG175" s="220"/>
    </row>
    <row r="176" spans="3:59" x14ac:dyDescent="0.25">
      <c r="C176" s="360"/>
      <c r="I176" s="219"/>
      <c r="J176" s="106"/>
      <c r="K176" s="106"/>
      <c r="N176" s="219"/>
      <c r="S176" s="219"/>
      <c r="T176" s="106"/>
      <c r="U176" s="106"/>
      <c r="X176" s="219"/>
      <c r="AB176" s="106"/>
      <c r="AE176" s="219"/>
      <c r="AI176" s="106"/>
      <c r="AJ176" s="219"/>
      <c r="AN176" s="106"/>
      <c r="BA176" s="220"/>
      <c r="BC176" s="220"/>
      <c r="BE176" s="220"/>
      <c r="BG176" s="220"/>
    </row>
    <row r="177" spans="3:59" x14ac:dyDescent="0.25">
      <c r="C177" s="360"/>
      <c r="I177" s="219"/>
      <c r="J177" s="106"/>
      <c r="K177" s="106"/>
      <c r="N177" s="219"/>
      <c r="S177" s="219"/>
      <c r="T177" s="106"/>
      <c r="U177" s="106"/>
      <c r="X177" s="219"/>
      <c r="AB177" s="106"/>
      <c r="AE177" s="219"/>
      <c r="AI177" s="106"/>
      <c r="AJ177" s="219"/>
      <c r="AN177" s="106"/>
      <c r="BA177" s="220"/>
      <c r="BC177" s="220"/>
      <c r="BE177" s="220"/>
      <c r="BG177" s="220"/>
    </row>
    <row r="178" spans="3:59" x14ac:dyDescent="0.25">
      <c r="C178" s="360"/>
      <c r="I178" s="219"/>
      <c r="J178" s="106"/>
      <c r="K178" s="106"/>
      <c r="N178" s="219"/>
      <c r="S178" s="219"/>
      <c r="T178" s="106"/>
      <c r="U178" s="106"/>
      <c r="X178" s="219"/>
      <c r="AB178" s="106"/>
      <c r="AE178" s="219"/>
      <c r="AI178" s="106"/>
      <c r="AJ178" s="219"/>
      <c r="AN178" s="106"/>
      <c r="BA178" s="220"/>
      <c r="BC178" s="220"/>
      <c r="BE178" s="220"/>
      <c r="BG178" s="220"/>
    </row>
    <row r="179" spans="3:59" x14ac:dyDescent="0.25">
      <c r="C179" s="360"/>
      <c r="I179" s="219"/>
      <c r="J179" s="106"/>
      <c r="K179" s="106"/>
      <c r="N179" s="219"/>
      <c r="S179" s="219"/>
      <c r="T179" s="106"/>
      <c r="U179" s="106"/>
      <c r="X179" s="219"/>
      <c r="AB179" s="106"/>
      <c r="AE179" s="219"/>
      <c r="AI179" s="106"/>
      <c r="AJ179" s="219"/>
      <c r="AN179" s="106"/>
      <c r="BA179" s="220"/>
      <c r="BC179" s="220"/>
      <c r="BE179" s="220"/>
      <c r="BG179" s="220"/>
    </row>
    <row r="180" spans="3:59" x14ac:dyDescent="0.25">
      <c r="C180" s="360"/>
      <c r="I180" s="219"/>
      <c r="J180" s="106"/>
      <c r="K180" s="106"/>
      <c r="N180" s="219"/>
      <c r="S180" s="219"/>
      <c r="T180" s="106"/>
      <c r="U180" s="106"/>
      <c r="X180" s="219"/>
      <c r="AB180" s="106"/>
      <c r="AE180" s="219"/>
      <c r="AI180" s="106"/>
      <c r="AJ180" s="219"/>
      <c r="AN180" s="106"/>
      <c r="BA180" s="220"/>
      <c r="BC180" s="220"/>
      <c r="BE180" s="220"/>
      <c r="BG180" s="220"/>
    </row>
    <row r="181" spans="3:59" x14ac:dyDescent="0.25">
      <c r="C181" s="360"/>
      <c r="I181" s="219"/>
      <c r="J181" s="106"/>
      <c r="K181" s="106"/>
      <c r="N181" s="219"/>
      <c r="S181" s="219"/>
      <c r="T181" s="106"/>
      <c r="U181" s="106"/>
      <c r="X181" s="219"/>
      <c r="AB181" s="106"/>
      <c r="AE181" s="219"/>
      <c r="AI181" s="106"/>
      <c r="AJ181" s="219"/>
      <c r="AN181" s="106"/>
      <c r="BA181" s="220"/>
      <c r="BC181" s="220"/>
      <c r="BE181" s="220"/>
      <c r="BG181" s="220"/>
    </row>
    <row r="182" spans="3:59" x14ac:dyDescent="0.25">
      <c r="I182" s="219"/>
      <c r="J182" s="106"/>
      <c r="K182" s="106"/>
      <c r="N182" s="219"/>
      <c r="S182" s="219"/>
      <c r="T182" s="106"/>
      <c r="U182" s="106"/>
      <c r="X182" s="219"/>
      <c r="AB182" s="106"/>
      <c r="AE182" s="219"/>
      <c r="AI182" s="106"/>
      <c r="AJ182" s="219"/>
      <c r="AN182" s="106"/>
      <c r="BA182" s="220"/>
      <c r="BC182" s="220"/>
      <c r="BE182" s="220"/>
      <c r="BG182" s="220"/>
    </row>
    <row r="183" spans="3:59" x14ac:dyDescent="0.25">
      <c r="I183" s="219"/>
      <c r="J183" s="106"/>
      <c r="K183" s="106"/>
      <c r="N183" s="219"/>
      <c r="S183" s="219"/>
      <c r="T183" s="106"/>
      <c r="U183" s="106"/>
      <c r="X183" s="219"/>
      <c r="AB183" s="106"/>
      <c r="AE183" s="219"/>
      <c r="AI183" s="106"/>
      <c r="AJ183" s="219"/>
      <c r="AN183" s="106"/>
      <c r="BA183" s="220"/>
      <c r="BC183" s="220"/>
      <c r="BE183" s="220"/>
      <c r="BG183" s="220"/>
    </row>
    <row r="184" spans="3:59" x14ac:dyDescent="0.25">
      <c r="I184" s="219"/>
      <c r="J184" s="106"/>
      <c r="K184" s="106"/>
      <c r="N184" s="219"/>
      <c r="S184" s="219"/>
      <c r="T184" s="106"/>
      <c r="U184" s="106"/>
      <c r="X184" s="219"/>
      <c r="AB184" s="106"/>
      <c r="AE184" s="219"/>
      <c r="AI184" s="106"/>
      <c r="AJ184" s="219"/>
      <c r="AN184" s="106"/>
      <c r="BA184" s="220"/>
      <c r="BC184" s="220"/>
      <c r="BE184" s="220"/>
      <c r="BG184" s="220"/>
    </row>
    <row r="185" spans="3:59" x14ac:dyDescent="0.25">
      <c r="I185" s="219"/>
      <c r="J185" s="106"/>
      <c r="K185" s="106"/>
      <c r="N185" s="219"/>
      <c r="S185" s="219"/>
      <c r="T185" s="106"/>
      <c r="U185" s="106"/>
      <c r="X185" s="219"/>
      <c r="AB185" s="106"/>
      <c r="AE185" s="219"/>
      <c r="AI185" s="106"/>
      <c r="AJ185" s="219"/>
      <c r="AN185" s="106"/>
      <c r="BA185" s="220"/>
      <c r="BC185" s="220"/>
      <c r="BE185" s="220"/>
      <c r="BG185" s="220"/>
    </row>
    <row r="186" spans="3:59" x14ac:dyDescent="0.25">
      <c r="I186" s="219"/>
      <c r="J186" s="106"/>
      <c r="K186" s="106"/>
      <c r="N186" s="219"/>
      <c r="S186" s="219"/>
      <c r="T186" s="106"/>
      <c r="U186" s="106"/>
      <c r="X186" s="219"/>
      <c r="AB186" s="106"/>
      <c r="AE186" s="219"/>
      <c r="AI186" s="106"/>
      <c r="AJ186" s="219"/>
      <c r="AN186" s="106"/>
      <c r="BA186" s="220"/>
      <c r="BC186" s="220"/>
      <c r="BE186" s="220"/>
      <c r="BG186" s="220"/>
    </row>
    <row r="187" spans="3:59" x14ac:dyDescent="0.25">
      <c r="I187" s="219"/>
      <c r="J187" s="106"/>
      <c r="K187" s="106"/>
      <c r="N187" s="219"/>
      <c r="S187" s="219"/>
      <c r="T187" s="106"/>
      <c r="U187" s="106"/>
      <c r="X187" s="219"/>
      <c r="AB187" s="106"/>
      <c r="AE187" s="219"/>
      <c r="AI187" s="106"/>
      <c r="AJ187" s="219"/>
      <c r="AN187" s="106"/>
      <c r="BA187" s="220"/>
      <c r="BC187" s="220"/>
      <c r="BE187" s="220"/>
      <c r="BG187" s="220"/>
    </row>
    <row r="188" spans="3:59" x14ac:dyDescent="0.25">
      <c r="I188" s="219"/>
      <c r="J188" s="106"/>
      <c r="K188" s="106"/>
      <c r="N188" s="219"/>
      <c r="S188" s="219"/>
      <c r="T188" s="106"/>
      <c r="U188" s="106"/>
      <c r="X188" s="219"/>
      <c r="AB188" s="106"/>
      <c r="AE188" s="219"/>
      <c r="AI188" s="106"/>
      <c r="AJ188" s="219"/>
      <c r="AN188" s="106"/>
      <c r="BA188" s="220"/>
      <c r="BC188" s="220"/>
      <c r="BE188" s="220"/>
      <c r="BG188" s="220"/>
    </row>
    <row r="189" spans="3:59" x14ac:dyDescent="0.25">
      <c r="I189" s="219"/>
      <c r="J189" s="106"/>
      <c r="K189" s="106"/>
      <c r="N189" s="219"/>
      <c r="S189" s="219"/>
      <c r="T189" s="106"/>
      <c r="U189" s="106"/>
      <c r="X189" s="219"/>
      <c r="AB189" s="106"/>
      <c r="AE189" s="219"/>
      <c r="AI189" s="106"/>
      <c r="AJ189" s="219"/>
      <c r="AN189" s="106"/>
      <c r="BA189" s="220"/>
      <c r="BC189" s="220"/>
      <c r="BE189" s="220"/>
      <c r="BG189" s="220"/>
    </row>
    <row r="190" spans="3:59" x14ac:dyDescent="0.25">
      <c r="I190" s="219"/>
      <c r="J190" s="106"/>
      <c r="K190" s="106"/>
      <c r="N190" s="219"/>
      <c r="S190" s="219"/>
      <c r="T190" s="106"/>
      <c r="U190" s="106"/>
      <c r="X190" s="219"/>
      <c r="AB190" s="106"/>
      <c r="AE190" s="219"/>
      <c r="AI190" s="106"/>
      <c r="AJ190" s="219"/>
      <c r="AN190" s="106"/>
      <c r="BA190" s="220"/>
      <c r="BC190" s="220"/>
      <c r="BE190" s="220"/>
      <c r="BG190" s="220"/>
    </row>
    <row r="191" spans="3:59" x14ac:dyDescent="0.25">
      <c r="I191" s="219"/>
      <c r="J191" s="106"/>
      <c r="K191" s="106"/>
      <c r="N191" s="219"/>
      <c r="S191" s="219"/>
      <c r="T191" s="106"/>
      <c r="U191" s="106"/>
      <c r="X191" s="219"/>
      <c r="AB191" s="106"/>
      <c r="AE191" s="219"/>
      <c r="AI191" s="106"/>
      <c r="AJ191" s="219"/>
      <c r="AN191" s="106"/>
      <c r="BA191" s="220"/>
      <c r="BC191" s="220"/>
      <c r="BE191" s="220"/>
      <c r="BG191" s="220"/>
    </row>
    <row r="192" spans="3:59" x14ac:dyDescent="0.25">
      <c r="I192" s="219"/>
      <c r="J192" s="106"/>
      <c r="K192" s="106"/>
      <c r="N192" s="219"/>
      <c r="S192" s="219"/>
      <c r="T192" s="106"/>
      <c r="U192" s="106"/>
      <c r="X192" s="219"/>
      <c r="AB192" s="106"/>
      <c r="AE192" s="219"/>
      <c r="AI192" s="106"/>
      <c r="AJ192" s="219"/>
      <c r="AN192" s="106"/>
      <c r="BA192" s="220"/>
      <c r="BC192" s="220"/>
      <c r="BE192" s="220"/>
      <c r="BG192" s="220"/>
    </row>
    <row r="193" spans="9:59" x14ac:dyDescent="0.25">
      <c r="I193" s="219"/>
      <c r="J193" s="106"/>
      <c r="K193" s="106"/>
      <c r="N193" s="219"/>
      <c r="S193" s="219"/>
      <c r="T193" s="106"/>
      <c r="U193" s="106"/>
      <c r="X193" s="219"/>
      <c r="AB193" s="106"/>
      <c r="AE193" s="219"/>
      <c r="AI193" s="106"/>
      <c r="AJ193" s="219"/>
      <c r="AN193" s="106"/>
      <c r="BA193" s="220"/>
      <c r="BC193" s="220"/>
      <c r="BE193" s="220"/>
      <c r="BG193" s="220"/>
    </row>
    <row r="194" spans="9:59" x14ac:dyDescent="0.25">
      <c r="I194" s="219"/>
      <c r="J194" s="106"/>
      <c r="K194" s="106"/>
      <c r="N194" s="219"/>
      <c r="S194" s="219"/>
      <c r="T194" s="106"/>
      <c r="U194" s="106"/>
      <c r="X194" s="219"/>
      <c r="AB194" s="106"/>
      <c r="AE194" s="219"/>
      <c r="AI194" s="106"/>
      <c r="AJ194" s="219"/>
      <c r="AN194" s="106"/>
      <c r="BA194" s="220"/>
      <c r="BC194" s="220"/>
      <c r="BE194" s="220"/>
      <c r="BG194" s="220"/>
    </row>
    <row r="195" spans="9:59" x14ac:dyDescent="0.25">
      <c r="I195" s="219"/>
      <c r="J195" s="106"/>
      <c r="K195" s="106"/>
      <c r="N195" s="219"/>
      <c r="S195" s="219"/>
      <c r="T195" s="106"/>
      <c r="U195" s="106"/>
      <c r="X195" s="219"/>
      <c r="AB195" s="106"/>
      <c r="AE195" s="219"/>
      <c r="AI195" s="106"/>
      <c r="AJ195" s="219"/>
      <c r="AN195" s="106"/>
      <c r="BA195" s="220"/>
      <c r="BC195" s="220"/>
      <c r="BE195" s="220"/>
      <c r="BG195" s="220"/>
    </row>
    <row r="196" spans="9:59" x14ac:dyDescent="0.25">
      <c r="I196" s="219"/>
      <c r="J196" s="106"/>
      <c r="K196" s="106"/>
      <c r="N196" s="219"/>
      <c r="S196" s="219"/>
      <c r="T196" s="106"/>
      <c r="U196" s="106"/>
      <c r="X196" s="219"/>
      <c r="AB196" s="106"/>
      <c r="AE196" s="219"/>
      <c r="AI196" s="106"/>
      <c r="AJ196" s="219"/>
      <c r="AN196" s="106"/>
      <c r="BA196" s="220"/>
      <c r="BC196" s="220"/>
      <c r="BE196" s="220"/>
      <c r="BG196" s="220"/>
    </row>
    <row r="197" spans="9:59" x14ac:dyDescent="0.25">
      <c r="I197" s="219"/>
      <c r="J197" s="106"/>
      <c r="K197" s="106"/>
      <c r="N197" s="219"/>
      <c r="S197" s="219"/>
      <c r="T197" s="106"/>
      <c r="U197" s="106"/>
      <c r="X197" s="219"/>
      <c r="AB197" s="106"/>
      <c r="AE197" s="219"/>
      <c r="AI197" s="106"/>
      <c r="AJ197" s="219"/>
      <c r="AN197" s="106"/>
      <c r="BA197" s="220"/>
      <c r="BC197" s="220"/>
      <c r="BE197" s="220"/>
      <c r="BG197" s="220"/>
    </row>
    <row r="198" spans="9:59" x14ac:dyDescent="0.25">
      <c r="I198" s="219"/>
      <c r="J198" s="106"/>
      <c r="K198" s="106"/>
      <c r="N198" s="219"/>
      <c r="S198" s="219"/>
      <c r="T198" s="106"/>
      <c r="U198" s="106"/>
      <c r="X198" s="219"/>
      <c r="AB198" s="106"/>
      <c r="AE198" s="219"/>
      <c r="AI198" s="106"/>
      <c r="AJ198" s="219"/>
      <c r="AN198" s="106"/>
      <c r="BA198" s="220"/>
      <c r="BC198" s="220"/>
      <c r="BE198" s="220"/>
      <c r="BG198" s="220"/>
    </row>
    <row r="199" spans="9:59" x14ac:dyDescent="0.25">
      <c r="I199" s="219"/>
      <c r="J199" s="106"/>
      <c r="K199" s="106"/>
      <c r="N199" s="219"/>
      <c r="S199" s="219"/>
      <c r="T199" s="106"/>
      <c r="U199" s="106"/>
      <c r="X199" s="219"/>
      <c r="AB199" s="106"/>
      <c r="AE199" s="219"/>
      <c r="AI199" s="106"/>
      <c r="AJ199" s="219"/>
      <c r="AN199" s="106"/>
      <c r="BA199" s="220"/>
      <c r="BC199" s="220"/>
      <c r="BE199" s="220"/>
      <c r="BG199" s="220"/>
    </row>
    <row r="200" spans="9:59" x14ac:dyDescent="0.25">
      <c r="I200" s="219"/>
      <c r="J200" s="106"/>
      <c r="K200" s="106"/>
      <c r="N200" s="219"/>
      <c r="S200" s="219"/>
      <c r="T200" s="106"/>
      <c r="U200" s="106"/>
      <c r="X200" s="219"/>
      <c r="AB200" s="106"/>
      <c r="AE200" s="219"/>
      <c r="AI200" s="106"/>
      <c r="AJ200" s="219"/>
      <c r="AN200" s="106"/>
      <c r="BA200" s="220"/>
      <c r="BC200" s="220"/>
      <c r="BE200" s="220"/>
      <c r="BG200" s="220"/>
    </row>
    <row r="201" spans="9:59" x14ac:dyDescent="0.25">
      <c r="I201" s="219"/>
      <c r="J201" s="106"/>
      <c r="K201" s="106"/>
      <c r="N201" s="219"/>
      <c r="S201" s="219"/>
      <c r="T201" s="106"/>
      <c r="U201" s="106"/>
      <c r="X201" s="219"/>
      <c r="AB201" s="106"/>
      <c r="AE201" s="219"/>
      <c r="AI201" s="106"/>
      <c r="AJ201" s="219"/>
      <c r="AN201" s="106"/>
      <c r="BA201" s="220"/>
      <c r="BC201" s="220"/>
      <c r="BE201" s="220"/>
      <c r="BG201" s="220"/>
    </row>
    <row r="202" spans="9:59" x14ac:dyDescent="0.25">
      <c r="I202" s="219"/>
      <c r="J202" s="106"/>
      <c r="K202" s="106"/>
      <c r="N202" s="219"/>
      <c r="S202" s="219"/>
      <c r="T202" s="106"/>
      <c r="U202" s="106"/>
      <c r="X202" s="219"/>
      <c r="AB202" s="106"/>
      <c r="AE202" s="219"/>
      <c r="AI202" s="106"/>
      <c r="AJ202" s="219"/>
      <c r="AN202" s="106"/>
      <c r="BA202" s="220"/>
      <c r="BC202" s="220"/>
      <c r="BE202" s="220"/>
      <c r="BG202" s="220"/>
    </row>
    <row r="203" spans="9:59" x14ac:dyDescent="0.25">
      <c r="I203" s="219"/>
      <c r="J203" s="106"/>
      <c r="K203" s="106"/>
      <c r="N203" s="219"/>
      <c r="S203" s="219"/>
      <c r="T203" s="106"/>
      <c r="U203" s="106"/>
      <c r="X203" s="219"/>
      <c r="AB203" s="106"/>
      <c r="AE203" s="219"/>
      <c r="AI203" s="106"/>
      <c r="AJ203" s="219"/>
      <c r="AN203" s="106"/>
      <c r="BA203" s="220"/>
      <c r="BC203" s="220"/>
      <c r="BE203" s="220"/>
      <c r="BG203" s="220"/>
    </row>
    <row r="204" spans="9:59" x14ac:dyDescent="0.25">
      <c r="I204" s="219"/>
      <c r="J204" s="106"/>
      <c r="K204" s="106"/>
      <c r="N204" s="219"/>
      <c r="S204" s="219"/>
      <c r="T204" s="106"/>
      <c r="U204" s="106"/>
      <c r="X204" s="219"/>
      <c r="AB204" s="106"/>
      <c r="AE204" s="219"/>
      <c r="AI204" s="106"/>
      <c r="AJ204" s="219"/>
      <c r="AN204" s="106"/>
      <c r="BA204" s="220"/>
      <c r="BC204" s="220"/>
      <c r="BE204" s="220"/>
      <c r="BG204" s="220"/>
    </row>
    <row r="205" spans="9:59" x14ac:dyDescent="0.25">
      <c r="I205" s="219"/>
      <c r="J205" s="106"/>
      <c r="K205" s="106"/>
      <c r="N205" s="219"/>
      <c r="S205" s="219"/>
      <c r="T205" s="106"/>
      <c r="U205" s="106"/>
      <c r="X205" s="219"/>
      <c r="AB205" s="106"/>
      <c r="AE205" s="219"/>
      <c r="AI205" s="106"/>
      <c r="AJ205" s="219"/>
      <c r="AN205" s="106"/>
      <c r="BA205" s="220"/>
      <c r="BC205" s="220"/>
      <c r="BE205" s="220"/>
      <c r="BG205" s="220"/>
    </row>
    <row r="206" spans="9:59" x14ac:dyDescent="0.25">
      <c r="I206" s="219"/>
      <c r="J206" s="106"/>
      <c r="K206" s="106"/>
      <c r="N206" s="219"/>
      <c r="S206" s="219"/>
      <c r="T206" s="106"/>
      <c r="U206" s="106"/>
      <c r="X206" s="219"/>
      <c r="AB206" s="106"/>
      <c r="AE206" s="219"/>
      <c r="AI206" s="106"/>
      <c r="AJ206" s="219"/>
      <c r="AN206" s="106"/>
      <c r="BA206" s="220"/>
      <c r="BC206" s="220"/>
      <c r="BE206" s="220"/>
      <c r="BG206" s="220"/>
    </row>
    <row r="207" spans="9:59" x14ac:dyDescent="0.25">
      <c r="I207" s="219"/>
      <c r="J207" s="106"/>
      <c r="K207" s="106"/>
      <c r="N207" s="219"/>
      <c r="S207" s="219"/>
      <c r="T207" s="106"/>
      <c r="U207" s="106"/>
      <c r="X207" s="219"/>
      <c r="AB207" s="106"/>
      <c r="AE207" s="219"/>
      <c r="AI207" s="106"/>
      <c r="AJ207" s="219"/>
      <c r="AN207" s="106"/>
      <c r="BA207" s="220"/>
      <c r="BC207" s="220"/>
      <c r="BE207" s="220"/>
      <c r="BG207" s="220"/>
    </row>
    <row r="208" spans="9:59" x14ac:dyDescent="0.25">
      <c r="I208" s="219"/>
      <c r="J208" s="106"/>
      <c r="K208" s="106"/>
      <c r="N208" s="219"/>
      <c r="S208" s="219"/>
      <c r="T208" s="106"/>
      <c r="U208" s="106"/>
      <c r="X208" s="219"/>
      <c r="AB208" s="106"/>
      <c r="AE208" s="219"/>
      <c r="AI208" s="106"/>
      <c r="AJ208" s="219"/>
      <c r="AN208" s="106"/>
      <c r="BA208" s="220"/>
      <c r="BC208" s="220"/>
      <c r="BE208" s="220"/>
      <c r="BG208" s="220"/>
    </row>
    <row r="209" spans="9:59" x14ac:dyDescent="0.25">
      <c r="I209" s="219"/>
      <c r="J209" s="106"/>
      <c r="K209" s="106"/>
      <c r="N209" s="219"/>
      <c r="S209" s="219"/>
      <c r="T209" s="106"/>
      <c r="U209" s="106"/>
      <c r="X209" s="219"/>
      <c r="AB209" s="106"/>
      <c r="AE209" s="219"/>
      <c r="AI209" s="106"/>
      <c r="AJ209" s="219"/>
      <c r="AN209" s="106"/>
      <c r="BA209" s="220"/>
      <c r="BC209" s="220"/>
      <c r="BE209" s="220"/>
      <c r="BG209" s="220"/>
    </row>
    <row r="210" spans="9:59" x14ac:dyDescent="0.25">
      <c r="I210" s="219"/>
      <c r="J210" s="106"/>
      <c r="K210" s="106"/>
      <c r="N210" s="219"/>
      <c r="S210" s="219"/>
      <c r="T210" s="106"/>
      <c r="U210" s="106"/>
      <c r="X210" s="219"/>
      <c r="AB210" s="106"/>
      <c r="AE210" s="219"/>
      <c r="AI210" s="106"/>
      <c r="AJ210" s="219"/>
      <c r="AN210" s="106"/>
      <c r="BA210" s="220"/>
      <c r="BC210" s="220"/>
      <c r="BE210" s="220"/>
      <c r="BG210" s="220"/>
    </row>
    <row r="211" spans="9:59" x14ac:dyDescent="0.25">
      <c r="I211" s="219"/>
      <c r="J211" s="106"/>
      <c r="K211" s="106"/>
      <c r="N211" s="219"/>
      <c r="S211" s="219"/>
      <c r="T211" s="106"/>
      <c r="U211" s="106"/>
      <c r="X211" s="219"/>
      <c r="AB211" s="106"/>
      <c r="AE211" s="219"/>
      <c r="AI211" s="106"/>
      <c r="AJ211" s="219"/>
      <c r="AN211" s="106"/>
      <c r="BA211" s="220"/>
      <c r="BC211" s="220"/>
      <c r="BE211" s="220"/>
      <c r="BG211" s="220"/>
    </row>
    <row r="212" spans="9:59" x14ac:dyDescent="0.25">
      <c r="I212" s="219"/>
      <c r="J212" s="106"/>
      <c r="K212" s="106"/>
      <c r="N212" s="219"/>
      <c r="S212" s="219"/>
      <c r="T212" s="106"/>
      <c r="U212" s="106"/>
      <c r="X212" s="219"/>
      <c r="AB212" s="106"/>
      <c r="AE212" s="219"/>
      <c r="AI212" s="106"/>
      <c r="AJ212" s="219"/>
      <c r="AN212" s="106"/>
      <c r="BA212" s="220"/>
      <c r="BC212" s="220"/>
      <c r="BE212" s="220"/>
      <c r="BG212" s="220"/>
    </row>
    <row r="213" spans="9:59" x14ac:dyDescent="0.25">
      <c r="I213" s="219"/>
      <c r="J213" s="106"/>
      <c r="K213" s="106"/>
      <c r="N213" s="219"/>
      <c r="S213" s="219"/>
      <c r="T213" s="106"/>
      <c r="U213" s="106"/>
      <c r="X213" s="219"/>
      <c r="AB213" s="106"/>
      <c r="AE213" s="219"/>
      <c r="AI213" s="106"/>
      <c r="AJ213" s="219"/>
      <c r="AN213" s="106"/>
      <c r="BA213" s="220"/>
      <c r="BC213" s="220"/>
      <c r="BE213" s="220"/>
      <c r="BG213" s="220"/>
    </row>
    <row r="214" spans="9:59" x14ac:dyDescent="0.25">
      <c r="I214" s="219"/>
      <c r="J214" s="106"/>
      <c r="K214" s="106"/>
      <c r="N214" s="219"/>
      <c r="S214" s="219"/>
      <c r="T214" s="106"/>
      <c r="U214" s="106"/>
      <c r="X214" s="219"/>
      <c r="AB214" s="106"/>
      <c r="AE214" s="219"/>
      <c r="AI214" s="106"/>
      <c r="AJ214" s="219"/>
      <c r="AN214" s="106"/>
      <c r="BA214" s="220"/>
      <c r="BC214" s="220"/>
      <c r="BE214" s="220"/>
      <c r="BG214" s="220"/>
    </row>
    <row r="215" spans="9:59" x14ac:dyDescent="0.25">
      <c r="I215" s="219"/>
      <c r="J215" s="106"/>
      <c r="K215" s="106"/>
      <c r="N215" s="219"/>
      <c r="S215" s="219"/>
      <c r="T215" s="106"/>
      <c r="U215" s="106"/>
      <c r="X215" s="219"/>
      <c r="AB215" s="106"/>
      <c r="AE215" s="219"/>
      <c r="AI215" s="106"/>
      <c r="AJ215" s="219"/>
      <c r="AN215" s="106"/>
      <c r="BA215" s="220"/>
      <c r="BC215" s="220"/>
      <c r="BE215" s="220"/>
      <c r="BG215" s="220"/>
    </row>
    <row r="216" spans="9:59" x14ac:dyDescent="0.25">
      <c r="I216" s="219"/>
      <c r="J216" s="106"/>
      <c r="K216" s="106"/>
      <c r="N216" s="219"/>
      <c r="S216" s="219"/>
      <c r="T216" s="106"/>
      <c r="U216" s="106"/>
      <c r="X216" s="219"/>
      <c r="AB216" s="106"/>
      <c r="AE216" s="219"/>
      <c r="AI216" s="106"/>
      <c r="AJ216" s="219"/>
      <c r="AN216" s="106"/>
      <c r="BA216" s="220"/>
      <c r="BC216" s="220"/>
      <c r="BE216" s="220"/>
      <c r="BG216" s="220"/>
    </row>
    <row r="217" spans="9:59" x14ac:dyDescent="0.25">
      <c r="I217" s="219"/>
      <c r="J217" s="106"/>
      <c r="K217" s="106"/>
      <c r="N217" s="219"/>
      <c r="S217" s="219"/>
      <c r="T217" s="106"/>
      <c r="U217" s="106"/>
      <c r="X217" s="219"/>
      <c r="AB217" s="106"/>
      <c r="AE217" s="219"/>
      <c r="AI217" s="106"/>
      <c r="AJ217" s="219"/>
      <c r="AN217" s="106"/>
      <c r="BA217" s="220"/>
      <c r="BC217" s="220"/>
      <c r="BE217" s="220"/>
      <c r="BG217" s="220"/>
    </row>
    <row r="218" spans="9:59" x14ac:dyDescent="0.25">
      <c r="I218" s="219"/>
      <c r="J218" s="106"/>
      <c r="K218" s="106"/>
      <c r="N218" s="219"/>
      <c r="S218" s="219"/>
      <c r="T218" s="106"/>
      <c r="U218" s="106"/>
      <c r="X218" s="219"/>
      <c r="AB218" s="106"/>
      <c r="AE218" s="219"/>
      <c r="AI218" s="106"/>
      <c r="AJ218" s="219"/>
      <c r="AN218" s="106"/>
      <c r="BA218" s="220"/>
      <c r="BC218" s="220"/>
      <c r="BE218" s="220"/>
      <c r="BG218" s="220"/>
    </row>
    <row r="219" spans="9:59" x14ac:dyDescent="0.25">
      <c r="I219" s="219"/>
      <c r="J219" s="106"/>
      <c r="K219" s="106"/>
      <c r="N219" s="219"/>
      <c r="S219" s="219"/>
      <c r="T219" s="106"/>
      <c r="U219" s="106"/>
      <c r="X219" s="219"/>
      <c r="AB219" s="106"/>
      <c r="AE219" s="219"/>
      <c r="AI219" s="106"/>
      <c r="AJ219" s="219"/>
      <c r="AN219" s="106"/>
      <c r="BA219" s="220"/>
      <c r="BC219" s="220"/>
      <c r="BE219" s="220"/>
      <c r="BG219" s="220"/>
    </row>
    <row r="220" spans="9:59" x14ac:dyDescent="0.25">
      <c r="I220" s="219"/>
      <c r="J220" s="106"/>
      <c r="K220" s="106"/>
      <c r="N220" s="219"/>
      <c r="S220" s="219"/>
      <c r="T220" s="106"/>
      <c r="U220" s="106"/>
      <c r="X220" s="219"/>
      <c r="AB220" s="106"/>
      <c r="AE220" s="219"/>
      <c r="AI220" s="106"/>
      <c r="AJ220" s="219"/>
      <c r="AN220" s="106"/>
      <c r="BA220" s="220"/>
      <c r="BC220" s="220"/>
      <c r="BE220" s="220"/>
      <c r="BG220" s="220"/>
    </row>
    <row r="221" spans="9:59" x14ac:dyDescent="0.25">
      <c r="I221" s="219"/>
      <c r="J221" s="106"/>
      <c r="K221" s="106"/>
      <c r="N221" s="219"/>
      <c r="S221" s="219"/>
      <c r="T221" s="106"/>
      <c r="U221" s="106"/>
      <c r="X221" s="219"/>
      <c r="AB221" s="106"/>
      <c r="AE221" s="219"/>
      <c r="AI221" s="106"/>
      <c r="AJ221" s="219"/>
      <c r="AN221" s="106"/>
      <c r="BA221" s="220"/>
      <c r="BC221" s="220"/>
      <c r="BE221" s="220"/>
      <c r="BG221" s="220"/>
    </row>
    <row r="222" spans="9:59" x14ac:dyDescent="0.25">
      <c r="I222" s="219"/>
      <c r="J222" s="106"/>
      <c r="K222" s="106"/>
      <c r="N222" s="219"/>
      <c r="S222" s="219"/>
      <c r="T222" s="106"/>
      <c r="U222" s="106"/>
      <c r="X222" s="219"/>
      <c r="AB222" s="106"/>
      <c r="AE222" s="219"/>
      <c r="AI222" s="106"/>
      <c r="AJ222" s="219"/>
      <c r="AN222" s="106"/>
      <c r="BA222" s="220"/>
      <c r="BC222" s="220"/>
      <c r="BE222" s="220"/>
      <c r="BG222" s="220"/>
    </row>
    <row r="223" spans="9:59" x14ac:dyDescent="0.25">
      <c r="I223" s="219"/>
      <c r="J223" s="106"/>
      <c r="K223" s="106"/>
      <c r="N223" s="219"/>
      <c r="S223" s="219"/>
      <c r="T223" s="106"/>
      <c r="U223" s="106"/>
      <c r="X223" s="219"/>
      <c r="AB223" s="106"/>
      <c r="AE223" s="219"/>
      <c r="AI223" s="106"/>
      <c r="AJ223" s="219"/>
      <c r="AN223" s="106"/>
      <c r="BA223" s="220"/>
      <c r="BC223" s="220"/>
      <c r="BE223" s="220"/>
      <c r="BG223" s="220"/>
    </row>
    <row r="224" spans="9:59" x14ac:dyDescent="0.25">
      <c r="I224" s="219"/>
      <c r="J224" s="106"/>
      <c r="K224" s="106"/>
      <c r="N224" s="219"/>
      <c r="S224" s="219"/>
      <c r="T224" s="106"/>
      <c r="U224" s="106"/>
      <c r="X224" s="219"/>
      <c r="AB224" s="106"/>
      <c r="AE224" s="219"/>
      <c r="AI224" s="106"/>
      <c r="AJ224" s="219"/>
      <c r="AN224" s="106"/>
      <c r="BA224" s="220"/>
      <c r="BC224" s="220"/>
      <c r="BE224" s="220"/>
      <c r="BG224" s="220"/>
    </row>
    <row r="225" spans="9:59" x14ac:dyDescent="0.25">
      <c r="I225" s="219"/>
      <c r="J225" s="106"/>
      <c r="K225" s="106"/>
      <c r="N225" s="219"/>
      <c r="S225" s="219"/>
      <c r="T225" s="106"/>
      <c r="U225" s="106"/>
      <c r="X225" s="219"/>
      <c r="AB225" s="106"/>
      <c r="AE225" s="219"/>
      <c r="AI225" s="106"/>
      <c r="AJ225" s="219"/>
      <c r="AN225" s="106"/>
      <c r="BA225" s="220"/>
      <c r="BC225" s="220"/>
      <c r="BE225" s="220"/>
      <c r="BG225" s="220"/>
    </row>
    <row r="226" spans="9:59" x14ac:dyDescent="0.25">
      <c r="I226" s="219"/>
      <c r="J226" s="106"/>
      <c r="K226" s="106"/>
      <c r="N226" s="219"/>
      <c r="S226" s="219"/>
      <c r="T226" s="106"/>
      <c r="U226" s="106"/>
      <c r="X226" s="219"/>
      <c r="AB226" s="106"/>
      <c r="AE226" s="219"/>
      <c r="AI226" s="106"/>
      <c r="AJ226" s="219"/>
      <c r="AN226" s="106"/>
      <c r="BA226" s="220"/>
      <c r="BC226" s="220"/>
      <c r="BE226" s="220"/>
      <c r="BG226" s="220"/>
    </row>
    <row r="227" spans="9:59" x14ac:dyDescent="0.25">
      <c r="I227" s="219"/>
      <c r="J227" s="106"/>
      <c r="K227" s="106"/>
      <c r="N227" s="219"/>
      <c r="S227" s="219"/>
      <c r="T227" s="106"/>
      <c r="U227" s="106"/>
      <c r="X227" s="219"/>
      <c r="AB227" s="106"/>
      <c r="AE227" s="219"/>
      <c r="AI227" s="106"/>
      <c r="AJ227" s="219"/>
      <c r="AN227" s="106"/>
      <c r="BA227" s="220"/>
      <c r="BC227" s="220"/>
      <c r="BE227" s="220"/>
      <c r="BG227" s="220"/>
    </row>
    <row r="228" spans="9:59" x14ac:dyDescent="0.25">
      <c r="I228" s="219"/>
      <c r="J228" s="106"/>
      <c r="K228" s="106"/>
      <c r="N228" s="219"/>
      <c r="S228" s="219"/>
      <c r="T228" s="106"/>
      <c r="U228" s="106"/>
      <c r="X228" s="219"/>
      <c r="AB228" s="106"/>
      <c r="AE228" s="219"/>
      <c r="AI228" s="106"/>
      <c r="AJ228" s="219"/>
      <c r="AN228" s="106"/>
      <c r="BA228" s="220"/>
      <c r="BC228" s="220"/>
      <c r="BE228" s="220"/>
      <c r="BG228" s="220"/>
    </row>
    <row r="229" spans="9:59" x14ac:dyDescent="0.25">
      <c r="I229" s="219"/>
      <c r="J229" s="106"/>
      <c r="K229" s="106"/>
      <c r="N229" s="219"/>
      <c r="S229" s="219"/>
      <c r="T229" s="106"/>
      <c r="U229" s="106"/>
      <c r="X229" s="219"/>
      <c r="AB229" s="106"/>
      <c r="AE229" s="219"/>
      <c r="AI229" s="106"/>
      <c r="AJ229" s="219"/>
      <c r="AN229" s="106"/>
      <c r="BA229" s="220"/>
      <c r="BC229" s="220"/>
      <c r="BE229" s="220"/>
      <c r="BG229" s="220"/>
    </row>
    <row r="230" spans="9:59" x14ac:dyDescent="0.25">
      <c r="I230" s="219"/>
      <c r="J230" s="106"/>
      <c r="K230" s="106"/>
      <c r="N230" s="219"/>
      <c r="S230" s="219"/>
      <c r="T230" s="106"/>
      <c r="U230" s="106"/>
      <c r="X230" s="219"/>
      <c r="AB230" s="106"/>
      <c r="AE230" s="219"/>
      <c r="AI230" s="106"/>
      <c r="AJ230" s="219"/>
      <c r="AN230" s="106"/>
      <c r="BA230" s="220"/>
      <c r="BC230" s="220"/>
      <c r="BE230" s="220"/>
      <c r="BG230" s="220"/>
    </row>
    <row r="231" spans="9:59" x14ac:dyDescent="0.25">
      <c r="I231" s="219"/>
      <c r="J231" s="106"/>
      <c r="K231" s="106"/>
      <c r="N231" s="219"/>
      <c r="S231" s="219"/>
      <c r="T231" s="106"/>
      <c r="U231" s="106"/>
      <c r="X231" s="219"/>
      <c r="AB231" s="106"/>
      <c r="AE231" s="219"/>
      <c r="AI231" s="106"/>
      <c r="AJ231" s="219"/>
      <c r="AN231" s="106"/>
      <c r="BA231" s="220"/>
      <c r="BC231" s="220"/>
      <c r="BE231" s="220"/>
      <c r="BG231" s="220"/>
    </row>
    <row r="232" spans="9:59" x14ac:dyDescent="0.25">
      <c r="I232" s="219"/>
      <c r="J232" s="106"/>
      <c r="K232" s="106"/>
      <c r="N232" s="219"/>
      <c r="S232" s="219"/>
      <c r="T232" s="106"/>
      <c r="U232" s="106"/>
      <c r="X232" s="219"/>
      <c r="AB232" s="106"/>
      <c r="AE232" s="219"/>
      <c r="AI232" s="106"/>
      <c r="AJ232" s="219"/>
      <c r="AN232" s="106"/>
      <c r="BA232" s="220"/>
      <c r="BC232" s="220"/>
      <c r="BE232" s="220"/>
      <c r="BG232" s="220"/>
    </row>
    <row r="233" spans="9:59" x14ac:dyDescent="0.25">
      <c r="I233" s="219"/>
      <c r="J233" s="106"/>
      <c r="K233" s="106"/>
      <c r="N233" s="219"/>
      <c r="S233" s="219"/>
      <c r="T233" s="106"/>
      <c r="U233" s="106"/>
      <c r="X233" s="219"/>
      <c r="AB233" s="106"/>
      <c r="AE233" s="219"/>
      <c r="AI233" s="106"/>
      <c r="AJ233" s="219"/>
      <c r="AN233" s="106"/>
      <c r="BA233" s="220"/>
      <c r="BC233" s="220"/>
      <c r="BE233" s="220"/>
      <c r="BG233" s="220"/>
    </row>
    <row r="234" spans="9:59" x14ac:dyDescent="0.25">
      <c r="I234" s="219"/>
      <c r="J234" s="106"/>
      <c r="K234" s="106"/>
      <c r="N234" s="219"/>
      <c r="S234" s="219"/>
      <c r="T234" s="106"/>
      <c r="U234" s="106"/>
      <c r="X234" s="219"/>
      <c r="AB234" s="106"/>
      <c r="AE234" s="219"/>
      <c r="AI234" s="106"/>
      <c r="AJ234" s="219"/>
      <c r="AN234" s="106"/>
      <c r="BA234" s="220"/>
      <c r="BC234" s="220"/>
      <c r="BE234" s="220"/>
      <c r="BG234" s="220"/>
    </row>
    <row r="235" spans="9:59" x14ac:dyDescent="0.25">
      <c r="I235" s="219"/>
      <c r="J235" s="106"/>
      <c r="K235" s="106"/>
      <c r="N235" s="219"/>
      <c r="S235" s="219"/>
      <c r="T235" s="106"/>
      <c r="U235" s="106"/>
      <c r="X235" s="219"/>
      <c r="AB235" s="106"/>
      <c r="AE235" s="219"/>
      <c r="AI235" s="106"/>
      <c r="AJ235" s="219"/>
      <c r="AN235" s="106"/>
      <c r="BA235" s="220"/>
      <c r="BC235" s="220"/>
      <c r="BE235" s="220"/>
      <c r="BG235" s="220"/>
    </row>
    <row r="236" spans="9:59" x14ac:dyDescent="0.25">
      <c r="I236" s="219"/>
      <c r="J236" s="106"/>
      <c r="K236" s="106"/>
      <c r="N236" s="219"/>
      <c r="S236" s="219"/>
      <c r="T236" s="106"/>
      <c r="U236" s="106"/>
      <c r="X236" s="219"/>
      <c r="AB236" s="106"/>
      <c r="AE236" s="219"/>
      <c r="AI236" s="106"/>
      <c r="AJ236" s="219"/>
      <c r="AN236" s="106"/>
      <c r="BA236" s="220"/>
      <c r="BC236" s="220"/>
      <c r="BE236" s="220"/>
      <c r="BG236" s="220"/>
    </row>
    <row r="237" spans="9:59" x14ac:dyDescent="0.25">
      <c r="I237" s="219"/>
      <c r="J237" s="106"/>
      <c r="K237" s="106"/>
      <c r="N237" s="219"/>
      <c r="S237" s="219"/>
      <c r="T237" s="106"/>
      <c r="U237" s="106"/>
      <c r="X237" s="219"/>
      <c r="AB237" s="106"/>
      <c r="AE237" s="219"/>
      <c r="AI237" s="106"/>
      <c r="AJ237" s="219"/>
      <c r="AN237" s="106"/>
      <c r="BA237" s="220"/>
      <c r="BC237" s="220"/>
      <c r="BE237" s="220"/>
      <c r="BG237" s="220"/>
    </row>
    <row r="238" spans="9:59" x14ac:dyDescent="0.25">
      <c r="I238" s="219"/>
      <c r="J238" s="106"/>
      <c r="K238" s="106"/>
      <c r="N238" s="219"/>
      <c r="S238" s="219"/>
      <c r="T238" s="106"/>
      <c r="U238" s="106"/>
      <c r="X238" s="219"/>
      <c r="AB238" s="106"/>
      <c r="AE238" s="219"/>
      <c r="AI238" s="106"/>
      <c r="AJ238" s="219"/>
      <c r="AN238" s="106"/>
      <c r="BA238" s="220"/>
      <c r="BC238" s="220"/>
      <c r="BE238" s="220"/>
      <c r="BG238" s="220"/>
    </row>
    <row r="239" spans="9:59" x14ac:dyDescent="0.25">
      <c r="I239" s="219"/>
      <c r="J239" s="106"/>
      <c r="K239" s="106"/>
      <c r="N239" s="219"/>
      <c r="S239" s="219"/>
      <c r="T239" s="106"/>
      <c r="U239" s="106"/>
      <c r="X239" s="219"/>
      <c r="AB239" s="106"/>
      <c r="AE239" s="219"/>
      <c r="AI239" s="106"/>
      <c r="AJ239" s="219"/>
      <c r="AN239" s="106"/>
      <c r="BA239" s="220"/>
      <c r="BC239" s="220"/>
      <c r="BE239" s="220"/>
      <c r="BG239" s="220"/>
    </row>
    <row r="240" spans="9:59" x14ac:dyDescent="0.25">
      <c r="I240" s="219"/>
      <c r="J240" s="106"/>
      <c r="K240" s="106"/>
      <c r="N240" s="219"/>
      <c r="S240" s="219"/>
      <c r="T240" s="106"/>
      <c r="U240" s="106"/>
      <c r="X240" s="219"/>
      <c r="AB240" s="106"/>
      <c r="AE240" s="219"/>
      <c r="AI240" s="106"/>
      <c r="AJ240" s="219"/>
      <c r="AN240" s="106"/>
      <c r="BA240" s="220"/>
      <c r="BC240" s="220"/>
      <c r="BE240" s="220"/>
      <c r="BG240" s="220"/>
    </row>
    <row r="241" spans="9:59" x14ac:dyDescent="0.25">
      <c r="I241" s="219"/>
      <c r="J241" s="106"/>
      <c r="K241" s="106"/>
      <c r="N241" s="219"/>
      <c r="S241" s="219"/>
      <c r="T241" s="106"/>
      <c r="U241" s="106"/>
      <c r="X241" s="219"/>
      <c r="AB241" s="106"/>
      <c r="AE241" s="219"/>
      <c r="AI241" s="106"/>
      <c r="AJ241" s="219"/>
      <c r="AN241" s="106"/>
      <c r="BA241" s="220"/>
      <c r="BC241" s="220"/>
      <c r="BE241" s="220"/>
      <c r="BG241" s="220"/>
    </row>
    <row r="242" spans="9:59" x14ac:dyDescent="0.25">
      <c r="I242" s="219"/>
      <c r="J242" s="106"/>
      <c r="K242" s="106"/>
      <c r="N242" s="219"/>
      <c r="S242" s="219"/>
      <c r="T242" s="106"/>
      <c r="U242" s="106"/>
      <c r="X242" s="219"/>
      <c r="AB242" s="106"/>
      <c r="AE242" s="219"/>
      <c r="AI242" s="106"/>
      <c r="AJ242" s="219"/>
      <c r="AN242" s="106"/>
      <c r="BA242" s="220"/>
      <c r="BC242" s="220"/>
      <c r="BE242" s="220"/>
      <c r="BG242" s="220"/>
    </row>
    <row r="243" spans="9:59" x14ac:dyDescent="0.25">
      <c r="I243" s="219"/>
      <c r="J243" s="106"/>
      <c r="K243" s="106"/>
      <c r="N243" s="219"/>
      <c r="S243" s="219"/>
      <c r="T243" s="106"/>
      <c r="U243" s="106"/>
      <c r="X243" s="219"/>
      <c r="AB243" s="106"/>
      <c r="AE243" s="219"/>
      <c r="AI243" s="106"/>
      <c r="AJ243" s="219"/>
      <c r="AN243" s="106"/>
      <c r="BA243" s="220"/>
      <c r="BC243" s="220"/>
      <c r="BE243" s="220"/>
      <c r="BG243" s="220"/>
    </row>
    <row r="244" spans="9:59" x14ac:dyDescent="0.25">
      <c r="I244" s="219"/>
      <c r="J244" s="106"/>
      <c r="K244" s="106"/>
      <c r="N244" s="219"/>
      <c r="S244" s="219"/>
      <c r="T244" s="106"/>
      <c r="U244" s="106"/>
      <c r="X244" s="219"/>
      <c r="AB244" s="106"/>
      <c r="AE244" s="219"/>
      <c r="AI244" s="106"/>
      <c r="AJ244" s="219"/>
      <c r="AN244" s="106"/>
      <c r="BA244" s="220"/>
      <c r="BC244" s="220"/>
      <c r="BE244" s="220"/>
      <c r="BG244" s="220"/>
    </row>
    <row r="245" spans="9:59" x14ac:dyDescent="0.25">
      <c r="I245" s="219"/>
      <c r="J245" s="106"/>
      <c r="K245" s="106"/>
      <c r="N245" s="219"/>
      <c r="S245" s="219"/>
      <c r="T245" s="106"/>
      <c r="U245" s="106"/>
      <c r="X245" s="219"/>
      <c r="AB245" s="106"/>
      <c r="AE245" s="219"/>
      <c r="AI245" s="106"/>
      <c r="AJ245" s="219"/>
      <c r="AN245" s="106"/>
      <c r="BA245" s="220"/>
      <c r="BC245" s="220"/>
      <c r="BE245" s="220"/>
      <c r="BG245" s="220"/>
    </row>
    <row r="246" spans="9:59" x14ac:dyDescent="0.25">
      <c r="I246" s="219"/>
      <c r="J246" s="106"/>
      <c r="K246" s="106"/>
      <c r="N246" s="219"/>
      <c r="S246" s="219"/>
      <c r="T246" s="106"/>
      <c r="U246" s="106"/>
      <c r="X246" s="219"/>
      <c r="AB246" s="106"/>
      <c r="AE246" s="219"/>
      <c r="AI246" s="106"/>
      <c r="AJ246" s="219"/>
      <c r="AN246" s="106"/>
      <c r="BA246" s="220"/>
      <c r="BC246" s="220"/>
      <c r="BE246" s="220"/>
      <c r="BG246" s="220"/>
    </row>
    <row r="247" spans="9:59" x14ac:dyDescent="0.25">
      <c r="I247" s="219"/>
      <c r="J247" s="106"/>
      <c r="K247" s="106"/>
      <c r="N247" s="219"/>
      <c r="S247" s="219"/>
      <c r="T247" s="106"/>
      <c r="U247" s="106"/>
      <c r="X247" s="219"/>
      <c r="AB247" s="106"/>
      <c r="AE247" s="219"/>
      <c r="AI247" s="106"/>
      <c r="AJ247" s="219"/>
      <c r="AN247" s="106"/>
      <c r="BA247" s="220"/>
      <c r="BC247" s="220"/>
      <c r="BE247" s="220"/>
      <c r="BG247" s="220"/>
    </row>
    <row r="248" spans="9:59" x14ac:dyDescent="0.25">
      <c r="I248" s="219"/>
      <c r="J248" s="106"/>
      <c r="K248" s="106"/>
      <c r="N248" s="219"/>
      <c r="S248" s="219"/>
      <c r="T248" s="106"/>
      <c r="U248" s="106"/>
      <c r="X248" s="219"/>
      <c r="AB248" s="106"/>
      <c r="AE248" s="219"/>
      <c r="AI248" s="106"/>
      <c r="AJ248" s="219"/>
      <c r="AN248" s="106"/>
      <c r="BA248" s="220"/>
      <c r="BC248" s="220"/>
      <c r="BE248" s="220"/>
      <c r="BG248" s="220"/>
    </row>
    <row r="249" spans="9:59" x14ac:dyDescent="0.25">
      <c r="I249" s="219"/>
      <c r="J249" s="106"/>
      <c r="K249" s="106"/>
      <c r="N249" s="219"/>
      <c r="S249" s="219"/>
      <c r="T249" s="106"/>
      <c r="U249" s="106"/>
      <c r="X249" s="219"/>
      <c r="AB249" s="106"/>
      <c r="AE249" s="219"/>
      <c r="AI249" s="106"/>
      <c r="AJ249" s="219"/>
      <c r="AN249" s="106"/>
      <c r="BA249" s="220"/>
      <c r="BC249" s="220"/>
      <c r="BE249" s="220"/>
      <c r="BG249" s="220"/>
    </row>
    <row r="250" spans="9:59" x14ac:dyDescent="0.25">
      <c r="I250" s="219"/>
      <c r="J250" s="106"/>
      <c r="K250" s="106"/>
      <c r="N250" s="219"/>
      <c r="S250" s="219"/>
      <c r="T250" s="106"/>
      <c r="U250" s="106"/>
      <c r="X250" s="219"/>
      <c r="AB250" s="106"/>
      <c r="AE250" s="219"/>
      <c r="AI250" s="106"/>
      <c r="AJ250" s="219"/>
      <c r="AN250" s="106"/>
      <c r="BA250" s="220"/>
      <c r="BC250" s="220"/>
      <c r="BE250" s="220"/>
      <c r="BG250" s="220"/>
    </row>
    <row r="251" spans="9:59" x14ac:dyDescent="0.25">
      <c r="I251" s="219"/>
      <c r="J251" s="106"/>
      <c r="K251" s="106"/>
      <c r="N251" s="219"/>
      <c r="S251" s="219"/>
      <c r="T251" s="106"/>
      <c r="U251" s="106"/>
      <c r="X251" s="219"/>
      <c r="AB251" s="106"/>
      <c r="AE251" s="219"/>
      <c r="AI251" s="106"/>
      <c r="AJ251" s="219"/>
      <c r="AN251" s="106"/>
      <c r="BA251" s="220"/>
      <c r="BC251" s="220"/>
      <c r="BE251" s="220"/>
      <c r="BG251" s="220"/>
    </row>
    <row r="252" spans="9:59" x14ac:dyDescent="0.25">
      <c r="I252" s="219"/>
      <c r="J252" s="106"/>
      <c r="K252" s="106"/>
      <c r="N252" s="219"/>
      <c r="S252" s="219"/>
      <c r="T252" s="106"/>
      <c r="U252" s="106"/>
      <c r="X252" s="219"/>
      <c r="AB252" s="106"/>
      <c r="AE252" s="219"/>
      <c r="AI252" s="106"/>
      <c r="AJ252" s="219"/>
      <c r="AN252" s="106"/>
      <c r="BA252" s="220"/>
      <c r="BC252" s="220"/>
      <c r="BE252" s="220"/>
      <c r="BG252" s="220"/>
    </row>
    <row r="253" spans="9:59" x14ac:dyDescent="0.25">
      <c r="I253" s="219"/>
      <c r="J253" s="106"/>
      <c r="K253" s="106"/>
      <c r="N253" s="219"/>
      <c r="S253" s="219"/>
      <c r="T253" s="106"/>
      <c r="U253" s="106"/>
      <c r="X253" s="219"/>
      <c r="AB253" s="106"/>
      <c r="AE253" s="219"/>
      <c r="AI253" s="106"/>
      <c r="AJ253" s="219"/>
      <c r="AN253" s="106"/>
      <c r="BA253" s="220"/>
      <c r="BC253" s="220"/>
      <c r="BE253" s="220"/>
      <c r="BG253" s="220"/>
    </row>
    <row r="254" spans="9:59" x14ac:dyDescent="0.25">
      <c r="I254" s="219"/>
      <c r="J254" s="106"/>
      <c r="K254" s="106"/>
      <c r="N254" s="219"/>
      <c r="S254" s="219"/>
      <c r="T254" s="106"/>
      <c r="U254" s="106"/>
      <c r="X254" s="219"/>
      <c r="AB254" s="106"/>
      <c r="AE254" s="219"/>
      <c r="AI254" s="106"/>
      <c r="AJ254" s="219"/>
      <c r="AN254" s="106"/>
      <c r="BA254" s="220"/>
      <c r="BC254" s="220"/>
      <c r="BE254" s="220"/>
      <c r="BG254" s="220"/>
    </row>
    <row r="255" spans="9:59" x14ac:dyDescent="0.25">
      <c r="I255" s="219"/>
      <c r="J255" s="106"/>
      <c r="K255" s="106"/>
      <c r="N255" s="219"/>
      <c r="S255" s="219"/>
      <c r="T255" s="106"/>
      <c r="U255" s="106"/>
      <c r="X255" s="219"/>
      <c r="AB255" s="106"/>
      <c r="AE255" s="219"/>
      <c r="AI255" s="106"/>
      <c r="AJ255" s="219"/>
      <c r="AN255" s="106"/>
      <c r="BA255" s="220"/>
      <c r="BC255" s="220"/>
      <c r="BE255" s="220"/>
      <c r="BG255" s="220"/>
    </row>
    <row r="256" spans="9:59" x14ac:dyDescent="0.25">
      <c r="I256" s="219"/>
      <c r="J256" s="106"/>
      <c r="K256" s="106"/>
      <c r="N256" s="219"/>
      <c r="S256" s="219"/>
      <c r="T256" s="106"/>
      <c r="U256" s="106"/>
      <c r="X256" s="219"/>
      <c r="AB256" s="106"/>
      <c r="AE256" s="219"/>
      <c r="AI256" s="106"/>
      <c r="AJ256" s="219"/>
      <c r="AN256" s="106"/>
      <c r="BA256" s="220"/>
      <c r="BC256" s="220"/>
      <c r="BE256" s="220"/>
      <c r="BG256" s="220"/>
    </row>
    <row r="257" spans="9:59" x14ac:dyDescent="0.25">
      <c r="I257" s="219"/>
      <c r="J257" s="106"/>
      <c r="K257" s="106"/>
      <c r="N257" s="219"/>
      <c r="S257" s="219"/>
      <c r="T257" s="106"/>
      <c r="U257" s="106"/>
      <c r="X257" s="219"/>
      <c r="AB257" s="106"/>
      <c r="AE257" s="219"/>
      <c r="AI257" s="106"/>
      <c r="AJ257" s="219"/>
      <c r="AN257" s="106"/>
      <c r="BA257" s="220"/>
      <c r="BC257" s="220"/>
      <c r="BE257" s="220"/>
      <c r="BG257" s="220"/>
    </row>
    <row r="258" spans="9:59" x14ac:dyDescent="0.25">
      <c r="I258" s="219"/>
      <c r="J258" s="106"/>
      <c r="K258" s="106"/>
      <c r="N258" s="219"/>
      <c r="S258" s="219"/>
      <c r="T258" s="106"/>
      <c r="U258" s="106"/>
      <c r="X258" s="219"/>
      <c r="AB258" s="106"/>
      <c r="AE258" s="219"/>
      <c r="AI258" s="106"/>
      <c r="AJ258" s="219"/>
      <c r="AN258" s="106"/>
      <c r="BA258" s="220"/>
      <c r="BC258" s="220"/>
      <c r="BE258" s="220"/>
      <c r="BG258" s="220"/>
    </row>
    <row r="259" spans="9:59" x14ac:dyDescent="0.25">
      <c r="I259" s="219"/>
      <c r="J259" s="106"/>
      <c r="K259" s="106"/>
      <c r="N259" s="219"/>
      <c r="S259" s="219"/>
      <c r="T259" s="106"/>
      <c r="U259" s="106"/>
      <c r="X259" s="219"/>
      <c r="AB259" s="106"/>
      <c r="AE259" s="219"/>
      <c r="AI259" s="106"/>
      <c r="AJ259" s="219"/>
      <c r="AN259" s="106"/>
      <c r="BA259" s="220"/>
      <c r="BC259" s="220"/>
      <c r="BE259" s="220"/>
      <c r="BG259" s="220"/>
    </row>
    <row r="260" spans="9:59" x14ac:dyDescent="0.25">
      <c r="I260" s="219"/>
      <c r="J260" s="106"/>
      <c r="K260" s="106"/>
      <c r="N260" s="219"/>
      <c r="S260" s="219"/>
      <c r="T260" s="106"/>
      <c r="U260" s="106"/>
      <c r="X260" s="219"/>
      <c r="AB260" s="106"/>
      <c r="AE260" s="219"/>
      <c r="AI260" s="106"/>
      <c r="AJ260" s="219"/>
      <c r="AN260" s="106"/>
      <c r="BA260" s="220"/>
      <c r="BC260" s="220"/>
      <c r="BE260" s="220"/>
      <c r="BG260" s="220"/>
    </row>
    <row r="261" spans="9:59" x14ac:dyDescent="0.25">
      <c r="I261" s="219"/>
      <c r="J261" s="106"/>
      <c r="K261" s="106"/>
      <c r="N261" s="219"/>
      <c r="S261" s="219"/>
      <c r="T261" s="106"/>
      <c r="U261" s="106"/>
      <c r="X261" s="219"/>
      <c r="AB261" s="106"/>
      <c r="AE261" s="219"/>
      <c r="AI261" s="106"/>
      <c r="AJ261" s="219"/>
      <c r="AN261" s="106"/>
      <c r="BA261" s="220"/>
      <c r="BC261" s="220"/>
      <c r="BE261" s="220"/>
      <c r="BG261" s="220"/>
    </row>
    <row r="262" spans="9:59" x14ac:dyDescent="0.25">
      <c r="I262" s="219"/>
      <c r="J262" s="106"/>
      <c r="K262" s="106"/>
      <c r="N262" s="219"/>
      <c r="S262" s="219"/>
      <c r="T262" s="106"/>
      <c r="U262" s="106"/>
      <c r="X262" s="219"/>
      <c r="AB262" s="106"/>
      <c r="AE262" s="219"/>
      <c r="AI262" s="106"/>
      <c r="AJ262" s="219"/>
      <c r="AN262" s="106"/>
      <c r="BA262" s="220"/>
      <c r="BC262" s="220"/>
      <c r="BE262" s="220"/>
      <c r="BG262" s="220"/>
    </row>
    <row r="263" spans="9:59" x14ac:dyDescent="0.25">
      <c r="I263" s="219"/>
      <c r="J263" s="106"/>
      <c r="K263" s="106"/>
      <c r="N263" s="219"/>
      <c r="S263" s="219"/>
      <c r="T263" s="106"/>
      <c r="U263" s="106"/>
      <c r="X263" s="219"/>
      <c r="AB263" s="106"/>
      <c r="AE263" s="219"/>
      <c r="AI263" s="106"/>
      <c r="AJ263" s="219"/>
      <c r="AN263" s="106"/>
      <c r="BA263" s="220"/>
      <c r="BC263" s="220"/>
      <c r="BE263" s="220"/>
      <c r="BG263" s="220"/>
    </row>
    <row r="264" spans="9:59" x14ac:dyDescent="0.25">
      <c r="I264" s="219"/>
      <c r="J264" s="106"/>
      <c r="K264" s="106"/>
      <c r="N264" s="219"/>
      <c r="S264" s="219"/>
      <c r="T264" s="106"/>
      <c r="U264" s="106"/>
      <c r="X264" s="219"/>
      <c r="AB264" s="106"/>
      <c r="AE264" s="219"/>
      <c r="AI264" s="106"/>
      <c r="AJ264" s="219"/>
      <c r="AN264" s="106"/>
      <c r="BA264" s="220"/>
      <c r="BC264" s="220"/>
      <c r="BE264" s="220"/>
      <c r="BG264" s="220"/>
    </row>
    <row r="265" spans="9:59" x14ac:dyDescent="0.25">
      <c r="I265" s="219"/>
      <c r="J265" s="106"/>
      <c r="K265" s="106"/>
      <c r="N265" s="219"/>
      <c r="S265" s="219"/>
      <c r="T265" s="106"/>
      <c r="U265" s="106"/>
      <c r="X265" s="219"/>
      <c r="AB265" s="106"/>
      <c r="AE265" s="219"/>
      <c r="AI265" s="106"/>
      <c r="AJ265" s="219"/>
      <c r="AN265" s="106"/>
      <c r="BA265" s="220"/>
      <c r="BC265" s="220"/>
      <c r="BE265" s="220"/>
      <c r="BG265" s="220"/>
    </row>
    <row r="266" spans="9:59" x14ac:dyDescent="0.25">
      <c r="I266" s="219"/>
      <c r="J266" s="106"/>
      <c r="K266" s="106"/>
      <c r="N266" s="219"/>
      <c r="S266" s="219"/>
      <c r="T266" s="106"/>
      <c r="U266" s="106"/>
      <c r="X266" s="219"/>
      <c r="AB266" s="106"/>
      <c r="AE266" s="219"/>
      <c r="AI266" s="106"/>
      <c r="AJ266" s="219"/>
      <c r="AN266" s="106"/>
      <c r="BA266" s="220"/>
      <c r="BC266" s="220"/>
      <c r="BE266" s="220"/>
      <c r="BG266" s="220"/>
    </row>
    <row r="267" spans="9:59" x14ac:dyDescent="0.25">
      <c r="I267" s="219"/>
      <c r="J267" s="106"/>
      <c r="K267" s="106"/>
      <c r="N267" s="219"/>
      <c r="S267" s="219"/>
      <c r="T267" s="106"/>
      <c r="U267" s="106"/>
      <c r="X267" s="219"/>
      <c r="AB267" s="106"/>
      <c r="AE267" s="219"/>
      <c r="AI267" s="106"/>
      <c r="AJ267" s="219"/>
      <c r="AN267" s="106"/>
      <c r="BA267" s="220"/>
      <c r="BC267" s="220"/>
      <c r="BE267" s="220"/>
      <c r="BG267" s="220"/>
    </row>
    <row r="268" spans="9:59" x14ac:dyDescent="0.25">
      <c r="I268" s="219"/>
      <c r="J268" s="106"/>
      <c r="K268" s="106"/>
      <c r="N268" s="219"/>
      <c r="S268" s="219"/>
      <c r="T268" s="106"/>
      <c r="U268" s="106"/>
      <c r="X268" s="219"/>
      <c r="AB268" s="106"/>
      <c r="AE268" s="219"/>
      <c r="AI268" s="106"/>
      <c r="AJ268" s="219"/>
      <c r="AN268" s="106"/>
      <c r="BA268" s="220"/>
      <c r="BC268" s="220"/>
      <c r="BE268" s="220"/>
      <c r="BG268" s="220"/>
    </row>
    <row r="269" spans="9:59" x14ac:dyDescent="0.25">
      <c r="I269" s="219"/>
      <c r="J269" s="106"/>
      <c r="K269" s="106"/>
      <c r="N269" s="219"/>
      <c r="S269" s="219"/>
      <c r="T269" s="106"/>
      <c r="U269" s="106"/>
      <c r="X269" s="219"/>
      <c r="AB269" s="106"/>
      <c r="AE269" s="219"/>
      <c r="AI269" s="106"/>
      <c r="AJ269" s="219"/>
      <c r="AN269" s="106"/>
      <c r="BA269" s="220"/>
      <c r="BC269" s="220"/>
      <c r="BE269" s="220"/>
      <c r="BG269" s="220"/>
    </row>
    <row r="270" spans="9:59" x14ac:dyDescent="0.25">
      <c r="I270" s="219"/>
      <c r="J270" s="106"/>
      <c r="K270" s="106"/>
      <c r="N270" s="219"/>
      <c r="S270" s="219"/>
      <c r="T270" s="106"/>
      <c r="U270" s="106"/>
      <c r="X270" s="219"/>
      <c r="AB270" s="106"/>
      <c r="AE270" s="219"/>
      <c r="AI270" s="106"/>
      <c r="AJ270" s="219"/>
      <c r="AN270" s="106"/>
      <c r="BA270" s="220"/>
      <c r="BC270" s="220"/>
      <c r="BE270" s="220"/>
      <c r="BG270" s="220"/>
    </row>
    <row r="271" spans="9:59" x14ac:dyDescent="0.25">
      <c r="I271" s="219"/>
      <c r="J271" s="106"/>
      <c r="K271" s="106"/>
      <c r="N271" s="219"/>
      <c r="S271" s="219"/>
      <c r="T271" s="106"/>
      <c r="U271" s="106"/>
      <c r="X271" s="219"/>
      <c r="AB271" s="106"/>
      <c r="AE271" s="219"/>
      <c r="AI271" s="106"/>
      <c r="AJ271" s="219"/>
      <c r="AN271" s="106"/>
      <c r="BA271" s="220"/>
      <c r="BC271" s="220"/>
      <c r="BE271" s="220"/>
      <c r="BG271" s="220"/>
    </row>
    <row r="272" spans="9:59" x14ac:dyDescent="0.25">
      <c r="I272" s="219"/>
      <c r="J272" s="106"/>
      <c r="K272" s="106"/>
      <c r="N272" s="219"/>
      <c r="S272" s="219"/>
      <c r="T272" s="106"/>
      <c r="U272" s="106"/>
      <c r="X272" s="219"/>
      <c r="AB272" s="106"/>
      <c r="AE272" s="219"/>
      <c r="AI272" s="106"/>
      <c r="AJ272" s="219"/>
      <c r="AN272" s="106"/>
      <c r="BA272" s="220"/>
      <c r="BC272" s="220"/>
      <c r="BE272" s="220"/>
      <c r="BG272" s="220"/>
    </row>
    <row r="273" spans="9:59" x14ac:dyDescent="0.25">
      <c r="I273" s="219"/>
      <c r="J273" s="106"/>
      <c r="K273" s="106"/>
      <c r="N273" s="219"/>
      <c r="S273" s="219"/>
      <c r="T273" s="106"/>
      <c r="U273" s="106"/>
      <c r="X273" s="219"/>
      <c r="AB273" s="106"/>
      <c r="AE273" s="219"/>
      <c r="AI273" s="106"/>
      <c r="AJ273" s="219"/>
      <c r="AN273" s="106"/>
      <c r="BA273" s="220"/>
      <c r="BC273" s="220"/>
      <c r="BE273" s="220"/>
      <c r="BG273" s="220"/>
    </row>
    <row r="274" spans="9:59" x14ac:dyDescent="0.25">
      <c r="I274" s="219"/>
      <c r="J274" s="106"/>
      <c r="K274" s="106"/>
      <c r="N274" s="219"/>
      <c r="S274" s="219"/>
      <c r="T274" s="106"/>
      <c r="U274" s="106"/>
      <c r="X274" s="219"/>
      <c r="AB274" s="106"/>
      <c r="AE274" s="219"/>
      <c r="AI274" s="106"/>
      <c r="AJ274" s="219"/>
      <c r="AN274" s="106"/>
      <c r="BA274" s="220"/>
      <c r="BC274" s="220"/>
      <c r="BE274" s="220"/>
      <c r="BG274" s="220"/>
    </row>
    <row r="275" spans="9:59" x14ac:dyDescent="0.25">
      <c r="I275" s="219"/>
      <c r="J275" s="106"/>
      <c r="K275" s="106"/>
      <c r="N275" s="219"/>
      <c r="S275" s="219"/>
      <c r="T275" s="106"/>
      <c r="U275" s="106"/>
      <c r="X275" s="219"/>
      <c r="AB275" s="106"/>
      <c r="AE275" s="219"/>
      <c r="AI275" s="106"/>
      <c r="AJ275" s="219"/>
      <c r="AN275" s="106"/>
      <c r="BA275" s="220"/>
      <c r="BC275" s="220"/>
      <c r="BE275" s="220"/>
      <c r="BG275" s="220"/>
    </row>
    <row r="276" spans="9:59" x14ac:dyDescent="0.25">
      <c r="I276" s="219"/>
      <c r="J276" s="106"/>
      <c r="K276" s="106"/>
      <c r="N276" s="219"/>
      <c r="S276" s="219"/>
      <c r="T276" s="106"/>
      <c r="U276" s="106"/>
      <c r="X276" s="219"/>
      <c r="AB276" s="106"/>
      <c r="AE276" s="219"/>
      <c r="AI276" s="106"/>
      <c r="AJ276" s="219"/>
      <c r="AN276" s="106"/>
      <c r="BA276" s="220"/>
      <c r="BC276" s="220"/>
      <c r="BE276" s="220"/>
      <c r="BG276" s="220"/>
    </row>
    <row r="277" spans="9:59" x14ac:dyDescent="0.25">
      <c r="I277" s="219"/>
      <c r="J277" s="106"/>
      <c r="K277" s="106"/>
      <c r="N277" s="219"/>
      <c r="S277" s="219"/>
      <c r="T277" s="106"/>
      <c r="U277" s="106"/>
      <c r="X277" s="219"/>
      <c r="AB277" s="106"/>
      <c r="AE277" s="219"/>
      <c r="AI277" s="106"/>
      <c r="AJ277" s="219"/>
      <c r="AN277" s="106"/>
      <c r="BA277" s="220"/>
      <c r="BC277" s="220"/>
      <c r="BE277" s="220"/>
      <c r="BG277" s="220"/>
    </row>
    <row r="278" spans="9:59" x14ac:dyDescent="0.25">
      <c r="I278" s="219"/>
      <c r="J278" s="106"/>
      <c r="K278" s="106"/>
      <c r="N278" s="219"/>
      <c r="S278" s="219"/>
      <c r="T278" s="106"/>
      <c r="U278" s="106"/>
      <c r="X278" s="219"/>
      <c r="AB278" s="106"/>
      <c r="AE278" s="219"/>
      <c r="AI278" s="106"/>
      <c r="AJ278" s="219"/>
      <c r="AN278" s="106"/>
      <c r="BA278" s="220"/>
      <c r="BC278" s="220"/>
      <c r="BE278" s="220"/>
      <c r="BG278" s="220"/>
    </row>
    <row r="279" spans="9:59" x14ac:dyDescent="0.25">
      <c r="I279" s="219"/>
      <c r="J279" s="106"/>
      <c r="K279" s="106"/>
      <c r="N279" s="219"/>
      <c r="S279" s="219"/>
      <c r="T279" s="106"/>
      <c r="U279" s="106"/>
      <c r="X279" s="219"/>
      <c r="AB279" s="106"/>
      <c r="AE279" s="219"/>
      <c r="AI279" s="106"/>
      <c r="AJ279" s="219"/>
      <c r="AN279" s="106"/>
      <c r="BA279" s="220"/>
      <c r="BC279" s="220"/>
      <c r="BE279" s="220"/>
      <c r="BG279" s="220"/>
    </row>
    <row r="280" spans="9:59" x14ac:dyDescent="0.25">
      <c r="I280" s="219"/>
      <c r="J280" s="106"/>
      <c r="K280" s="106"/>
      <c r="N280" s="219"/>
      <c r="S280" s="219"/>
      <c r="T280" s="106"/>
      <c r="U280" s="106"/>
      <c r="X280" s="219"/>
      <c r="AB280" s="106"/>
      <c r="AE280" s="219"/>
      <c r="AI280" s="106"/>
      <c r="AJ280" s="219"/>
      <c r="AN280" s="106"/>
      <c r="BA280" s="220"/>
      <c r="BC280" s="220"/>
      <c r="BE280" s="220"/>
      <c r="BG280" s="220"/>
    </row>
    <row r="281" spans="9:59" x14ac:dyDescent="0.25">
      <c r="I281" s="219"/>
      <c r="J281" s="106"/>
      <c r="K281" s="106"/>
      <c r="N281" s="219"/>
      <c r="S281" s="219"/>
      <c r="T281" s="106"/>
      <c r="U281" s="106"/>
      <c r="X281" s="219"/>
      <c r="AB281" s="106"/>
      <c r="AE281" s="219"/>
      <c r="AI281" s="106"/>
      <c r="AJ281" s="219"/>
      <c r="AN281" s="106"/>
      <c r="BA281" s="220"/>
      <c r="BC281" s="220"/>
      <c r="BE281" s="220"/>
      <c r="BG281" s="220"/>
    </row>
    <row r="282" spans="9:59" x14ac:dyDescent="0.25">
      <c r="I282" s="219"/>
      <c r="J282" s="106"/>
      <c r="K282" s="106"/>
      <c r="N282" s="219"/>
      <c r="S282" s="219"/>
      <c r="T282" s="106"/>
      <c r="U282" s="106"/>
      <c r="X282" s="219"/>
      <c r="AB282" s="106"/>
      <c r="AE282" s="219"/>
      <c r="AI282" s="106"/>
      <c r="AJ282" s="219"/>
      <c r="AN282" s="106"/>
      <c r="BA282" s="220"/>
      <c r="BC282" s="220"/>
      <c r="BE282" s="220"/>
      <c r="BG282" s="220"/>
    </row>
    <row r="283" spans="9:59" x14ac:dyDescent="0.25">
      <c r="I283" s="219"/>
      <c r="J283" s="106"/>
      <c r="K283" s="106"/>
      <c r="N283" s="219"/>
      <c r="S283" s="219"/>
      <c r="T283" s="106"/>
      <c r="U283" s="106"/>
      <c r="X283" s="219"/>
      <c r="AB283" s="106"/>
      <c r="AE283" s="219"/>
      <c r="AI283" s="106"/>
      <c r="AJ283" s="219"/>
      <c r="AN283" s="106"/>
      <c r="BA283" s="220"/>
      <c r="BC283" s="220"/>
      <c r="BE283" s="220"/>
      <c r="BG283" s="220"/>
    </row>
    <row r="284" spans="9:59" x14ac:dyDescent="0.25">
      <c r="I284" s="219"/>
      <c r="J284" s="106"/>
      <c r="K284" s="106"/>
      <c r="N284" s="219"/>
      <c r="S284" s="219"/>
      <c r="T284" s="106"/>
      <c r="U284" s="106"/>
      <c r="X284" s="219"/>
      <c r="AB284" s="106"/>
      <c r="AE284" s="219"/>
      <c r="AI284" s="106"/>
      <c r="AJ284" s="219"/>
      <c r="AN284" s="106"/>
      <c r="BA284" s="220"/>
      <c r="BC284" s="220"/>
      <c r="BE284" s="220"/>
      <c r="BG284" s="220"/>
    </row>
    <row r="285" spans="9:59" x14ac:dyDescent="0.25">
      <c r="I285" s="219"/>
      <c r="J285" s="106"/>
      <c r="K285" s="106"/>
      <c r="N285" s="219"/>
      <c r="S285" s="219"/>
      <c r="T285" s="106"/>
      <c r="U285" s="106"/>
      <c r="X285" s="219"/>
      <c r="AB285" s="106"/>
      <c r="AE285" s="219"/>
      <c r="AI285" s="106"/>
      <c r="AJ285" s="219"/>
      <c r="AN285" s="106"/>
      <c r="BA285" s="220"/>
      <c r="BC285" s="220"/>
      <c r="BE285" s="220"/>
      <c r="BG285" s="220"/>
    </row>
    <row r="286" spans="9:59" x14ac:dyDescent="0.25">
      <c r="I286" s="219"/>
      <c r="J286" s="106"/>
      <c r="K286" s="106"/>
      <c r="N286" s="219"/>
      <c r="S286" s="219"/>
      <c r="T286" s="106"/>
      <c r="U286" s="106"/>
      <c r="X286" s="219"/>
      <c r="AB286" s="106"/>
      <c r="AE286" s="219"/>
      <c r="AI286" s="106"/>
      <c r="AJ286" s="219"/>
      <c r="AN286" s="106"/>
      <c r="BA286" s="220"/>
      <c r="BC286" s="220"/>
      <c r="BE286" s="220"/>
      <c r="BG286" s="220"/>
    </row>
    <row r="287" spans="9:59" x14ac:dyDescent="0.25">
      <c r="I287" s="219"/>
      <c r="J287" s="106"/>
      <c r="K287" s="106"/>
      <c r="N287" s="219"/>
      <c r="S287" s="219"/>
      <c r="T287" s="106"/>
      <c r="U287" s="106"/>
      <c r="X287" s="219"/>
      <c r="AB287" s="106"/>
      <c r="AE287" s="219"/>
      <c r="AI287" s="106"/>
      <c r="AJ287" s="219"/>
      <c r="AN287" s="106"/>
      <c r="BA287" s="220"/>
      <c r="BC287" s="220"/>
      <c r="BE287" s="220"/>
      <c r="BG287" s="220"/>
    </row>
    <row r="288" spans="9:59" x14ac:dyDescent="0.25">
      <c r="I288" s="219"/>
      <c r="J288" s="106"/>
      <c r="K288" s="106"/>
      <c r="N288" s="219"/>
      <c r="S288" s="219"/>
      <c r="T288" s="106"/>
      <c r="U288" s="106"/>
      <c r="X288" s="219"/>
      <c r="AB288" s="106"/>
      <c r="AE288" s="219"/>
      <c r="AI288" s="106"/>
      <c r="AJ288" s="219"/>
      <c r="AN288" s="106"/>
      <c r="BA288" s="220"/>
      <c r="BC288" s="220"/>
      <c r="BE288" s="220"/>
      <c r="BG288" s="220"/>
    </row>
    <row r="289" spans="9:59" x14ac:dyDescent="0.25">
      <c r="I289" s="219"/>
      <c r="J289" s="106"/>
      <c r="K289" s="106"/>
      <c r="N289" s="219"/>
      <c r="S289" s="219"/>
      <c r="T289" s="106"/>
      <c r="U289" s="106"/>
      <c r="X289" s="219"/>
      <c r="AB289" s="106"/>
      <c r="AE289" s="219"/>
      <c r="AI289" s="106"/>
      <c r="AJ289" s="219"/>
      <c r="AN289" s="106"/>
      <c r="BA289" s="220"/>
      <c r="BC289" s="220"/>
      <c r="BE289" s="220"/>
      <c r="BG289" s="220"/>
    </row>
    <row r="290" spans="9:59" x14ac:dyDescent="0.25">
      <c r="I290" s="219"/>
      <c r="J290" s="106"/>
      <c r="K290" s="106"/>
      <c r="N290" s="219"/>
      <c r="S290" s="219"/>
      <c r="T290" s="106"/>
      <c r="U290" s="106"/>
      <c r="X290" s="219"/>
      <c r="AB290" s="106"/>
      <c r="AE290" s="219"/>
      <c r="AI290" s="106"/>
      <c r="AJ290" s="219"/>
      <c r="AN290" s="106"/>
      <c r="BA290" s="220"/>
      <c r="BC290" s="220"/>
      <c r="BE290" s="220"/>
      <c r="BG290" s="220"/>
    </row>
    <row r="291" spans="9:59" x14ac:dyDescent="0.25">
      <c r="I291" s="219"/>
      <c r="J291" s="106"/>
      <c r="K291" s="106"/>
      <c r="N291" s="219"/>
      <c r="S291" s="219"/>
      <c r="T291" s="106"/>
      <c r="U291" s="106"/>
      <c r="X291" s="219"/>
      <c r="AB291" s="106"/>
      <c r="AE291" s="219"/>
      <c r="AI291" s="106"/>
      <c r="AJ291" s="219"/>
      <c r="AN291" s="106"/>
      <c r="BA291" s="220"/>
      <c r="BC291" s="220"/>
      <c r="BE291" s="220"/>
      <c r="BG291" s="220"/>
    </row>
    <row r="292" spans="9:59" x14ac:dyDescent="0.25">
      <c r="I292" s="219"/>
      <c r="J292" s="106"/>
      <c r="K292" s="106"/>
      <c r="N292" s="219"/>
      <c r="S292" s="219"/>
      <c r="T292" s="106"/>
      <c r="U292" s="106"/>
      <c r="X292" s="219"/>
      <c r="AB292" s="106"/>
      <c r="AE292" s="219"/>
      <c r="AI292" s="106"/>
      <c r="AJ292" s="219"/>
      <c r="AN292" s="106"/>
      <c r="BA292" s="220"/>
      <c r="BC292" s="220"/>
      <c r="BE292" s="220"/>
      <c r="BG292" s="220"/>
    </row>
    <row r="293" spans="9:59" x14ac:dyDescent="0.25">
      <c r="I293" s="219"/>
      <c r="J293" s="106"/>
      <c r="K293" s="106"/>
      <c r="N293" s="219"/>
      <c r="S293" s="219"/>
      <c r="T293" s="106"/>
      <c r="U293" s="106"/>
      <c r="X293" s="219"/>
      <c r="AB293" s="106"/>
      <c r="AE293" s="219"/>
      <c r="AI293" s="106"/>
      <c r="AJ293" s="219"/>
      <c r="AN293" s="106"/>
      <c r="BA293" s="220"/>
      <c r="BC293" s="220"/>
      <c r="BE293" s="220"/>
      <c r="BG293" s="220"/>
    </row>
    <row r="294" spans="9:59" x14ac:dyDescent="0.25">
      <c r="I294" s="219"/>
      <c r="J294" s="106"/>
      <c r="K294" s="106"/>
      <c r="N294" s="219"/>
      <c r="S294" s="219"/>
      <c r="T294" s="106"/>
      <c r="U294" s="106"/>
      <c r="X294" s="219"/>
      <c r="AB294" s="106"/>
      <c r="AE294" s="219"/>
      <c r="AI294" s="106"/>
      <c r="AJ294" s="219"/>
      <c r="AN294" s="106"/>
      <c r="BA294" s="220"/>
      <c r="BC294" s="220"/>
      <c r="BE294" s="220"/>
      <c r="BG294" s="220"/>
    </row>
    <row r="295" spans="9:59" x14ac:dyDescent="0.25">
      <c r="I295" s="219"/>
      <c r="J295" s="106"/>
      <c r="K295" s="106"/>
      <c r="N295" s="219"/>
      <c r="S295" s="219"/>
      <c r="T295" s="106"/>
      <c r="U295" s="106"/>
      <c r="X295" s="219"/>
      <c r="AB295" s="106"/>
      <c r="AE295" s="219"/>
      <c r="AI295" s="106"/>
      <c r="AJ295" s="219"/>
      <c r="AN295" s="106"/>
      <c r="BA295" s="220"/>
      <c r="BC295" s="220"/>
      <c r="BE295" s="220"/>
      <c r="BG295" s="220"/>
    </row>
    <row r="296" spans="9:59" x14ac:dyDescent="0.25">
      <c r="I296" s="219"/>
      <c r="J296" s="106"/>
      <c r="K296" s="106"/>
      <c r="N296" s="219"/>
      <c r="S296" s="219"/>
      <c r="T296" s="106"/>
      <c r="U296" s="106"/>
      <c r="X296" s="219"/>
      <c r="AB296" s="106"/>
      <c r="AE296" s="219"/>
      <c r="AI296" s="106"/>
      <c r="AJ296" s="219"/>
      <c r="AN296" s="106"/>
      <c r="BA296" s="220"/>
      <c r="BC296" s="220"/>
      <c r="BE296" s="220"/>
      <c r="BG296" s="220"/>
    </row>
    <row r="297" spans="9:59" x14ac:dyDescent="0.25">
      <c r="I297" s="219"/>
      <c r="J297" s="106"/>
      <c r="K297" s="106"/>
      <c r="N297" s="219"/>
      <c r="S297" s="219"/>
      <c r="T297" s="106"/>
      <c r="U297" s="106"/>
      <c r="X297" s="219"/>
      <c r="AB297" s="106"/>
      <c r="AE297" s="219"/>
      <c r="AI297" s="106"/>
      <c r="AJ297" s="219"/>
      <c r="AN297" s="106"/>
      <c r="BA297" s="220"/>
      <c r="BC297" s="220"/>
      <c r="BE297" s="220"/>
      <c r="BG297" s="220"/>
    </row>
    <row r="298" spans="9:59" x14ac:dyDescent="0.25">
      <c r="I298" s="219"/>
      <c r="J298" s="106"/>
      <c r="K298" s="106"/>
      <c r="N298" s="219"/>
      <c r="S298" s="219"/>
      <c r="T298" s="106"/>
      <c r="U298" s="106"/>
      <c r="X298" s="219"/>
      <c r="AB298" s="106"/>
      <c r="AE298" s="219"/>
      <c r="AI298" s="106"/>
      <c r="AJ298" s="219"/>
      <c r="AN298" s="106"/>
      <c r="BA298" s="220"/>
      <c r="BC298" s="220"/>
      <c r="BE298" s="220"/>
      <c r="BG298" s="220"/>
    </row>
    <row r="299" spans="9:59" x14ac:dyDescent="0.25">
      <c r="I299" s="219"/>
      <c r="J299" s="106"/>
      <c r="K299" s="106"/>
      <c r="N299" s="219"/>
      <c r="S299" s="219"/>
      <c r="T299" s="106"/>
      <c r="U299" s="106"/>
      <c r="X299" s="219"/>
      <c r="AB299" s="106"/>
      <c r="AE299" s="219"/>
      <c r="AI299" s="106"/>
      <c r="AJ299" s="219"/>
      <c r="AN299" s="106"/>
      <c r="BA299" s="220"/>
      <c r="BC299" s="220"/>
      <c r="BE299" s="220"/>
      <c r="BG299" s="220"/>
    </row>
    <row r="300" spans="9:59" x14ac:dyDescent="0.25">
      <c r="I300" s="219"/>
      <c r="J300" s="106"/>
      <c r="K300" s="106"/>
      <c r="N300" s="219"/>
      <c r="S300" s="219"/>
      <c r="T300" s="106"/>
      <c r="U300" s="106"/>
      <c r="X300" s="219"/>
      <c r="AB300" s="106"/>
      <c r="AE300" s="219"/>
      <c r="AI300" s="106"/>
      <c r="AJ300" s="219"/>
      <c r="AN300" s="106"/>
      <c r="BA300" s="220"/>
      <c r="BC300" s="220"/>
      <c r="BE300" s="220"/>
      <c r="BG300" s="220"/>
    </row>
    <row r="301" spans="9:59" x14ac:dyDescent="0.25">
      <c r="I301" s="219"/>
      <c r="J301" s="106"/>
      <c r="K301" s="106"/>
      <c r="N301" s="219"/>
      <c r="S301" s="219"/>
      <c r="T301" s="106"/>
      <c r="U301" s="106"/>
      <c r="X301" s="219"/>
      <c r="AB301" s="106"/>
      <c r="AE301" s="219"/>
      <c r="AI301" s="106"/>
      <c r="AJ301" s="219"/>
      <c r="AN301" s="106"/>
      <c r="BA301" s="220"/>
      <c r="BC301" s="220"/>
      <c r="BE301" s="220"/>
      <c r="BG301" s="220"/>
    </row>
    <row r="302" spans="9:59" x14ac:dyDescent="0.25">
      <c r="I302" s="219"/>
      <c r="J302" s="106"/>
      <c r="K302" s="106"/>
      <c r="N302" s="219"/>
      <c r="S302" s="219"/>
      <c r="T302" s="106"/>
      <c r="U302" s="106"/>
      <c r="X302" s="219"/>
      <c r="AB302" s="106"/>
      <c r="AE302" s="219"/>
      <c r="AI302" s="106"/>
      <c r="AJ302" s="219"/>
      <c r="AN302" s="106"/>
      <c r="BA302" s="220"/>
      <c r="BC302" s="220"/>
      <c r="BE302" s="220"/>
      <c r="BG302" s="220"/>
    </row>
    <row r="303" spans="9:59" x14ac:dyDescent="0.25">
      <c r="I303" s="219"/>
      <c r="J303" s="106"/>
      <c r="K303" s="106"/>
      <c r="N303" s="219"/>
      <c r="S303" s="219"/>
      <c r="T303" s="106"/>
      <c r="U303" s="106"/>
      <c r="X303" s="219"/>
      <c r="AB303" s="106"/>
      <c r="AE303" s="219"/>
      <c r="AI303" s="106"/>
      <c r="AJ303" s="219"/>
      <c r="AN303" s="106"/>
      <c r="BA303" s="220"/>
      <c r="BC303" s="220"/>
      <c r="BE303" s="220"/>
      <c r="BG303" s="220"/>
    </row>
    <row r="304" spans="9:59" x14ac:dyDescent="0.25">
      <c r="I304" s="219"/>
      <c r="J304" s="106"/>
      <c r="K304" s="106"/>
      <c r="N304" s="219"/>
      <c r="S304" s="219"/>
      <c r="T304" s="106"/>
      <c r="U304" s="106"/>
      <c r="X304" s="219"/>
      <c r="AB304" s="106"/>
      <c r="AE304" s="219"/>
      <c r="AI304" s="106"/>
      <c r="AJ304" s="219"/>
      <c r="AN304" s="106"/>
      <c r="BA304" s="220"/>
      <c r="BC304" s="220"/>
      <c r="BE304" s="220"/>
      <c r="BG304" s="220"/>
    </row>
    <row r="305" spans="9:59" x14ac:dyDescent="0.25">
      <c r="I305" s="219"/>
      <c r="J305" s="106"/>
      <c r="K305" s="106"/>
      <c r="N305" s="219"/>
      <c r="S305" s="219"/>
      <c r="T305" s="106"/>
      <c r="U305" s="106"/>
      <c r="X305" s="219"/>
      <c r="AB305" s="106"/>
      <c r="AE305" s="219"/>
      <c r="AI305" s="106"/>
      <c r="AJ305" s="219"/>
      <c r="AN305" s="106"/>
      <c r="BA305" s="220"/>
      <c r="BC305" s="220"/>
      <c r="BE305" s="220"/>
      <c r="BG305" s="220"/>
    </row>
    <row r="306" spans="9:59" x14ac:dyDescent="0.25">
      <c r="I306" s="219"/>
      <c r="J306" s="106"/>
      <c r="K306" s="106"/>
      <c r="N306" s="219"/>
      <c r="S306" s="219"/>
      <c r="T306" s="106"/>
      <c r="U306" s="106"/>
      <c r="X306" s="219"/>
      <c r="AB306" s="106"/>
      <c r="AE306" s="219"/>
      <c r="AI306" s="106"/>
      <c r="AJ306" s="219"/>
      <c r="AN306" s="106"/>
      <c r="BA306" s="220"/>
      <c r="BC306" s="220"/>
      <c r="BE306" s="220"/>
      <c r="BG306" s="220"/>
    </row>
    <row r="307" spans="9:59" x14ac:dyDescent="0.25">
      <c r="I307" s="219"/>
      <c r="J307" s="106"/>
      <c r="K307" s="106"/>
      <c r="N307" s="219"/>
      <c r="S307" s="219"/>
      <c r="T307" s="106"/>
      <c r="U307" s="106"/>
      <c r="X307" s="219"/>
      <c r="AB307" s="106"/>
      <c r="AE307" s="219"/>
      <c r="AI307" s="106"/>
      <c r="AJ307" s="219"/>
      <c r="AN307" s="106"/>
      <c r="BA307" s="220"/>
      <c r="BC307" s="220"/>
      <c r="BE307" s="220"/>
      <c r="BG307" s="220"/>
    </row>
    <row r="308" spans="9:59" x14ac:dyDescent="0.25">
      <c r="I308" s="219"/>
      <c r="J308" s="106"/>
      <c r="K308" s="106"/>
      <c r="N308" s="219"/>
      <c r="S308" s="219"/>
      <c r="T308" s="106"/>
      <c r="U308" s="106"/>
      <c r="X308" s="219"/>
      <c r="AB308" s="106"/>
      <c r="AE308" s="219"/>
      <c r="AI308" s="106"/>
      <c r="AJ308" s="219"/>
      <c r="AN308" s="106"/>
      <c r="BA308" s="220"/>
      <c r="BC308" s="220"/>
      <c r="BE308" s="220"/>
      <c r="BG308" s="220"/>
    </row>
    <row r="309" spans="9:59" x14ac:dyDescent="0.25">
      <c r="I309" s="219"/>
      <c r="J309" s="106"/>
      <c r="K309" s="106"/>
      <c r="N309" s="219"/>
      <c r="S309" s="219"/>
      <c r="T309" s="106"/>
      <c r="U309" s="106"/>
      <c r="X309" s="219"/>
      <c r="AB309" s="106"/>
      <c r="AE309" s="219"/>
      <c r="AI309" s="106"/>
      <c r="AJ309" s="219"/>
      <c r="AN309" s="106"/>
      <c r="BA309" s="220"/>
      <c r="BC309" s="220"/>
      <c r="BE309" s="220"/>
      <c r="BG309" s="220"/>
    </row>
    <row r="310" spans="9:59" x14ac:dyDescent="0.25">
      <c r="I310" s="219"/>
      <c r="J310" s="106"/>
      <c r="K310" s="106"/>
      <c r="N310" s="219"/>
      <c r="S310" s="219"/>
      <c r="T310" s="106"/>
      <c r="U310" s="106"/>
      <c r="X310" s="219"/>
      <c r="AB310" s="106"/>
      <c r="AE310" s="219"/>
      <c r="AI310" s="106"/>
      <c r="AJ310" s="219"/>
      <c r="AN310" s="106"/>
      <c r="BA310" s="220"/>
      <c r="BC310" s="220"/>
      <c r="BE310" s="220"/>
      <c r="BG310" s="220"/>
    </row>
    <row r="311" spans="9:59" x14ac:dyDescent="0.25">
      <c r="I311" s="219"/>
      <c r="J311" s="106"/>
      <c r="K311" s="106"/>
      <c r="N311" s="219"/>
      <c r="S311" s="219"/>
      <c r="T311" s="106"/>
      <c r="U311" s="106"/>
      <c r="X311" s="219"/>
      <c r="AB311" s="106"/>
      <c r="AE311" s="219"/>
      <c r="AI311" s="106"/>
      <c r="AJ311" s="219"/>
      <c r="AN311" s="106"/>
      <c r="BA311" s="220"/>
      <c r="BC311" s="220"/>
      <c r="BE311" s="220"/>
      <c r="BG311" s="220"/>
    </row>
    <row r="312" spans="9:59" x14ac:dyDescent="0.25">
      <c r="I312" s="219"/>
      <c r="J312" s="106"/>
      <c r="K312" s="106"/>
      <c r="N312" s="219"/>
      <c r="S312" s="219"/>
      <c r="T312" s="106"/>
      <c r="U312" s="106"/>
      <c r="X312" s="219"/>
      <c r="AB312" s="106"/>
      <c r="AE312" s="219"/>
      <c r="AI312" s="106"/>
      <c r="AJ312" s="219"/>
      <c r="AN312" s="106"/>
      <c r="BA312" s="220"/>
      <c r="BC312" s="220"/>
      <c r="BE312" s="220"/>
      <c r="BG312" s="220"/>
    </row>
    <row r="313" spans="9:59" x14ac:dyDescent="0.25">
      <c r="I313" s="219"/>
      <c r="J313" s="106"/>
      <c r="K313" s="106"/>
      <c r="N313" s="219"/>
      <c r="S313" s="219"/>
      <c r="T313" s="106"/>
      <c r="U313" s="106"/>
      <c r="X313" s="219"/>
      <c r="AB313" s="106"/>
      <c r="AE313" s="219"/>
      <c r="AI313" s="106"/>
      <c r="AJ313" s="219"/>
      <c r="AN313" s="106"/>
      <c r="BA313" s="220"/>
      <c r="BC313" s="220"/>
      <c r="BE313" s="220"/>
      <c r="BG313" s="220"/>
    </row>
    <row r="314" spans="9:59" x14ac:dyDescent="0.25">
      <c r="I314" s="219"/>
      <c r="J314" s="106"/>
      <c r="K314" s="106"/>
      <c r="N314" s="219"/>
      <c r="S314" s="219"/>
      <c r="T314" s="106"/>
      <c r="U314" s="106"/>
      <c r="X314" s="219"/>
      <c r="AB314" s="106"/>
      <c r="AE314" s="219"/>
      <c r="AI314" s="106"/>
      <c r="AJ314" s="219"/>
      <c r="AN314" s="106"/>
      <c r="BA314" s="220"/>
      <c r="BC314" s="220"/>
      <c r="BE314" s="220"/>
      <c r="BG314" s="220"/>
    </row>
    <row r="315" spans="9:59" x14ac:dyDescent="0.25">
      <c r="I315" s="219"/>
      <c r="J315" s="106"/>
      <c r="K315" s="106"/>
      <c r="N315" s="219"/>
      <c r="S315" s="219"/>
      <c r="T315" s="106"/>
      <c r="U315" s="106"/>
      <c r="X315" s="219"/>
      <c r="AB315" s="106"/>
      <c r="AE315" s="219"/>
      <c r="AI315" s="106"/>
      <c r="AJ315" s="219"/>
      <c r="AN315" s="106"/>
      <c r="BA315" s="220"/>
      <c r="BC315" s="220"/>
      <c r="BE315" s="220"/>
      <c r="BG315" s="220"/>
    </row>
    <row r="316" spans="9:59" x14ac:dyDescent="0.25">
      <c r="I316" s="219"/>
      <c r="J316" s="106"/>
      <c r="K316" s="106"/>
      <c r="N316" s="219"/>
      <c r="S316" s="219"/>
      <c r="T316" s="106"/>
      <c r="U316" s="106"/>
      <c r="X316" s="219"/>
      <c r="AB316" s="106"/>
      <c r="AE316" s="219"/>
      <c r="AI316" s="106"/>
      <c r="AJ316" s="219"/>
      <c r="AN316" s="106"/>
      <c r="BA316" s="220"/>
      <c r="BC316" s="220"/>
      <c r="BE316" s="220"/>
      <c r="BG316" s="220"/>
    </row>
    <row r="317" spans="9:59" x14ac:dyDescent="0.25">
      <c r="I317" s="219"/>
      <c r="J317" s="106"/>
      <c r="K317" s="106"/>
      <c r="N317" s="219"/>
      <c r="S317" s="219"/>
      <c r="T317" s="106"/>
      <c r="U317" s="106"/>
      <c r="X317" s="219"/>
      <c r="AB317" s="106"/>
      <c r="AE317" s="219"/>
      <c r="AI317" s="106"/>
      <c r="AJ317" s="219"/>
      <c r="AN317" s="106"/>
      <c r="BA317" s="220"/>
      <c r="BC317" s="220"/>
      <c r="BE317" s="220"/>
      <c r="BG317" s="220"/>
    </row>
    <row r="318" spans="9:59" x14ac:dyDescent="0.25">
      <c r="I318" s="219"/>
      <c r="J318" s="106"/>
      <c r="K318" s="106"/>
      <c r="N318" s="219"/>
      <c r="S318" s="219"/>
      <c r="T318" s="106"/>
      <c r="U318" s="106"/>
      <c r="X318" s="219"/>
      <c r="AB318" s="106"/>
      <c r="AE318" s="219"/>
      <c r="AI318" s="106"/>
      <c r="AJ318" s="219"/>
      <c r="AN318" s="106"/>
      <c r="BA318" s="220"/>
      <c r="BC318" s="220"/>
      <c r="BE318" s="220"/>
      <c r="BG318" s="220"/>
    </row>
    <row r="319" spans="9:59" x14ac:dyDescent="0.25">
      <c r="I319" s="219"/>
      <c r="J319" s="106"/>
      <c r="K319" s="106"/>
      <c r="N319" s="219"/>
      <c r="S319" s="219"/>
      <c r="T319" s="106"/>
      <c r="U319" s="106"/>
      <c r="X319" s="219"/>
      <c r="AB319" s="106"/>
      <c r="AE319" s="219"/>
      <c r="AI319" s="106"/>
      <c r="AJ319" s="219"/>
      <c r="AN319" s="106"/>
      <c r="BA319" s="220"/>
      <c r="BC319" s="220"/>
      <c r="BE319" s="220"/>
      <c r="BG319" s="220"/>
    </row>
    <row r="320" spans="9:59" x14ac:dyDescent="0.25">
      <c r="I320" s="219"/>
      <c r="J320" s="106"/>
      <c r="K320" s="106"/>
      <c r="N320" s="219"/>
      <c r="S320" s="219"/>
      <c r="T320" s="106"/>
      <c r="U320" s="106"/>
      <c r="X320" s="219"/>
      <c r="AB320" s="106"/>
      <c r="AE320" s="219"/>
      <c r="AI320" s="106"/>
      <c r="AJ320" s="219"/>
      <c r="AN320" s="106"/>
      <c r="BA320" s="220"/>
      <c r="BC320" s="220"/>
      <c r="BE320" s="220"/>
      <c r="BG320" s="220"/>
    </row>
    <row r="321" spans="9:59" x14ac:dyDescent="0.25">
      <c r="I321" s="219"/>
      <c r="J321" s="106"/>
      <c r="K321" s="106"/>
      <c r="N321" s="219"/>
      <c r="S321" s="219"/>
      <c r="T321" s="106"/>
      <c r="U321" s="106"/>
      <c r="X321" s="219"/>
      <c r="AB321" s="106"/>
      <c r="AE321" s="219"/>
      <c r="AI321" s="106"/>
      <c r="AJ321" s="219"/>
      <c r="AN321" s="106"/>
      <c r="BA321" s="220"/>
      <c r="BC321" s="220"/>
      <c r="BE321" s="220"/>
      <c r="BG321" s="220"/>
    </row>
    <row r="322" spans="9:59" x14ac:dyDescent="0.25">
      <c r="I322" s="219"/>
      <c r="J322" s="106"/>
      <c r="K322" s="106"/>
      <c r="N322" s="219"/>
      <c r="S322" s="219"/>
      <c r="T322" s="106"/>
      <c r="U322" s="106"/>
      <c r="X322" s="219"/>
      <c r="AB322" s="106"/>
      <c r="AE322" s="219"/>
      <c r="AI322" s="106"/>
      <c r="AJ322" s="219"/>
      <c r="AN322" s="106"/>
      <c r="BA322" s="220"/>
      <c r="BC322" s="220"/>
      <c r="BE322" s="220"/>
      <c r="BG322" s="220"/>
    </row>
    <row r="323" spans="9:59" x14ac:dyDescent="0.25">
      <c r="I323" s="219"/>
      <c r="J323" s="106"/>
      <c r="K323" s="106"/>
      <c r="N323" s="219"/>
      <c r="S323" s="219"/>
      <c r="T323" s="106"/>
      <c r="U323" s="106"/>
      <c r="X323" s="219"/>
      <c r="AB323" s="106"/>
      <c r="AE323" s="219"/>
      <c r="AI323" s="106"/>
      <c r="AJ323" s="219"/>
      <c r="AN323" s="106"/>
      <c r="BA323" s="220"/>
      <c r="BC323" s="220"/>
      <c r="BE323" s="220"/>
      <c r="BG323" s="220"/>
    </row>
    <row r="324" spans="9:59" x14ac:dyDescent="0.25">
      <c r="I324" s="219"/>
      <c r="J324" s="106"/>
      <c r="K324" s="106"/>
      <c r="N324" s="219"/>
      <c r="S324" s="219"/>
      <c r="T324" s="106"/>
      <c r="U324" s="106"/>
      <c r="X324" s="219"/>
      <c r="AB324" s="106"/>
      <c r="AE324" s="219"/>
      <c r="AI324" s="106"/>
      <c r="AJ324" s="219"/>
      <c r="AN324" s="106"/>
      <c r="BA324" s="220"/>
      <c r="BC324" s="220"/>
      <c r="BE324" s="220"/>
      <c r="BG324" s="220"/>
    </row>
    <row r="325" spans="9:59" x14ac:dyDescent="0.25">
      <c r="I325" s="219"/>
      <c r="J325" s="106"/>
      <c r="K325" s="106"/>
      <c r="N325" s="219"/>
      <c r="S325" s="219"/>
      <c r="T325" s="106"/>
      <c r="U325" s="106"/>
      <c r="X325" s="219"/>
      <c r="AB325" s="106"/>
      <c r="AE325" s="219"/>
      <c r="AI325" s="106"/>
      <c r="AJ325" s="219"/>
      <c r="AN325" s="106"/>
      <c r="BA325" s="220"/>
      <c r="BC325" s="220"/>
      <c r="BE325" s="220"/>
      <c r="BG325" s="220"/>
    </row>
    <row r="326" spans="9:59" x14ac:dyDescent="0.25">
      <c r="I326" s="219"/>
      <c r="J326" s="106"/>
      <c r="K326" s="106"/>
      <c r="N326" s="219"/>
      <c r="S326" s="219"/>
      <c r="T326" s="106"/>
      <c r="U326" s="106"/>
      <c r="X326" s="219"/>
      <c r="AB326" s="106"/>
      <c r="AE326" s="219"/>
      <c r="AI326" s="106"/>
      <c r="AJ326" s="219"/>
      <c r="AN326" s="106"/>
      <c r="BA326" s="220"/>
      <c r="BC326" s="220"/>
      <c r="BE326" s="220"/>
      <c r="BG326" s="220"/>
    </row>
    <row r="327" spans="9:59" x14ac:dyDescent="0.25">
      <c r="I327" s="219"/>
      <c r="J327" s="106"/>
      <c r="K327" s="106"/>
      <c r="N327" s="219"/>
      <c r="S327" s="219"/>
      <c r="T327" s="106"/>
      <c r="U327" s="106"/>
      <c r="X327" s="219"/>
      <c r="AB327" s="106"/>
      <c r="AE327" s="219"/>
      <c r="AI327" s="106"/>
      <c r="AJ327" s="219"/>
      <c r="AN327" s="106"/>
      <c r="BA327" s="220"/>
      <c r="BC327" s="220"/>
      <c r="BE327" s="220"/>
      <c r="BG327" s="220"/>
    </row>
    <row r="328" spans="9:59" x14ac:dyDescent="0.25">
      <c r="I328" s="219"/>
      <c r="J328" s="106"/>
      <c r="K328" s="106"/>
      <c r="N328" s="219"/>
      <c r="S328" s="219"/>
      <c r="T328" s="106"/>
      <c r="U328" s="106"/>
      <c r="X328" s="219"/>
      <c r="AB328" s="106"/>
      <c r="AE328" s="219"/>
      <c r="AI328" s="106"/>
      <c r="AJ328" s="219"/>
      <c r="AN328" s="106"/>
      <c r="BA328" s="220"/>
      <c r="BC328" s="220"/>
      <c r="BE328" s="220"/>
      <c r="BG328" s="220"/>
    </row>
    <row r="329" spans="9:59" x14ac:dyDescent="0.25">
      <c r="I329" s="219"/>
      <c r="J329" s="106"/>
      <c r="K329" s="106"/>
      <c r="N329" s="219"/>
      <c r="S329" s="219"/>
      <c r="T329" s="106"/>
      <c r="U329" s="106"/>
      <c r="X329" s="219"/>
      <c r="AB329" s="106"/>
      <c r="AE329" s="219"/>
      <c r="AI329" s="106"/>
      <c r="AJ329" s="219"/>
      <c r="AN329" s="106"/>
      <c r="BA329" s="220"/>
      <c r="BC329" s="220"/>
      <c r="BE329" s="220"/>
      <c r="BG329" s="220"/>
    </row>
    <row r="330" spans="9:59" x14ac:dyDescent="0.25">
      <c r="I330" s="219"/>
      <c r="J330" s="106"/>
      <c r="K330" s="106"/>
      <c r="N330" s="219"/>
      <c r="S330" s="219"/>
      <c r="T330" s="106"/>
      <c r="U330" s="106"/>
      <c r="X330" s="219"/>
      <c r="AB330" s="106"/>
      <c r="AE330" s="219"/>
      <c r="AI330" s="106"/>
      <c r="AJ330" s="219"/>
      <c r="AN330" s="106"/>
      <c r="BA330" s="220"/>
      <c r="BC330" s="220"/>
      <c r="BE330" s="220"/>
      <c r="BG330" s="220"/>
    </row>
    <row r="331" spans="9:59" x14ac:dyDescent="0.25">
      <c r="I331" s="219"/>
      <c r="J331" s="106"/>
      <c r="K331" s="106"/>
      <c r="N331" s="219"/>
      <c r="S331" s="219"/>
      <c r="T331" s="106"/>
      <c r="U331" s="106"/>
      <c r="X331" s="219"/>
      <c r="AB331" s="106"/>
      <c r="AE331" s="219"/>
      <c r="AI331" s="106"/>
      <c r="AJ331" s="219"/>
      <c r="AN331" s="106"/>
      <c r="BA331" s="220"/>
      <c r="BC331" s="220"/>
      <c r="BE331" s="220"/>
      <c r="BG331" s="220"/>
    </row>
    <row r="332" spans="9:59" x14ac:dyDescent="0.25">
      <c r="I332" s="219"/>
      <c r="J332" s="106"/>
      <c r="K332" s="106"/>
      <c r="N332" s="219"/>
      <c r="S332" s="219"/>
      <c r="T332" s="106"/>
      <c r="U332" s="106"/>
      <c r="X332" s="219"/>
      <c r="AB332" s="106"/>
      <c r="AE332" s="219"/>
      <c r="AI332" s="106"/>
      <c r="AJ332" s="219"/>
      <c r="AN332" s="106"/>
      <c r="BA332" s="220"/>
      <c r="BC332" s="220"/>
      <c r="BE332" s="220"/>
      <c r="BG332" s="220"/>
    </row>
    <row r="333" spans="9:59" x14ac:dyDescent="0.25">
      <c r="I333" s="219"/>
      <c r="J333" s="106"/>
      <c r="K333" s="106"/>
      <c r="N333" s="219"/>
      <c r="S333" s="219"/>
      <c r="T333" s="106"/>
      <c r="U333" s="106"/>
      <c r="X333" s="219"/>
      <c r="AB333" s="106"/>
      <c r="AE333" s="219"/>
      <c r="AI333" s="106"/>
      <c r="AJ333" s="219"/>
      <c r="AN333" s="106"/>
      <c r="BA333" s="220"/>
      <c r="BC333" s="220"/>
      <c r="BE333" s="220"/>
      <c r="BG333" s="220"/>
    </row>
    <row r="334" spans="9:59" x14ac:dyDescent="0.25">
      <c r="I334" s="219"/>
      <c r="J334" s="106"/>
      <c r="K334" s="106"/>
      <c r="N334" s="219"/>
      <c r="S334" s="219"/>
      <c r="T334" s="106"/>
      <c r="U334" s="106"/>
      <c r="X334" s="219"/>
      <c r="AB334" s="106"/>
      <c r="AE334" s="219"/>
      <c r="AI334" s="106"/>
      <c r="AJ334" s="219"/>
      <c r="AN334" s="106"/>
      <c r="BA334" s="220"/>
      <c r="BC334" s="220"/>
      <c r="BE334" s="220"/>
      <c r="BG334" s="220"/>
    </row>
    <row r="335" spans="9:59" x14ac:dyDescent="0.25">
      <c r="I335" s="219"/>
      <c r="J335" s="106"/>
      <c r="K335" s="106"/>
      <c r="N335" s="219"/>
      <c r="S335" s="219"/>
      <c r="T335" s="106"/>
      <c r="U335" s="106"/>
      <c r="X335" s="219"/>
      <c r="AB335" s="106"/>
      <c r="AE335" s="219"/>
      <c r="AI335" s="106"/>
      <c r="AJ335" s="219"/>
      <c r="AN335" s="106"/>
      <c r="BA335" s="220"/>
      <c r="BC335" s="220"/>
      <c r="BE335" s="220"/>
      <c r="BG335" s="220"/>
    </row>
    <row r="336" spans="9:59" x14ac:dyDescent="0.25">
      <c r="I336" s="219"/>
      <c r="J336" s="106"/>
      <c r="K336" s="106"/>
      <c r="N336" s="219"/>
      <c r="S336" s="219"/>
      <c r="T336" s="106"/>
      <c r="U336" s="106"/>
      <c r="X336" s="219"/>
      <c r="AB336" s="106"/>
      <c r="AE336" s="219"/>
      <c r="AI336" s="106"/>
      <c r="AJ336" s="219"/>
      <c r="AN336" s="106"/>
      <c r="BA336" s="220"/>
      <c r="BC336" s="220"/>
      <c r="BE336" s="220"/>
      <c r="BG336" s="220"/>
    </row>
    <row r="337" spans="9:59" x14ac:dyDescent="0.25">
      <c r="I337" s="219"/>
      <c r="J337" s="106"/>
      <c r="K337" s="106"/>
      <c r="N337" s="219"/>
      <c r="S337" s="219"/>
      <c r="T337" s="106"/>
      <c r="U337" s="106"/>
      <c r="X337" s="219"/>
      <c r="AB337" s="106"/>
      <c r="AE337" s="219"/>
      <c r="AI337" s="106"/>
      <c r="AJ337" s="219"/>
      <c r="AN337" s="106"/>
      <c r="BA337" s="220"/>
      <c r="BC337" s="220"/>
      <c r="BE337" s="220"/>
      <c r="BG337" s="220"/>
    </row>
    <row r="338" spans="9:59" x14ac:dyDescent="0.25">
      <c r="I338" s="219"/>
      <c r="J338" s="106"/>
      <c r="K338" s="106"/>
      <c r="N338" s="219"/>
      <c r="S338" s="219"/>
      <c r="T338" s="106"/>
      <c r="U338" s="106"/>
      <c r="X338" s="219"/>
      <c r="AB338" s="106"/>
      <c r="AE338" s="219"/>
      <c r="AI338" s="106"/>
      <c r="AJ338" s="219"/>
      <c r="AN338" s="106"/>
      <c r="BA338" s="220"/>
      <c r="BC338" s="220"/>
      <c r="BE338" s="220"/>
      <c r="BG338" s="220"/>
    </row>
    <row r="339" spans="9:59" x14ac:dyDescent="0.25">
      <c r="I339" s="219"/>
      <c r="J339" s="106"/>
      <c r="K339" s="106"/>
      <c r="N339" s="219"/>
      <c r="S339" s="219"/>
      <c r="T339" s="106"/>
      <c r="U339" s="106"/>
      <c r="X339" s="219"/>
      <c r="AB339" s="106"/>
      <c r="AE339" s="219"/>
      <c r="AI339" s="106"/>
      <c r="AJ339" s="219"/>
      <c r="AN339" s="106"/>
      <c r="BA339" s="220"/>
      <c r="BC339" s="220"/>
      <c r="BE339" s="220"/>
      <c r="BG339" s="220"/>
    </row>
    <row r="340" spans="9:59" x14ac:dyDescent="0.25">
      <c r="I340" s="219"/>
      <c r="J340" s="106"/>
      <c r="K340" s="106"/>
      <c r="N340" s="219"/>
      <c r="S340" s="219"/>
      <c r="T340" s="106"/>
      <c r="U340" s="106"/>
      <c r="X340" s="219"/>
      <c r="AB340" s="106"/>
      <c r="AE340" s="219"/>
      <c r="AI340" s="106"/>
      <c r="AJ340" s="219"/>
      <c r="AN340" s="106"/>
      <c r="BA340" s="220"/>
      <c r="BC340" s="220"/>
      <c r="BE340" s="220"/>
      <c r="BG340" s="220"/>
    </row>
    <row r="341" spans="9:59" x14ac:dyDescent="0.25">
      <c r="I341" s="219"/>
      <c r="J341" s="106"/>
      <c r="K341" s="106"/>
      <c r="N341" s="219"/>
      <c r="S341" s="219"/>
      <c r="T341" s="106"/>
      <c r="U341" s="106"/>
      <c r="X341" s="219"/>
      <c r="AB341" s="106"/>
      <c r="AE341" s="219"/>
      <c r="AI341" s="106"/>
      <c r="AJ341" s="219"/>
      <c r="AN341" s="106"/>
      <c r="BA341" s="220"/>
      <c r="BC341" s="220"/>
      <c r="BE341" s="220"/>
      <c r="BG341" s="220"/>
    </row>
    <row r="342" spans="9:59" x14ac:dyDescent="0.25">
      <c r="I342" s="219"/>
      <c r="J342" s="106"/>
      <c r="K342" s="106"/>
      <c r="N342" s="219"/>
      <c r="S342" s="219"/>
      <c r="T342" s="106"/>
      <c r="U342" s="106"/>
      <c r="X342" s="219"/>
      <c r="AB342" s="106"/>
      <c r="AE342" s="219"/>
      <c r="AI342" s="106"/>
      <c r="AJ342" s="219"/>
      <c r="AN342" s="106"/>
      <c r="BA342" s="220"/>
      <c r="BC342" s="220"/>
      <c r="BE342" s="220"/>
      <c r="BG342" s="220"/>
    </row>
    <row r="343" spans="9:59" x14ac:dyDescent="0.25">
      <c r="I343" s="219"/>
      <c r="J343" s="106"/>
      <c r="K343" s="106"/>
      <c r="N343" s="219"/>
      <c r="S343" s="219"/>
      <c r="T343" s="106"/>
      <c r="U343" s="106"/>
      <c r="X343" s="219"/>
      <c r="AB343" s="106"/>
      <c r="AE343" s="219"/>
      <c r="AI343" s="106"/>
      <c r="AJ343" s="219"/>
      <c r="AN343" s="106"/>
      <c r="BA343" s="220"/>
      <c r="BC343" s="220"/>
      <c r="BE343" s="220"/>
      <c r="BG343" s="220"/>
    </row>
    <row r="344" spans="9:59" x14ac:dyDescent="0.25">
      <c r="I344" s="219"/>
      <c r="J344" s="106"/>
      <c r="K344" s="106"/>
      <c r="N344" s="219"/>
      <c r="S344" s="219"/>
      <c r="T344" s="106"/>
      <c r="U344" s="106"/>
      <c r="X344" s="219"/>
      <c r="AB344" s="106"/>
      <c r="AE344" s="219"/>
      <c r="AI344" s="106"/>
      <c r="AJ344" s="219"/>
      <c r="AN344" s="106"/>
      <c r="BA344" s="220"/>
      <c r="BC344" s="220"/>
      <c r="BE344" s="220"/>
      <c r="BG344" s="220"/>
    </row>
    <row r="345" spans="9:59" x14ac:dyDescent="0.25">
      <c r="I345" s="219"/>
      <c r="J345" s="106"/>
      <c r="K345" s="106"/>
      <c r="N345" s="219"/>
      <c r="S345" s="219"/>
      <c r="T345" s="106"/>
      <c r="U345" s="106"/>
      <c r="X345" s="219"/>
      <c r="AB345" s="106"/>
      <c r="AE345" s="219"/>
      <c r="AI345" s="106"/>
      <c r="AJ345" s="219"/>
      <c r="AN345" s="106"/>
      <c r="BA345" s="220"/>
      <c r="BC345" s="220"/>
      <c r="BE345" s="220"/>
      <c r="BG345" s="220"/>
    </row>
    <row r="346" spans="9:59" x14ac:dyDescent="0.25">
      <c r="I346" s="219"/>
      <c r="J346" s="106"/>
      <c r="K346" s="106"/>
      <c r="N346" s="219"/>
      <c r="S346" s="219"/>
      <c r="T346" s="106"/>
      <c r="U346" s="106"/>
      <c r="X346" s="219"/>
      <c r="AB346" s="106"/>
      <c r="AE346" s="219"/>
      <c r="AI346" s="106"/>
      <c r="AJ346" s="219"/>
      <c r="AN346" s="106"/>
      <c r="BA346" s="220"/>
      <c r="BC346" s="220"/>
      <c r="BE346" s="220"/>
      <c r="BG346" s="220"/>
    </row>
    <row r="347" spans="9:59" x14ac:dyDescent="0.25">
      <c r="I347" s="219"/>
      <c r="J347" s="106"/>
      <c r="K347" s="106"/>
      <c r="N347" s="219"/>
      <c r="S347" s="219"/>
      <c r="T347" s="106"/>
      <c r="U347" s="106"/>
      <c r="X347" s="219"/>
      <c r="AB347" s="106"/>
      <c r="AE347" s="219"/>
      <c r="AI347" s="106"/>
      <c r="AJ347" s="219"/>
      <c r="AN347" s="106"/>
      <c r="BA347" s="220"/>
      <c r="BC347" s="220"/>
      <c r="BE347" s="220"/>
      <c r="BG347" s="220"/>
    </row>
    <row r="348" spans="9:59" x14ac:dyDescent="0.25">
      <c r="I348" s="219"/>
      <c r="J348" s="106"/>
      <c r="K348" s="106"/>
      <c r="N348" s="219"/>
      <c r="S348" s="219"/>
      <c r="T348" s="106"/>
      <c r="U348" s="106"/>
      <c r="X348" s="219"/>
      <c r="AB348" s="106"/>
      <c r="AE348" s="219"/>
      <c r="AI348" s="106"/>
      <c r="AJ348" s="219"/>
      <c r="AN348" s="106"/>
      <c r="BA348" s="220"/>
      <c r="BC348" s="220"/>
      <c r="BE348" s="220"/>
      <c r="BG348" s="220"/>
    </row>
    <row r="349" spans="9:59" x14ac:dyDescent="0.25">
      <c r="I349" s="219"/>
      <c r="J349" s="106"/>
      <c r="K349" s="106"/>
      <c r="N349" s="219"/>
      <c r="S349" s="219"/>
      <c r="T349" s="106"/>
      <c r="U349" s="106"/>
      <c r="X349" s="219"/>
      <c r="AB349" s="106"/>
      <c r="AE349" s="219"/>
      <c r="AI349" s="106"/>
      <c r="AJ349" s="219"/>
      <c r="AN349" s="106"/>
      <c r="BA349" s="220"/>
      <c r="BC349" s="220"/>
      <c r="BE349" s="220"/>
      <c r="BG349" s="220"/>
    </row>
    <row r="350" spans="9:59" x14ac:dyDescent="0.25">
      <c r="I350" s="219"/>
      <c r="J350" s="106"/>
      <c r="K350" s="106"/>
      <c r="N350" s="219"/>
      <c r="S350" s="219"/>
      <c r="T350" s="106"/>
      <c r="U350" s="106"/>
      <c r="X350" s="219"/>
      <c r="AB350" s="106"/>
      <c r="AE350" s="219"/>
      <c r="AI350" s="106"/>
      <c r="AJ350" s="219"/>
      <c r="AN350" s="106"/>
      <c r="BA350" s="220"/>
      <c r="BC350" s="220"/>
      <c r="BE350" s="220"/>
      <c r="BG350" s="220"/>
    </row>
    <row r="351" spans="9:59" x14ac:dyDescent="0.25">
      <c r="I351" s="219"/>
      <c r="J351" s="106"/>
      <c r="K351" s="106"/>
      <c r="N351" s="219"/>
      <c r="S351" s="219"/>
      <c r="T351" s="106"/>
      <c r="U351" s="106"/>
      <c r="X351" s="219"/>
      <c r="AB351" s="106"/>
      <c r="AE351" s="219"/>
      <c r="AI351" s="106"/>
      <c r="AJ351" s="219"/>
      <c r="AN351" s="106"/>
      <c r="BA351" s="220"/>
      <c r="BC351" s="220"/>
      <c r="BE351" s="220"/>
      <c r="BG351" s="220"/>
    </row>
    <row r="352" spans="9:59" x14ac:dyDescent="0.25">
      <c r="I352" s="219"/>
      <c r="J352" s="106"/>
      <c r="K352" s="106"/>
      <c r="N352" s="219"/>
      <c r="S352" s="219"/>
      <c r="T352" s="106"/>
      <c r="U352" s="106"/>
      <c r="X352" s="219"/>
      <c r="AB352" s="106"/>
      <c r="AE352" s="219"/>
      <c r="AI352" s="106"/>
      <c r="AJ352" s="219"/>
      <c r="AN352" s="106"/>
      <c r="BA352" s="220"/>
      <c r="BC352" s="220"/>
      <c r="BE352" s="220"/>
      <c r="BG352" s="220"/>
    </row>
    <row r="353" spans="9:59" x14ac:dyDescent="0.25">
      <c r="I353" s="219"/>
      <c r="J353" s="106"/>
      <c r="K353" s="106"/>
      <c r="N353" s="219"/>
      <c r="S353" s="219"/>
      <c r="T353" s="106"/>
      <c r="U353" s="106"/>
      <c r="X353" s="219"/>
      <c r="AB353" s="106"/>
      <c r="AE353" s="219"/>
      <c r="AI353" s="106"/>
      <c r="AJ353" s="219"/>
      <c r="AN353" s="106"/>
      <c r="BA353" s="220"/>
      <c r="BC353" s="220"/>
      <c r="BE353" s="220"/>
      <c r="BG353" s="220"/>
    </row>
    <row r="354" spans="9:59" x14ac:dyDescent="0.25">
      <c r="I354" s="219"/>
      <c r="J354" s="106"/>
      <c r="K354" s="106"/>
      <c r="N354" s="219"/>
      <c r="S354" s="219"/>
      <c r="T354" s="106"/>
      <c r="U354" s="106"/>
      <c r="X354" s="219"/>
      <c r="AB354" s="106"/>
      <c r="AE354" s="219"/>
      <c r="AI354" s="106"/>
      <c r="AJ354" s="219"/>
      <c r="AN354" s="106"/>
      <c r="BA354" s="220"/>
      <c r="BC354" s="220"/>
      <c r="BE354" s="220"/>
      <c r="BG354" s="220"/>
    </row>
    <row r="355" spans="9:59" x14ac:dyDescent="0.25">
      <c r="I355" s="219"/>
      <c r="J355" s="106"/>
      <c r="K355" s="106"/>
      <c r="N355" s="219"/>
      <c r="S355" s="219"/>
      <c r="T355" s="106"/>
      <c r="U355" s="106"/>
      <c r="X355" s="219"/>
      <c r="AB355" s="106"/>
      <c r="AE355" s="219"/>
      <c r="AI355" s="106"/>
      <c r="AJ355" s="219"/>
      <c r="AN355" s="106"/>
      <c r="BA355" s="220"/>
      <c r="BC355" s="220"/>
      <c r="BE355" s="220"/>
      <c r="BG355" s="220"/>
    </row>
    <row r="356" spans="9:59" x14ac:dyDescent="0.25">
      <c r="I356" s="219"/>
      <c r="J356" s="106"/>
      <c r="K356" s="106"/>
      <c r="N356" s="219"/>
      <c r="S356" s="219"/>
      <c r="T356" s="106"/>
      <c r="U356" s="106"/>
      <c r="X356" s="219"/>
      <c r="AB356" s="106"/>
      <c r="AE356" s="219"/>
      <c r="AI356" s="106"/>
      <c r="AJ356" s="219"/>
      <c r="AN356" s="106"/>
      <c r="BA356" s="220"/>
      <c r="BC356" s="220"/>
      <c r="BE356" s="220"/>
      <c r="BG356" s="220"/>
    </row>
    <row r="357" spans="9:59" x14ac:dyDescent="0.25">
      <c r="I357" s="219"/>
      <c r="J357" s="106"/>
      <c r="K357" s="106"/>
      <c r="N357" s="219"/>
      <c r="S357" s="219"/>
      <c r="T357" s="106"/>
      <c r="U357" s="106"/>
      <c r="X357" s="219"/>
      <c r="AB357" s="106"/>
      <c r="AE357" s="219"/>
      <c r="AI357" s="106"/>
      <c r="AJ357" s="219"/>
      <c r="AN357" s="106"/>
      <c r="BA357" s="220"/>
      <c r="BC357" s="220"/>
      <c r="BE357" s="220"/>
      <c r="BG357" s="220"/>
    </row>
    <row r="358" spans="9:59" x14ac:dyDescent="0.25">
      <c r="I358" s="219"/>
      <c r="J358" s="106"/>
      <c r="K358" s="106"/>
      <c r="N358" s="219"/>
      <c r="S358" s="219"/>
      <c r="T358" s="106"/>
      <c r="U358" s="106"/>
      <c r="X358" s="219"/>
      <c r="AB358" s="106"/>
      <c r="AE358" s="219"/>
      <c r="AI358" s="106"/>
      <c r="AJ358" s="219"/>
      <c r="AN358" s="106"/>
      <c r="BA358" s="220"/>
      <c r="BC358" s="220"/>
      <c r="BE358" s="220"/>
      <c r="BG358" s="220"/>
    </row>
    <row r="359" spans="9:59" x14ac:dyDescent="0.25">
      <c r="I359" s="219"/>
      <c r="J359" s="106"/>
      <c r="K359" s="106"/>
      <c r="N359" s="219"/>
      <c r="S359" s="219"/>
      <c r="T359" s="106"/>
      <c r="U359" s="106"/>
      <c r="X359" s="219"/>
      <c r="AB359" s="106"/>
      <c r="AE359" s="219"/>
      <c r="AI359" s="106"/>
      <c r="AJ359" s="219"/>
      <c r="AN359" s="106"/>
      <c r="BA359" s="220"/>
      <c r="BC359" s="220"/>
      <c r="BE359" s="220"/>
      <c r="BG359" s="220"/>
    </row>
    <row r="360" spans="9:59" x14ac:dyDescent="0.25">
      <c r="I360" s="219"/>
      <c r="J360" s="106"/>
      <c r="K360" s="106"/>
      <c r="N360" s="219"/>
      <c r="S360" s="219"/>
      <c r="T360" s="106"/>
      <c r="U360" s="106"/>
      <c r="X360" s="219"/>
      <c r="AB360" s="106"/>
      <c r="AE360" s="219"/>
      <c r="AI360" s="106"/>
      <c r="AJ360" s="219"/>
      <c r="AN360" s="106"/>
      <c r="BA360" s="220"/>
      <c r="BC360" s="220"/>
      <c r="BE360" s="220"/>
      <c r="BG360" s="220"/>
    </row>
    <row r="361" spans="9:59" x14ac:dyDescent="0.25">
      <c r="I361" s="219"/>
      <c r="J361" s="106"/>
      <c r="K361" s="106"/>
      <c r="N361" s="219"/>
      <c r="S361" s="219"/>
      <c r="T361" s="106"/>
      <c r="U361" s="106"/>
      <c r="X361" s="219"/>
      <c r="AB361" s="106"/>
      <c r="AE361" s="219"/>
      <c r="AI361" s="106"/>
      <c r="AJ361" s="219"/>
      <c r="AN361" s="106"/>
      <c r="BA361" s="220"/>
      <c r="BC361" s="220"/>
      <c r="BE361" s="220"/>
      <c r="BG361" s="220"/>
    </row>
    <row r="362" spans="9:59" x14ac:dyDescent="0.25">
      <c r="I362" s="219"/>
      <c r="J362" s="106"/>
      <c r="K362" s="106"/>
      <c r="N362" s="219"/>
      <c r="S362" s="219"/>
      <c r="T362" s="106"/>
      <c r="U362" s="106"/>
      <c r="X362" s="219"/>
      <c r="AB362" s="106"/>
      <c r="AE362" s="219"/>
      <c r="AI362" s="106"/>
      <c r="AJ362" s="219"/>
      <c r="AN362" s="106"/>
      <c r="BA362" s="220"/>
      <c r="BC362" s="220"/>
      <c r="BE362" s="220"/>
      <c r="BG362" s="220"/>
    </row>
    <row r="363" spans="9:59" x14ac:dyDescent="0.25">
      <c r="I363" s="219"/>
      <c r="J363" s="106"/>
      <c r="K363" s="106"/>
      <c r="N363" s="219"/>
      <c r="S363" s="219"/>
      <c r="T363" s="106"/>
      <c r="U363" s="106"/>
      <c r="X363" s="219"/>
      <c r="AB363" s="106"/>
      <c r="AE363" s="219"/>
      <c r="AI363" s="106"/>
      <c r="AJ363" s="219"/>
      <c r="AN363" s="106"/>
      <c r="BA363" s="220"/>
      <c r="BC363" s="220"/>
      <c r="BE363" s="220"/>
      <c r="BG363" s="220"/>
    </row>
    <row r="364" spans="9:59" x14ac:dyDescent="0.25">
      <c r="I364" s="219"/>
      <c r="J364" s="106"/>
      <c r="K364" s="106"/>
      <c r="N364" s="219"/>
      <c r="S364" s="219"/>
      <c r="T364" s="106"/>
      <c r="U364" s="106"/>
      <c r="X364" s="219"/>
      <c r="AB364" s="106"/>
      <c r="AE364" s="219"/>
      <c r="AI364" s="106"/>
      <c r="AJ364" s="219"/>
      <c r="AN364" s="106"/>
      <c r="BA364" s="220"/>
      <c r="BC364" s="220"/>
      <c r="BE364" s="220"/>
      <c r="BG364" s="220"/>
    </row>
    <row r="365" spans="9:59" x14ac:dyDescent="0.25">
      <c r="I365" s="219"/>
      <c r="J365" s="106"/>
      <c r="K365" s="106"/>
      <c r="N365" s="219"/>
      <c r="S365" s="219"/>
      <c r="T365" s="106"/>
      <c r="U365" s="106"/>
      <c r="X365" s="219"/>
      <c r="AB365" s="106"/>
      <c r="AE365" s="219"/>
      <c r="AI365" s="106"/>
      <c r="AJ365" s="219"/>
      <c r="AN365" s="106"/>
      <c r="BA365" s="220"/>
      <c r="BC365" s="220"/>
      <c r="BE365" s="220"/>
      <c r="BG365" s="220"/>
    </row>
    <row r="366" spans="9:59" x14ac:dyDescent="0.25">
      <c r="I366" s="219"/>
      <c r="J366" s="106"/>
      <c r="K366" s="106"/>
      <c r="N366" s="219"/>
      <c r="S366" s="219"/>
      <c r="T366" s="106"/>
      <c r="U366" s="106"/>
      <c r="X366" s="219"/>
      <c r="AB366" s="106"/>
      <c r="AE366" s="219"/>
      <c r="AI366" s="106"/>
      <c r="AJ366" s="219"/>
      <c r="AN366" s="106"/>
      <c r="BA366" s="220"/>
      <c r="BC366" s="220"/>
      <c r="BE366" s="220"/>
      <c r="BG366" s="220"/>
    </row>
    <row r="367" spans="9:59" x14ac:dyDescent="0.25">
      <c r="I367" s="219"/>
      <c r="J367" s="106"/>
      <c r="K367" s="106"/>
      <c r="N367" s="219"/>
      <c r="S367" s="219"/>
      <c r="T367" s="106"/>
      <c r="U367" s="106"/>
      <c r="X367" s="219"/>
      <c r="AB367" s="106"/>
      <c r="AE367" s="219"/>
      <c r="AI367" s="106"/>
      <c r="AJ367" s="219"/>
      <c r="AN367" s="106"/>
      <c r="BA367" s="220"/>
      <c r="BC367" s="220"/>
      <c r="BE367" s="220"/>
      <c r="BG367" s="220"/>
    </row>
    <row r="368" spans="9:59" x14ac:dyDescent="0.25">
      <c r="I368" s="219"/>
      <c r="J368" s="106"/>
      <c r="K368" s="106"/>
      <c r="N368" s="219"/>
      <c r="S368" s="219"/>
      <c r="T368" s="106"/>
      <c r="U368" s="106"/>
      <c r="X368" s="219"/>
      <c r="AB368" s="106"/>
      <c r="AE368" s="219"/>
      <c r="AI368" s="106"/>
      <c r="AJ368" s="219"/>
      <c r="AN368" s="106"/>
      <c r="BA368" s="220"/>
      <c r="BC368" s="220"/>
      <c r="BE368" s="220"/>
      <c r="BG368" s="220"/>
    </row>
    <row r="369" spans="9:59" x14ac:dyDescent="0.25">
      <c r="I369" s="219"/>
      <c r="J369" s="106"/>
      <c r="K369" s="106"/>
      <c r="N369" s="219"/>
      <c r="S369" s="219"/>
      <c r="T369" s="106"/>
      <c r="U369" s="106"/>
      <c r="X369" s="219"/>
      <c r="AB369" s="106"/>
      <c r="AE369" s="219"/>
      <c r="AI369" s="106"/>
      <c r="AJ369" s="219"/>
      <c r="AN369" s="106"/>
      <c r="BA369" s="220"/>
      <c r="BC369" s="220"/>
      <c r="BE369" s="220"/>
      <c r="BG369" s="220"/>
    </row>
    <row r="370" spans="9:59" x14ac:dyDescent="0.25">
      <c r="I370" s="219"/>
      <c r="J370" s="106"/>
      <c r="K370" s="106"/>
      <c r="N370" s="219"/>
      <c r="S370" s="219"/>
      <c r="T370" s="106"/>
      <c r="U370" s="106"/>
      <c r="X370" s="219"/>
      <c r="AB370" s="106"/>
      <c r="AE370" s="219"/>
      <c r="AI370" s="106"/>
      <c r="AJ370" s="219"/>
      <c r="AN370" s="106"/>
      <c r="BA370" s="220"/>
      <c r="BC370" s="220"/>
      <c r="BE370" s="220"/>
      <c r="BG370" s="220"/>
    </row>
    <row r="371" spans="9:59" x14ac:dyDescent="0.25">
      <c r="I371" s="219"/>
      <c r="J371" s="106"/>
      <c r="K371" s="106"/>
      <c r="N371" s="219"/>
      <c r="S371" s="219"/>
      <c r="T371" s="106"/>
      <c r="U371" s="106"/>
      <c r="X371" s="219"/>
      <c r="AB371" s="106"/>
      <c r="AE371" s="219"/>
      <c r="AI371" s="106"/>
      <c r="AJ371" s="219"/>
      <c r="AN371" s="106"/>
      <c r="BA371" s="220"/>
      <c r="BC371" s="220"/>
      <c r="BE371" s="220"/>
      <c r="BG371" s="220"/>
    </row>
    <row r="372" spans="9:59" x14ac:dyDescent="0.25">
      <c r="I372" s="219"/>
      <c r="J372" s="106"/>
      <c r="K372" s="106"/>
      <c r="N372" s="219"/>
      <c r="S372" s="219"/>
      <c r="T372" s="106"/>
      <c r="U372" s="106"/>
      <c r="X372" s="219"/>
      <c r="AB372" s="106"/>
      <c r="AE372" s="219"/>
      <c r="AI372" s="106"/>
      <c r="AJ372" s="219"/>
      <c r="AN372" s="106"/>
      <c r="BA372" s="220"/>
      <c r="BC372" s="220"/>
      <c r="BE372" s="220"/>
      <c r="BG372" s="220"/>
    </row>
    <row r="373" spans="9:59" x14ac:dyDescent="0.25">
      <c r="I373" s="219"/>
      <c r="J373" s="106"/>
      <c r="K373" s="106"/>
      <c r="N373" s="219"/>
      <c r="S373" s="219"/>
      <c r="T373" s="106"/>
      <c r="U373" s="106"/>
      <c r="X373" s="219"/>
      <c r="AB373" s="106"/>
      <c r="AE373" s="219"/>
      <c r="AI373" s="106"/>
      <c r="AJ373" s="219"/>
      <c r="AN373" s="106"/>
      <c r="BA373" s="220"/>
      <c r="BC373" s="220"/>
      <c r="BE373" s="220"/>
      <c r="BG373" s="220"/>
    </row>
    <row r="374" spans="9:59" x14ac:dyDescent="0.25">
      <c r="I374" s="219"/>
      <c r="J374" s="106"/>
      <c r="K374" s="106"/>
      <c r="N374" s="219"/>
      <c r="S374" s="219"/>
      <c r="T374" s="106"/>
      <c r="U374" s="106"/>
      <c r="X374" s="219"/>
      <c r="AB374" s="106"/>
      <c r="AE374" s="219"/>
      <c r="AI374" s="106"/>
      <c r="AJ374" s="219"/>
      <c r="AN374" s="106"/>
      <c r="BA374" s="220"/>
      <c r="BC374" s="220"/>
      <c r="BE374" s="220"/>
      <c r="BG374" s="220"/>
    </row>
    <row r="375" spans="9:59" x14ac:dyDescent="0.25">
      <c r="I375" s="219"/>
      <c r="J375" s="106"/>
      <c r="K375" s="106"/>
      <c r="N375" s="219"/>
      <c r="S375" s="219"/>
      <c r="T375" s="106"/>
      <c r="U375" s="106"/>
      <c r="X375" s="219"/>
      <c r="AB375" s="106"/>
      <c r="AE375" s="219"/>
      <c r="AI375" s="106"/>
      <c r="AJ375" s="219"/>
      <c r="AN375" s="106"/>
      <c r="BA375" s="220"/>
      <c r="BC375" s="220"/>
      <c r="BE375" s="220"/>
      <c r="BG375" s="220"/>
    </row>
    <row r="376" spans="9:59" x14ac:dyDescent="0.25">
      <c r="I376" s="219"/>
      <c r="J376" s="106"/>
      <c r="K376" s="106"/>
      <c r="N376" s="219"/>
      <c r="S376" s="219"/>
      <c r="T376" s="106"/>
      <c r="U376" s="106"/>
      <c r="X376" s="219"/>
      <c r="AB376" s="106"/>
      <c r="AE376" s="219"/>
      <c r="AI376" s="106"/>
      <c r="AJ376" s="219"/>
      <c r="AN376" s="106"/>
      <c r="BA376" s="220"/>
      <c r="BC376" s="220"/>
      <c r="BE376" s="220"/>
      <c r="BG376" s="220"/>
    </row>
    <row r="377" spans="9:59" x14ac:dyDescent="0.25">
      <c r="I377" s="219"/>
      <c r="J377" s="106"/>
      <c r="K377" s="106"/>
      <c r="N377" s="219"/>
      <c r="S377" s="219"/>
      <c r="T377" s="106"/>
      <c r="U377" s="106"/>
      <c r="X377" s="219"/>
      <c r="AB377" s="106"/>
      <c r="AE377" s="219"/>
      <c r="AI377" s="106"/>
      <c r="AJ377" s="219"/>
      <c r="AN377" s="106"/>
      <c r="BA377" s="220"/>
      <c r="BC377" s="220"/>
      <c r="BE377" s="220"/>
      <c r="BG377" s="220"/>
    </row>
    <row r="378" spans="9:59" x14ac:dyDescent="0.25">
      <c r="I378" s="219"/>
      <c r="J378" s="106"/>
      <c r="K378" s="106"/>
      <c r="N378" s="219"/>
      <c r="S378" s="219"/>
      <c r="T378" s="106"/>
      <c r="U378" s="106"/>
      <c r="X378" s="219"/>
      <c r="AB378" s="106"/>
      <c r="AE378" s="219"/>
      <c r="AI378" s="106"/>
      <c r="AJ378" s="219"/>
      <c r="AN378" s="106"/>
      <c r="BA378" s="220"/>
      <c r="BC378" s="220"/>
      <c r="BE378" s="220"/>
      <c r="BG378" s="220"/>
    </row>
    <row r="379" spans="9:59" x14ac:dyDescent="0.25">
      <c r="I379" s="219"/>
      <c r="J379" s="106"/>
      <c r="K379" s="106"/>
      <c r="N379" s="219"/>
      <c r="S379" s="219"/>
      <c r="T379" s="106"/>
      <c r="U379" s="106"/>
      <c r="X379" s="219"/>
      <c r="AB379" s="106"/>
      <c r="AE379" s="219"/>
      <c r="AI379" s="106"/>
      <c r="AJ379" s="219"/>
      <c r="AN379" s="106"/>
      <c r="BA379" s="220"/>
      <c r="BC379" s="220"/>
      <c r="BE379" s="220"/>
      <c r="BG379" s="220"/>
    </row>
    <row r="380" spans="9:59" x14ac:dyDescent="0.25">
      <c r="I380" s="219"/>
      <c r="J380" s="106"/>
      <c r="K380" s="106"/>
      <c r="N380" s="219"/>
      <c r="S380" s="219"/>
      <c r="T380" s="106"/>
      <c r="U380" s="106"/>
      <c r="X380" s="219"/>
      <c r="AB380" s="106"/>
      <c r="AE380" s="219"/>
      <c r="AI380" s="106"/>
      <c r="AJ380" s="219"/>
      <c r="AN380" s="106"/>
      <c r="BA380" s="220"/>
      <c r="BC380" s="220"/>
      <c r="BE380" s="220"/>
      <c r="BG380" s="220"/>
    </row>
    <row r="381" spans="9:59" x14ac:dyDescent="0.25">
      <c r="I381" s="219"/>
      <c r="J381" s="106"/>
      <c r="K381" s="106"/>
      <c r="N381" s="219"/>
      <c r="S381" s="219"/>
      <c r="T381" s="106"/>
      <c r="U381" s="106"/>
      <c r="X381" s="219"/>
      <c r="AB381" s="106"/>
      <c r="AE381" s="219"/>
      <c r="AI381" s="106"/>
      <c r="AJ381" s="219"/>
      <c r="AN381" s="106"/>
      <c r="BA381" s="220"/>
      <c r="BC381" s="220"/>
      <c r="BE381" s="220"/>
      <c r="BG381" s="220"/>
    </row>
    <row r="382" spans="9:59" x14ac:dyDescent="0.25">
      <c r="I382" s="219"/>
      <c r="J382" s="106"/>
      <c r="K382" s="106"/>
      <c r="N382" s="219"/>
      <c r="S382" s="219"/>
      <c r="T382" s="106"/>
      <c r="U382" s="106"/>
      <c r="X382" s="219"/>
      <c r="AB382" s="106"/>
      <c r="AE382" s="219"/>
      <c r="AI382" s="106"/>
      <c r="AJ382" s="219"/>
      <c r="AN382" s="106"/>
      <c r="BA382" s="220"/>
      <c r="BC382" s="220"/>
      <c r="BE382" s="220"/>
      <c r="BG382" s="220"/>
    </row>
    <row r="383" spans="9:59" x14ac:dyDescent="0.25">
      <c r="I383" s="219"/>
      <c r="J383" s="106"/>
      <c r="K383" s="106"/>
      <c r="N383" s="219"/>
      <c r="S383" s="219"/>
      <c r="T383" s="106"/>
      <c r="U383" s="106"/>
      <c r="X383" s="219"/>
      <c r="AB383" s="106"/>
      <c r="AE383" s="219"/>
      <c r="AI383" s="106"/>
      <c r="AJ383" s="219"/>
      <c r="AN383" s="106"/>
      <c r="BA383" s="220"/>
      <c r="BC383" s="220"/>
      <c r="BE383" s="220"/>
      <c r="BG383" s="220"/>
    </row>
    <row r="384" spans="9:59" x14ac:dyDescent="0.25">
      <c r="I384" s="219"/>
      <c r="J384" s="106"/>
      <c r="K384" s="106"/>
      <c r="N384" s="219"/>
      <c r="S384" s="219"/>
      <c r="T384" s="106"/>
      <c r="U384" s="106"/>
      <c r="X384" s="219"/>
      <c r="AB384" s="106"/>
      <c r="AE384" s="219"/>
      <c r="AI384" s="106"/>
      <c r="AJ384" s="219"/>
      <c r="AN384" s="106"/>
      <c r="BA384" s="220"/>
      <c r="BC384" s="220"/>
      <c r="BE384" s="220"/>
      <c r="BG384" s="220"/>
    </row>
    <row r="385" spans="9:59" x14ac:dyDescent="0.25">
      <c r="I385" s="219"/>
      <c r="J385" s="106"/>
      <c r="K385" s="106"/>
      <c r="N385" s="219"/>
      <c r="S385" s="219"/>
      <c r="T385" s="106"/>
      <c r="U385" s="106"/>
      <c r="X385" s="219"/>
      <c r="AB385" s="106"/>
      <c r="AE385" s="219"/>
      <c r="AI385" s="106"/>
      <c r="AJ385" s="219"/>
      <c r="AN385" s="106"/>
      <c r="BA385" s="220"/>
      <c r="BC385" s="220"/>
      <c r="BE385" s="220"/>
      <c r="BG385" s="220"/>
    </row>
    <row r="386" spans="9:59" x14ac:dyDescent="0.25">
      <c r="I386" s="219"/>
      <c r="J386" s="106"/>
      <c r="K386" s="106"/>
      <c r="N386" s="219"/>
      <c r="S386" s="219"/>
      <c r="T386" s="106"/>
      <c r="U386" s="106"/>
      <c r="X386" s="219"/>
      <c r="AB386" s="106"/>
      <c r="AE386" s="219"/>
      <c r="AI386" s="106"/>
      <c r="AJ386" s="219"/>
      <c r="AN386" s="106"/>
      <c r="BA386" s="220"/>
      <c r="BC386" s="220"/>
      <c r="BE386" s="220"/>
      <c r="BG386" s="220"/>
    </row>
    <row r="387" spans="9:59" x14ac:dyDescent="0.25">
      <c r="I387" s="219"/>
      <c r="J387" s="106"/>
      <c r="K387" s="106"/>
      <c r="N387" s="219"/>
      <c r="S387" s="219"/>
      <c r="T387" s="106"/>
      <c r="U387" s="106"/>
      <c r="X387" s="219"/>
      <c r="AB387" s="106"/>
      <c r="AE387" s="219"/>
      <c r="AI387" s="106"/>
      <c r="AJ387" s="219"/>
      <c r="AN387" s="106"/>
      <c r="BA387" s="220"/>
      <c r="BC387" s="220"/>
      <c r="BE387" s="220"/>
      <c r="BG387" s="220"/>
    </row>
    <row r="388" spans="9:59" x14ac:dyDescent="0.25">
      <c r="I388" s="219"/>
      <c r="J388" s="106"/>
      <c r="K388" s="106"/>
      <c r="N388" s="219"/>
      <c r="S388" s="219"/>
      <c r="T388" s="106"/>
      <c r="U388" s="106"/>
      <c r="X388" s="219"/>
      <c r="AB388" s="106"/>
      <c r="AE388" s="219"/>
      <c r="AI388" s="106"/>
      <c r="AJ388" s="219"/>
      <c r="AN388" s="106"/>
      <c r="BA388" s="220"/>
      <c r="BC388" s="220"/>
      <c r="BE388" s="220"/>
      <c r="BG388" s="220"/>
    </row>
    <row r="389" spans="9:59" x14ac:dyDescent="0.25">
      <c r="I389" s="219"/>
      <c r="J389" s="106"/>
      <c r="K389" s="106"/>
      <c r="N389" s="219"/>
      <c r="S389" s="219"/>
      <c r="T389" s="106"/>
      <c r="U389" s="106"/>
      <c r="X389" s="219"/>
      <c r="AB389" s="106"/>
      <c r="AE389" s="219"/>
      <c r="AI389" s="106"/>
      <c r="AJ389" s="219"/>
      <c r="AN389" s="106"/>
      <c r="BA389" s="220"/>
      <c r="BC389" s="220"/>
      <c r="BE389" s="220"/>
      <c r="BG389" s="220"/>
    </row>
    <row r="390" spans="9:59" x14ac:dyDescent="0.25">
      <c r="I390" s="219"/>
      <c r="J390" s="106"/>
      <c r="K390" s="106"/>
      <c r="N390" s="219"/>
      <c r="S390" s="219"/>
      <c r="T390" s="106"/>
      <c r="U390" s="106"/>
      <c r="X390" s="219"/>
      <c r="AB390" s="106"/>
      <c r="AE390" s="219"/>
      <c r="AI390" s="106"/>
      <c r="AJ390" s="219"/>
      <c r="AN390" s="106"/>
      <c r="BA390" s="220"/>
      <c r="BC390" s="220"/>
      <c r="BE390" s="220"/>
      <c r="BG390" s="220"/>
    </row>
    <row r="391" spans="9:59" x14ac:dyDescent="0.25">
      <c r="I391" s="219"/>
      <c r="J391" s="106"/>
      <c r="K391" s="106"/>
      <c r="N391" s="219"/>
      <c r="S391" s="219"/>
      <c r="T391" s="106"/>
      <c r="U391" s="106"/>
      <c r="X391" s="219"/>
      <c r="AB391" s="106"/>
      <c r="AE391" s="219"/>
      <c r="AI391" s="106"/>
      <c r="AJ391" s="219"/>
      <c r="AN391" s="106"/>
      <c r="BA391" s="220"/>
      <c r="BC391" s="220"/>
      <c r="BE391" s="220"/>
      <c r="BG391" s="220"/>
    </row>
    <row r="392" spans="9:59" x14ac:dyDescent="0.25">
      <c r="I392" s="219"/>
      <c r="J392" s="106"/>
      <c r="K392" s="106"/>
      <c r="N392" s="219"/>
      <c r="S392" s="219"/>
      <c r="T392" s="106"/>
      <c r="U392" s="106"/>
      <c r="X392" s="219"/>
      <c r="AB392" s="106"/>
      <c r="AE392" s="219"/>
      <c r="AI392" s="106"/>
      <c r="AJ392" s="219"/>
      <c r="AN392" s="106"/>
      <c r="BA392" s="220"/>
      <c r="BC392" s="220"/>
      <c r="BE392" s="220"/>
      <c r="BG392" s="220"/>
    </row>
    <row r="393" spans="9:59" x14ac:dyDescent="0.25">
      <c r="I393" s="219"/>
      <c r="J393" s="106"/>
      <c r="K393" s="106"/>
      <c r="N393" s="219"/>
      <c r="S393" s="219"/>
      <c r="T393" s="106"/>
      <c r="U393" s="106"/>
      <c r="X393" s="219"/>
      <c r="AB393" s="106"/>
      <c r="AE393" s="219"/>
      <c r="AI393" s="106"/>
      <c r="AJ393" s="219"/>
      <c r="AN393" s="106"/>
      <c r="BA393" s="220"/>
      <c r="BC393" s="220"/>
      <c r="BE393" s="220"/>
      <c r="BG393" s="220"/>
    </row>
    <row r="394" spans="9:59" x14ac:dyDescent="0.25">
      <c r="I394" s="219"/>
      <c r="J394" s="106"/>
      <c r="K394" s="106"/>
      <c r="N394" s="219"/>
      <c r="S394" s="219"/>
      <c r="T394" s="106"/>
      <c r="U394" s="106"/>
      <c r="X394" s="219"/>
      <c r="AB394" s="106"/>
      <c r="AE394" s="219"/>
      <c r="AI394" s="106"/>
      <c r="AJ394" s="219"/>
      <c r="AN394" s="106"/>
      <c r="BA394" s="220"/>
      <c r="BC394" s="220"/>
      <c r="BE394" s="220"/>
      <c r="BG394" s="220"/>
    </row>
    <row r="395" spans="9:59" x14ac:dyDescent="0.25">
      <c r="I395" s="219"/>
      <c r="J395" s="106"/>
      <c r="K395" s="106"/>
      <c r="N395" s="219"/>
      <c r="S395" s="219"/>
      <c r="T395" s="106"/>
      <c r="U395" s="106"/>
      <c r="X395" s="219"/>
      <c r="AB395" s="106"/>
      <c r="AE395" s="219"/>
      <c r="AI395" s="106"/>
      <c r="AJ395" s="219"/>
      <c r="AN395" s="106"/>
      <c r="BA395" s="220"/>
      <c r="BC395" s="220"/>
      <c r="BE395" s="220"/>
      <c r="BG395" s="220"/>
    </row>
    <row r="396" spans="9:59" x14ac:dyDescent="0.25">
      <c r="I396" s="106"/>
      <c r="J396" s="106"/>
      <c r="K396" s="106"/>
      <c r="S396" s="106"/>
      <c r="T396" s="106"/>
      <c r="U396" s="106"/>
      <c r="AB396" s="106"/>
      <c r="AI396" s="106"/>
      <c r="AN396" s="106"/>
      <c r="BA396" s="11"/>
      <c r="BC396" s="11"/>
      <c r="BE396" s="11"/>
      <c r="BG396" s="11"/>
    </row>
    <row r="397" spans="9:59" x14ac:dyDescent="0.25">
      <c r="I397" s="106"/>
      <c r="J397" s="106"/>
      <c r="K397" s="106"/>
      <c r="S397" s="106"/>
      <c r="T397" s="106"/>
      <c r="U397" s="106"/>
      <c r="AB397" s="106"/>
      <c r="AI397" s="106"/>
      <c r="AN397" s="106"/>
      <c r="BA397" s="11"/>
      <c r="BC397" s="11"/>
      <c r="BE397" s="11"/>
      <c r="BG397" s="11"/>
    </row>
    <row r="398" spans="9:59" x14ac:dyDescent="0.25">
      <c r="I398" s="106"/>
      <c r="J398" s="106"/>
      <c r="K398" s="106"/>
      <c r="S398" s="106"/>
      <c r="T398" s="106"/>
      <c r="U398" s="106"/>
      <c r="AB398" s="106"/>
      <c r="AI398" s="106"/>
      <c r="AN398" s="106"/>
      <c r="BA398" s="11"/>
      <c r="BC398" s="11"/>
      <c r="BE398" s="11"/>
      <c r="BG398" s="11"/>
    </row>
    <row r="399" spans="9:59" x14ac:dyDescent="0.25">
      <c r="I399" s="106"/>
      <c r="J399" s="106"/>
      <c r="K399" s="106"/>
      <c r="S399" s="106"/>
      <c r="T399" s="106"/>
      <c r="U399" s="106"/>
      <c r="AB399" s="106"/>
      <c r="AI399" s="106"/>
      <c r="AN399" s="106"/>
      <c r="BA399" s="11"/>
      <c r="BC399" s="11"/>
      <c r="BE399" s="11"/>
      <c r="BG399" s="11"/>
    </row>
    <row r="400" spans="9:59" x14ac:dyDescent="0.25">
      <c r="I400" s="106"/>
      <c r="J400" s="106"/>
      <c r="K400" s="106"/>
      <c r="S400" s="106"/>
      <c r="T400" s="106"/>
      <c r="U400" s="106"/>
      <c r="AB400" s="106"/>
      <c r="AI400" s="106"/>
      <c r="AN400" s="106"/>
      <c r="BA400" s="11"/>
      <c r="BC400" s="11"/>
      <c r="BE400" s="11"/>
      <c r="BG400" s="11"/>
    </row>
    <row r="401" spans="9:59" x14ac:dyDescent="0.25">
      <c r="I401" s="106"/>
      <c r="J401" s="106"/>
      <c r="K401" s="106"/>
      <c r="S401" s="106"/>
      <c r="T401" s="106"/>
      <c r="U401" s="106"/>
      <c r="AB401" s="106"/>
      <c r="AI401" s="106"/>
      <c r="AN401" s="106"/>
      <c r="BA401" s="11"/>
      <c r="BC401" s="11"/>
      <c r="BE401" s="11"/>
      <c r="BG401" s="11"/>
    </row>
    <row r="402" spans="9:59" x14ac:dyDescent="0.25">
      <c r="I402" s="106"/>
      <c r="J402" s="106"/>
      <c r="K402" s="106"/>
      <c r="S402" s="106"/>
      <c r="T402" s="106"/>
      <c r="U402" s="106"/>
      <c r="AB402" s="106"/>
      <c r="AI402" s="106"/>
      <c r="AN402" s="106"/>
      <c r="BA402" s="11"/>
      <c r="BC402" s="11"/>
      <c r="BE402" s="11"/>
      <c r="BG402" s="11"/>
    </row>
    <row r="403" spans="9:59" x14ac:dyDescent="0.25">
      <c r="I403" s="106"/>
      <c r="J403" s="106"/>
      <c r="K403" s="106"/>
      <c r="S403" s="106"/>
      <c r="T403" s="106"/>
      <c r="U403" s="106"/>
      <c r="AB403" s="106"/>
      <c r="AI403" s="106"/>
      <c r="AN403" s="106"/>
      <c r="BA403" s="11"/>
      <c r="BC403" s="11"/>
      <c r="BE403" s="11"/>
      <c r="BG403" s="11"/>
    </row>
    <row r="404" spans="9:59" x14ac:dyDescent="0.25">
      <c r="I404" s="106"/>
      <c r="J404" s="106"/>
      <c r="K404" s="106"/>
      <c r="S404" s="106"/>
      <c r="T404" s="106"/>
      <c r="U404" s="106"/>
      <c r="AB404" s="106"/>
      <c r="AI404" s="106"/>
      <c r="AN404" s="106"/>
      <c r="BA404" s="11"/>
      <c r="BC404" s="11"/>
      <c r="BE404" s="11"/>
      <c r="BG404" s="11"/>
    </row>
    <row r="405" spans="9:59" x14ac:dyDescent="0.25">
      <c r="I405" s="106"/>
      <c r="J405" s="106"/>
      <c r="K405" s="106"/>
      <c r="S405" s="106"/>
      <c r="T405" s="106"/>
      <c r="U405" s="106"/>
      <c r="AB405" s="106"/>
      <c r="AI405" s="106"/>
      <c r="AN405" s="106"/>
      <c r="BA405" s="11"/>
      <c r="BC405" s="11"/>
      <c r="BE405" s="11"/>
      <c r="BG405" s="11"/>
    </row>
    <row r="406" spans="9:59" x14ac:dyDescent="0.25">
      <c r="I406" s="106"/>
      <c r="J406" s="106"/>
      <c r="K406" s="106"/>
      <c r="S406" s="106"/>
      <c r="T406" s="106"/>
      <c r="U406" s="106"/>
      <c r="AB406" s="106"/>
      <c r="AI406" s="106"/>
      <c r="AN406" s="106"/>
      <c r="BA406" s="11"/>
      <c r="BC406" s="11"/>
      <c r="BE406" s="11"/>
      <c r="BG406" s="11"/>
    </row>
    <row r="407" spans="9:59" x14ac:dyDescent="0.25">
      <c r="I407" s="106"/>
      <c r="J407" s="106"/>
      <c r="K407" s="106"/>
      <c r="S407" s="106"/>
      <c r="T407" s="106"/>
      <c r="U407" s="106"/>
      <c r="AB407" s="106"/>
      <c r="AI407" s="106"/>
      <c r="AN407" s="106"/>
      <c r="BA407" s="11"/>
      <c r="BC407" s="11"/>
      <c r="BE407" s="11"/>
      <c r="BG407" s="11"/>
    </row>
    <row r="408" spans="9:59" x14ac:dyDescent="0.25">
      <c r="I408" s="106"/>
      <c r="J408" s="106"/>
      <c r="K408" s="106"/>
      <c r="S408" s="106"/>
      <c r="T408" s="106"/>
      <c r="U408" s="106"/>
      <c r="AB408" s="106"/>
      <c r="AI408" s="106"/>
      <c r="AN408" s="106"/>
      <c r="BA408" s="11"/>
      <c r="BC408" s="11"/>
      <c r="BE408" s="11"/>
      <c r="BG408" s="11"/>
    </row>
    <row r="409" spans="9:59" x14ac:dyDescent="0.25">
      <c r="I409" s="106"/>
      <c r="J409" s="106"/>
      <c r="K409" s="106"/>
      <c r="S409" s="106"/>
      <c r="T409" s="106"/>
      <c r="U409" s="106"/>
      <c r="AB409" s="106"/>
      <c r="AI409" s="106"/>
      <c r="AN409" s="106"/>
      <c r="BA409" s="11"/>
      <c r="BC409" s="11"/>
      <c r="BE409" s="11"/>
      <c r="BG409" s="11"/>
    </row>
    <row r="410" spans="9:59" x14ac:dyDescent="0.25">
      <c r="I410" s="106"/>
      <c r="J410" s="106"/>
      <c r="K410" s="106"/>
      <c r="S410" s="106"/>
      <c r="T410" s="106"/>
      <c r="U410" s="106"/>
      <c r="AB410" s="106"/>
      <c r="AI410" s="106"/>
      <c r="AN410" s="106"/>
      <c r="BA410" s="11"/>
      <c r="BC410" s="11"/>
      <c r="BE410" s="11"/>
      <c r="BG410" s="11"/>
    </row>
    <row r="411" spans="9:59" x14ac:dyDescent="0.25">
      <c r="I411" s="106"/>
      <c r="J411" s="106"/>
      <c r="K411" s="106"/>
      <c r="S411" s="106"/>
      <c r="T411" s="106"/>
      <c r="U411" s="106"/>
      <c r="AB411" s="106"/>
      <c r="AI411" s="106"/>
      <c r="AN411" s="106"/>
      <c r="BA411" s="11"/>
      <c r="BC411" s="11"/>
      <c r="BE411" s="11"/>
      <c r="BG411" s="11"/>
    </row>
    <row r="412" spans="9:59" x14ac:dyDescent="0.25">
      <c r="I412" s="106"/>
      <c r="J412" s="106"/>
      <c r="K412" s="106"/>
      <c r="S412" s="106"/>
      <c r="T412" s="106"/>
      <c r="U412" s="106"/>
      <c r="AB412" s="106"/>
      <c r="AI412" s="106"/>
      <c r="AN412" s="106"/>
      <c r="BA412" s="11"/>
      <c r="BC412" s="11"/>
      <c r="BE412" s="11"/>
      <c r="BG412" s="11"/>
    </row>
    <row r="413" spans="9:59" x14ac:dyDescent="0.25">
      <c r="I413" s="106"/>
      <c r="J413" s="106"/>
      <c r="K413" s="106"/>
      <c r="S413" s="106"/>
      <c r="T413" s="106"/>
      <c r="U413" s="106"/>
      <c r="AB413" s="106"/>
      <c r="AI413" s="106"/>
      <c r="AN413" s="106"/>
    </row>
    <row r="414" spans="9:59" x14ac:dyDescent="0.25">
      <c r="I414" s="106"/>
      <c r="J414" s="106"/>
      <c r="K414" s="106"/>
      <c r="S414" s="106"/>
      <c r="T414" s="106"/>
      <c r="U414" s="106"/>
      <c r="AB414" s="106"/>
      <c r="AI414" s="106"/>
      <c r="AN414" s="106"/>
    </row>
    <row r="415" spans="9:59" x14ac:dyDescent="0.25">
      <c r="I415" s="106"/>
      <c r="J415" s="106"/>
      <c r="K415" s="106"/>
      <c r="S415" s="106"/>
      <c r="T415" s="106"/>
      <c r="U415" s="106"/>
      <c r="AB415" s="106"/>
      <c r="AI415" s="106"/>
      <c r="AN415" s="106"/>
    </row>
    <row r="416" spans="9:59" x14ac:dyDescent="0.25">
      <c r="I416" s="106"/>
      <c r="J416" s="106"/>
      <c r="K416" s="106"/>
      <c r="S416" s="106"/>
      <c r="T416" s="106"/>
      <c r="U416" s="106"/>
      <c r="AB416" s="106"/>
      <c r="AI416" s="106"/>
      <c r="AN416" s="106"/>
    </row>
    <row r="417" spans="9:40" x14ac:dyDescent="0.25">
      <c r="I417" s="106"/>
      <c r="J417" s="106"/>
      <c r="K417" s="106"/>
      <c r="S417" s="106"/>
      <c r="T417" s="106"/>
      <c r="U417" s="106"/>
      <c r="AB417" s="106"/>
      <c r="AI417" s="106"/>
      <c r="AN417" s="106"/>
    </row>
    <row r="418" spans="9:40" x14ac:dyDescent="0.25">
      <c r="I418" s="106"/>
      <c r="J418" s="106"/>
      <c r="K418" s="106"/>
      <c r="S418" s="106"/>
      <c r="T418" s="106"/>
      <c r="U418" s="106"/>
      <c r="AB418" s="106"/>
      <c r="AI418" s="106"/>
      <c r="AN418" s="106"/>
    </row>
    <row r="419" spans="9:40" x14ac:dyDescent="0.25">
      <c r="I419" s="106"/>
      <c r="J419" s="106"/>
      <c r="K419" s="106"/>
      <c r="S419" s="106"/>
      <c r="T419" s="106"/>
      <c r="U419" s="106"/>
      <c r="AB419" s="106"/>
      <c r="AI419" s="106"/>
      <c r="AN419" s="106"/>
    </row>
    <row r="420" spans="9:40" x14ac:dyDescent="0.25">
      <c r="I420" s="106"/>
      <c r="J420" s="106"/>
      <c r="K420" s="106"/>
      <c r="S420" s="106"/>
      <c r="T420" s="106"/>
      <c r="U420" s="106"/>
      <c r="AB420" s="106"/>
      <c r="AI420" s="106"/>
      <c r="AN420" s="106"/>
    </row>
    <row r="421" spans="9:40" x14ac:dyDescent="0.25">
      <c r="I421" s="106"/>
      <c r="J421" s="106"/>
      <c r="K421" s="106"/>
      <c r="S421" s="106"/>
      <c r="T421" s="106"/>
      <c r="U421" s="106"/>
      <c r="AB421" s="106"/>
      <c r="AI421" s="106"/>
      <c r="AN421" s="106"/>
    </row>
    <row r="422" spans="9:40" x14ac:dyDescent="0.25">
      <c r="I422" s="106"/>
      <c r="J422" s="106"/>
      <c r="K422" s="106"/>
      <c r="S422" s="106"/>
      <c r="T422" s="106"/>
      <c r="U422" s="106"/>
      <c r="AB422" s="106"/>
      <c r="AI422" s="106"/>
      <c r="AN422" s="106"/>
    </row>
    <row r="423" spans="9:40" x14ac:dyDescent="0.25">
      <c r="I423" s="106"/>
      <c r="J423" s="106"/>
      <c r="K423" s="106"/>
      <c r="S423" s="106"/>
      <c r="T423" s="106"/>
      <c r="U423" s="106"/>
      <c r="AB423" s="106"/>
      <c r="AI423" s="106"/>
      <c r="AN423" s="106"/>
    </row>
    <row r="424" spans="9:40" x14ac:dyDescent="0.25">
      <c r="I424" s="106"/>
      <c r="J424" s="106"/>
      <c r="K424" s="106"/>
      <c r="S424" s="106"/>
      <c r="T424" s="106"/>
      <c r="U424" s="106"/>
      <c r="AB424" s="106"/>
      <c r="AI424" s="106"/>
      <c r="AN424" s="106"/>
    </row>
    <row r="425" spans="9:40" x14ac:dyDescent="0.25">
      <c r="I425" s="106"/>
      <c r="J425" s="106"/>
      <c r="K425" s="106"/>
      <c r="S425" s="106"/>
      <c r="T425" s="106"/>
      <c r="U425" s="106"/>
      <c r="AB425" s="106"/>
      <c r="AI425" s="106"/>
      <c r="AN425" s="106"/>
    </row>
    <row r="426" spans="9:40" x14ac:dyDescent="0.25">
      <c r="I426" s="106"/>
      <c r="J426" s="106"/>
      <c r="K426" s="106"/>
      <c r="S426" s="106"/>
      <c r="T426" s="106"/>
      <c r="U426" s="106"/>
      <c r="AB426" s="106"/>
      <c r="AI426" s="106"/>
      <c r="AN426" s="106"/>
    </row>
    <row r="427" spans="9:40" x14ac:dyDescent="0.25">
      <c r="I427" s="106"/>
      <c r="J427" s="106"/>
      <c r="K427" s="106"/>
      <c r="S427" s="106"/>
      <c r="T427" s="106"/>
      <c r="U427" s="106"/>
      <c r="AB427" s="106"/>
      <c r="AI427" s="106"/>
      <c r="AN427" s="106"/>
    </row>
    <row r="428" spans="9:40" x14ac:dyDescent="0.25">
      <c r="I428" s="106"/>
      <c r="J428" s="106"/>
      <c r="K428" s="106"/>
      <c r="S428" s="106"/>
      <c r="T428" s="106"/>
      <c r="U428" s="106"/>
      <c r="AB428" s="106"/>
      <c r="AI428" s="106"/>
      <c r="AN428" s="106"/>
    </row>
    <row r="429" spans="9:40" x14ac:dyDescent="0.25">
      <c r="I429" s="106"/>
      <c r="J429" s="106"/>
      <c r="K429" s="106"/>
      <c r="S429" s="106"/>
      <c r="T429" s="106"/>
      <c r="U429" s="106"/>
      <c r="AB429" s="106"/>
      <c r="AI429" s="106"/>
      <c r="AN429" s="106"/>
    </row>
    <row r="430" spans="9:40" x14ac:dyDescent="0.25">
      <c r="I430" s="106"/>
      <c r="J430" s="106"/>
      <c r="K430" s="106"/>
      <c r="S430" s="106"/>
      <c r="T430" s="106"/>
      <c r="U430" s="106"/>
      <c r="AB430" s="106"/>
      <c r="AI430" s="106"/>
      <c r="AN430" s="106"/>
    </row>
    <row r="431" spans="9:40" x14ac:dyDescent="0.25">
      <c r="I431" s="106"/>
      <c r="J431" s="106"/>
      <c r="K431" s="106"/>
      <c r="S431" s="106"/>
      <c r="T431" s="106"/>
      <c r="U431" s="106"/>
      <c r="AB431" s="106"/>
      <c r="AI431" s="106"/>
      <c r="AN431" s="106"/>
    </row>
    <row r="432" spans="9:40" x14ac:dyDescent="0.25">
      <c r="I432" s="106"/>
      <c r="J432" s="106"/>
      <c r="K432" s="106"/>
      <c r="S432" s="106"/>
      <c r="T432" s="106"/>
      <c r="U432" s="106"/>
      <c r="AB432" s="106"/>
      <c r="AI432" s="106"/>
      <c r="AN432" s="106"/>
    </row>
    <row r="433" spans="9:40" x14ac:dyDescent="0.25">
      <c r="I433" s="106"/>
      <c r="J433" s="106"/>
      <c r="K433" s="106"/>
      <c r="S433" s="106"/>
      <c r="T433" s="106"/>
      <c r="U433" s="106"/>
      <c r="AB433" s="106"/>
      <c r="AI433" s="106"/>
      <c r="AN433" s="106"/>
    </row>
    <row r="434" spans="9:40" x14ac:dyDescent="0.25">
      <c r="I434" s="106"/>
      <c r="J434" s="106"/>
      <c r="K434" s="106"/>
      <c r="S434" s="106"/>
      <c r="T434" s="106"/>
      <c r="U434" s="106"/>
      <c r="AB434" s="106"/>
      <c r="AI434" s="106"/>
      <c r="AN434" s="106"/>
    </row>
    <row r="435" spans="9:40" x14ac:dyDescent="0.25">
      <c r="I435" s="106"/>
      <c r="J435" s="106"/>
      <c r="K435" s="106"/>
      <c r="S435" s="106"/>
      <c r="T435" s="106"/>
      <c r="U435" s="106"/>
      <c r="AB435" s="106"/>
      <c r="AI435" s="106"/>
      <c r="AN435" s="106"/>
    </row>
    <row r="436" spans="9:40" x14ac:dyDescent="0.25">
      <c r="I436" s="106"/>
      <c r="J436" s="106"/>
      <c r="K436" s="106"/>
      <c r="S436" s="106"/>
      <c r="T436" s="106"/>
      <c r="U436" s="106"/>
      <c r="AB436" s="106"/>
      <c r="AI436" s="106"/>
      <c r="AN436" s="106"/>
    </row>
    <row r="437" spans="9:40" x14ac:dyDescent="0.25">
      <c r="I437" s="106"/>
      <c r="J437" s="106"/>
      <c r="K437" s="106"/>
      <c r="S437" s="106"/>
      <c r="T437" s="106"/>
      <c r="U437" s="106"/>
      <c r="AB437" s="106"/>
      <c r="AI437" s="106"/>
      <c r="AN437" s="106"/>
    </row>
    <row r="438" spans="9:40" x14ac:dyDescent="0.25">
      <c r="I438" s="106"/>
      <c r="J438" s="106"/>
      <c r="K438" s="106"/>
      <c r="S438" s="106"/>
      <c r="T438" s="106"/>
      <c r="U438" s="106"/>
      <c r="AB438" s="106"/>
      <c r="AI438" s="106"/>
      <c r="AN438" s="106"/>
    </row>
    <row r="439" spans="9:40" x14ac:dyDescent="0.25">
      <c r="I439" s="106"/>
      <c r="J439" s="106"/>
      <c r="K439" s="106"/>
      <c r="S439" s="106"/>
      <c r="T439" s="106"/>
      <c r="U439" s="106"/>
      <c r="AB439" s="106"/>
      <c r="AI439" s="106"/>
      <c r="AN439" s="106"/>
    </row>
    <row r="440" spans="9:40" x14ac:dyDescent="0.25">
      <c r="I440" s="106"/>
      <c r="J440" s="106"/>
      <c r="K440" s="106"/>
      <c r="S440" s="106"/>
      <c r="T440" s="106"/>
      <c r="U440" s="106"/>
      <c r="AB440" s="106"/>
      <c r="AI440" s="106"/>
      <c r="AN440" s="106"/>
    </row>
    <row r="441" spans="9:40" x14ac:dyDescent="0.25">
      <c r="I441" s="106"/>
      <c r="J441" s="106"/>
      <c r="K441" s="106"/>
      <c r="S441" s="106"/>
      <c r="T441" s="106"/>
      <c r="U441" s="106"/>
      <c r="AB441" s="106"/>
      <c r="AI441" s="106"/>
      <c r="AN441" s="106"/>
    </row>
    <row r="442" spans="9:40" x14ac:dyDescent="0.25">
      <c r="I442" s="106"/>
      <c r="J442" s="106"/>
      <c r="K442" s="106"/>
      <c r="S442" s="106"/>
      <c r="T442" s="106"/>
      <c r="U442" s="106"/>
      <c r="AB442" s="106"/>
      <c r="AI442" s="106"/>
      <c r="AN442" s="106"/>
    </row>
    <row r="443" spans="9:40" x14ac:dyDescent="0.25">
      <c r="I443" s="106"/>
      <c r="J443" s="106"/>
      <c r="K443" s="106"/>
      <c r="S443" s="106"/>
      <c r="T443" s="106"/>
      <c r="U443" s="106"/>
      <c r="AB443" s="106"/>
      <c r="AI443" s="106"/>
      <c r="AN443" s="106"/>
    </row>
    <row r="444" spans="9:40" x14ac:dyDescent="0.25">
      <c r="I444" s="106"/>
      <c r="J444" s="106"/>
      <c r="K444" s="106"/>
      <c r="S444" s="106"/>
      <c r="T444" s="106"/>
      <c r="U444" s="106"/>
      <c r="AB444" s="106"/>
      <c r="AI444" s="106"/>
      <c r="AN444" s="106"/>
    </row>
    <row r="445" spans="9:40" x14ac:dyDescent="0.25">
      <c r="I445" s="106"/>
      <c r="J445" s="106"/>
      <c r="K445" s="106"/>
      <c r="S445" s="106"/>
      <c r="T445" s="106"/>
      <c r="U445" s="106"/>
      <c r="AB445" s="106"/>
      <c r="AI445" s="106"/>
      <c r="AN445" s="106"/>
    </row>
    <row r="446" spans="9:40" x14ac:dyDescent="0.25">
      <c r="I446" s="106"/>
      <c r="J446" s="106"/>
      <c r="K446" s="106"/>
      <c r="S446" s="106"/>
      <c r="T446" s="106"/>
      <c r="U446" s="106"/>
      <c r="AB446" s="106"/>
      <c r="AI446" s="106"/>
      <c r="AN446" s="106"/>
    </row>
    <row r="447" spans="9:40" x14ac:dyDescent="0.25">
      <c r="I447" s="106"/>
      <c r="J447" s="106"/>
      <c r="K447" s="106"/>
      <c r="S447" s="106"/>
      <c r="T447" s="106"/>
      <c r="U447" s="106"/>
      <c r="AB447" s="106"/>
      <c r="AI447" s="106"/>
      <c r="AN447" s="106"/>
    </row>
    <row r="448" spans="9:40" x14ac:dyDescent="0.25">
      <c r="I448" s="106"/>
      <c r="J448" s="106"/>
      <c r="K448" s="106"/>
      <c r="S448" s="106"/>
      <c r="T448" s="106"/>
      <c r="U448" s="106"/>
      <c r="AB448" s="106"/>
      <c r="AI448" s="106"/>
      <c r="AN448" s="106"/>
    </row>
    <row r="449" spans="9:40" x14ac:dyDescent="0.25">
      <c r="I449" s="106"/>
      <c r="J449" s="106"/>
      <c r="K449" s="106"/>
      <c r="S449" s="106"/>
      <c r="T449" s="106"/>
      <c r="U449" s="106"/>
      <c r="AB449" s="106"/>
      <c r="AI449" s="106"/>
      <c r="AN449" s="106"/>
    </row>
    <row r="450" spans="9:40" x14ac:dyDescent="0.25">
      <c r="I450" s="106"/>
      <c r="J450" s="106"/>
      <c r="K450" s="106"/>
      <c r="S450" s="106"/>
      <c r="T450" s="106"/>
      <c r="U450" s="106"/>
      <c r="AB450" s="106"/>
      <c r="AI450" s="106"/>
      <c r="AN450" s="106"/>
    </row>
    <row r="451" spans="9:40" x14ac:dyDescent="0.25">
      <c r="I451" s="106"/>
      <c r="J451" s="106"/>
      <c r="K451" s="106"/>
      <c r="S451" s="106"/>
      <c r="T451" s="106"/>
      <c r="U451" s="106"/>
      <c r="AB451" s="106"/>
      <c r="AI451" s="106"/>
      <c r="AN451" s="106"/>
    </row>
    <row r="452" spans="9:40" x14ac:dyDescent="0.25">
      <c r="I452" s="106"/>
      <c r="J452" s="106"/>
      <c r="K452" s="106"/>
      <c r="S452" s="106"/>
      <c r="T452" s="106"/>
      <c r="U452" s="106"/>
      <c r="AB452" s="106"/>
      <c r="AI452" s="106"/>
      <c r="AN452" s="106"/>
    </row>
    <row r="453" spans="9:40" x14ac:dyDescent="0.25">
      <c r="I453" s="106"/>
      <c r="J453" s="106"/>
      <c r="K453" s="106"/>
      <c r="S453" s="106"/>
      <c r="T453" s="106"/>
      <c r="U453" s="106"/>
      <c r="AB453" s="106"/>
      <c r="AI453" s="106"/>
      <c r="AN453" s="106"/>
    </row>
    <row r="454" spans="9:40" x14ac:dyDescent="0.25">
      <c r="I454" s="106"/>
      <c r="J454" s="106"/>
      <c r="K454" s="106"/>
      <c r="S454" s="106"/>
      <c r="T454" s="106"/>
      <c r="U454" s="106"/>
      <c r="AB454" s="106"/>
      <c r="AI454" s="106"/>
      <c r="AN454" s="106"/>
    </row>
    <row r="455" spans="9:40" x14ac:dyDescent="0.25">
      <c r="I455" s="106"/>
      <c r="J455" s="106"/>
      <c r="K455" s="106"/>
      <c r="S455" s="106"/>
      <c r="T455" s="106"/>
      <c r="U455" s="106"/>
      <c r="AB455" s="106"/>
      <c r="AI455" s="106"/>
      <c r="AN455" s="106"/>
    </row>
    <row r="456" spans="9:40" x14ac:dyDescent="0.25">
      <c r="I456" s="106"/>
      <c r="J456" s="106"/>
      <c r="K456" s="106"/>
      <c r="S456" s="106"/>
      <c r="T456" s="106"/>
      <c r="U456" s="106"/>
      <c r="AB456" s="106"/>
      <c r="AI456" s="106"/>
      <c r="AN456" s="106"/>
    </row>
    <row r="457" spans="9:40" x14ac:dyDescent="0.25">
      <c r="I457" s="106"/>
      <c r="J457" s="106"/>
      <c r="K457" s="106"/>
      <c r="S457" s="106"/>
      <c r="T457" s="106"/>
      <c r="U457" s="106"/>
      <c r="AB457" s="106"/>
      <c r="AI457" s="106"/>
      <c r="AN457" s="106"/>
    </row>
    <row r="458" spans="9:40" x14ac:dyDescent="0.25">
      <c r="I458" s="106"/>
      <c r="J458" s="106"/>
      <c r="K458" s="106"/>
      <c r="S458" s="106"/>
      <c r="T458" s="106"/>
      <c r="U458" s="106"/>
      <c r="AB458" s="106"/>
      <c r="AI458" s="106"/>
      <c r="AN458" s="106"/>
    </row>
    <row r="459" spans="9:40" x14ac:dyDescent="0.25">
      <c r="I459" s="106"/>
      <c r="J459" s="106"/>
      <c r="K459" s="106"/>
      <c r="S459" s="106"/>
      <c r="T459" s="106"/>
      <c r="U459" s="106"/>
      <c r="AB459" s="106"/>
      <c r="AI459" s="106"/>
      <c r="AN459" s="106"/>
    </row>
    <row r="460" spans="9:40" x14ac:dyDescent="0.25">
      <c r="I460" s="106"/>
      <c r="J460" s="106"/>
      <c r="K460" s="106"/>
      <c r="S460" s="106"/>
      <c r="T460" s="106"/>
      <c r="U460" s="106"/>
      <c r="AB460" s="106"/>
      <c r="AI460" s="106"/>
      <c r="AN460" s="106"/>
    </row>
    <row r="461" spans="9:40" x14ac:dyDescent="0.25">
      <c r="I461" s="106"/>
      <c r="J461" s="106"/>
      <c r="K461" s="106"/>
      <c r="S461" s="106"/>
      <c r="T461" s="106"/>
      <c r="U461" s="106"/>
      <c r="AB461" s="106"/>
      <c r="AI461" s="106"/>
      <c r="AN461" s="106"/>
    </row>
    <row r="462" spans="9:40" x14ac:dyDescent="0.25">
      <c r="I462" s="106"/>
      <c r="J462" s="106"/>
      <c r="K462" s="106"/>
      <c r="S462" s="106"/>
      <c r="T462" s="106"/>
      <c r="U462" s="106"/>
      <c r="AB462" s="106"/>
      <c r="AI462" s="106"/>
      <c r="AN462" s="106"/>
    </row>
    <row r="463" spans="9:40" x14ac:dyDescent="0.25">
      <c r="I463" s="106"/>
      <c r="J463" s="106"/>
      <c r="K463" s="106"/>
      <c r="S463" s="106"/>
      <c r="T463" s="106"/>
      <c r="U463" s="106"/>
      <c r="AB463" s="106"/>
      <c r="AI463" s="106"/>
      <c r="AN463" s="106"/>
    </row>
    <row r="464" spans="9:40" x14ac:dyDescent="0.25">
      <c r="I464" s="106"/>
      <c r="J464" s="106"/>
      <c r="K464" s="106"/>
      <c r="S464" s="106"/>
      <c r="T464" s="106"/>
      <c r="U464" s="106"/>
      <c r="AB464" s="106"/>
      <c r="AI464" s="106"/>
      <c r="AN464" s="106"/>
    </row>
    <row r="465" spans="9:40" x14ac:dyDescent="0.25">
      <c r="I465" s="106"/>
      <c r="J465" s="106"/>
      <c r="K465" s="106"/>
      <c r="S465" s="106"/>
      <c r="T465" s="106"/>
      <c r="U465" s="106"/>
      <c r="AB465" s="106"/>
      <c r="AI465" s="106"/>
      <c r="AN465" s="106"/>
    </row>
    <row r="466" spans="9:40" x14ac:dyDescent="0.25">
      <c r="I466" s="106"/>
      <c r="J466" s="106"/>
      <c r="K466" s="106"/>
      <c r="S466" s="106"/>
      <c r="T466" s="106"/>
      <c r="U466" s="106"/>
      <c r="AB466" s="106"/>
      <c r="AI466" s="106"/>
      <c r="AN466" s="106"/>
    </row>
    <row r="467" spans="9:40" x14ac:dyDescent="0.25">
      <c r="I467" s="106"/>
      <c r="J467" s="106"/>
      <c r="K467" s="106"/>
      <c r="S467" s="106"/>
      <c r="T467" s="106"/>
      <c r="U467" s="106"/>
      <c r="AB467" s="106"/>
      <c r="AI467" s="106"/>
      <c r="AN467" s="106"/>
    </row>
    <row r="468" spans="9:40" x14ac:dyDescent="0.25">
      <c r="I468" s="106"/>
      <c r="J468" s="106"/>
      <c r="K468" s="106"/>
      <c r="S468" s="106"/>
      <c r="T468" s="106"/>
      <c r="U468" s="106"/>
      <c r="AB468" s="106"/>
      <c r="AI468" s="106"/>
      <c r="AN468" s="106"/>
    </row>
    <row r="469" spans="9:40" x14ac:dyDescent="0.25">
      <c r="I469" s="106"/>
      <c r="J469" s="106"/>
      <c r="K469" s="106"/>
      <c r="S469" s="106"/>
      <c r="T469" s="106"/>
      <c r="U469" s="106"/>
      <c r="AB469" s="106"/>
      <c r="AI469" s="106"/>
      <c r="AN469" s="106"/>
    </row>
    <row r="470" spans="9:40" x14ac:dyDescent="0.25">
      <c r="I470" s="106"/>
      <c r="J470" s="106"/>
      <c r="K470" s="106"/>
      <c r="S470" s="106"/>
      <c r="T470" s="106"/>
      <c r="U470" s="106"/>
      <c r="AB470" s="106"/>
      <c r="AI470" s="106"/>
      <c r="AN470" s="106"/>
    </row>
    <row r="471" spans="9:40" x14ac:dyDescent="0.25">
      <c r="I471" s="106"/>
      <c r="J471" s="106"/>
      <c r="K471" s="106"/>
      <c r="S471" s="106"/>
      <c r="T471" s="106"/>
      <c r="U471" s="106"/>
      <c r="AB471" s="106"/>
      <c r="AI471" s="106"/>
      <c r="AN471" s="106"/>
    </row>
    <row r="472" spans="9:40" x14ac:dyDescent="0.25">
      <c r="I472" s="106"/>
      <c r="J472" s="106"/>
      <c r="K472" s="106"/>
      <c r="S472" s="106"/>
      <c r="T472" s="106"/>
      <c r="U472" s="106"/>
      <c r="AB472" s="106"/>
      <c r="AI472" s="106"/>
      <c r="AN472" s="106"/>
    </row>
    <row r="473" spans="9:40" x14ac:dyDescent="0.25">
      <c r="I473" s="106"/>
      <c r="J473" s="106"/>
      <c r="K473" s="106"/>
      <c r="S473" s="106"/>
      <c r="T473" s="106"/>
      <c r="U473" s="106"/>
      <c r="AB473" s="106"/>
      <c r="AI473" s="106"/>
      <c r="AN473" s="106"/>
    </row>
    <row r="474" spans="9:40" x14ac:dyDescent="0.25">
      <c r="I474" s="106"/>
      <c r="J474" s="106"/>
      <c r="K474" s="106"/>
      <c r="S474" s="106"/>
      <c r="T474" s="106"/>
      <c r="U474" s="106"/>
      <c r="AB474" s="106"/>
      <c r="AI474" s="106"/>
      <c r="AN474" s="106"/>
    </row>
    <row r="475" spans="9:40" x14ac:dyDescent="0.25">
      <c r="I475" s="106"/>
      <c r="J475" s="106"/>
      <c r="K475" s="106"/>
      <c r="S475" s="106"/>
      <c r="T475" s="106"/>
      <c r="U475" s="106"/>
      <c r="AB475" s="106"/>
      <c r="AI475" s="106"/>
      <c r="AN475" s="106"/>
    </row>
    <row r="476" spans="9:40" x14ac:dyDescent="0.25">
      <c r="I476" s="106"/>
      <c r="J476" s="106"/>
      <c r="K476" s="106"/>
      <c r="S476" s="106"/>
      <c r="T476" s="106"/>
      <c r="U476" s="106"/>
      <c r="AB476" s="106"/>
      <c r="AI476" s="106"/>
      <c r="AN476" s="106"/>
    </row>
    <row r="477" spans="9:40" x14ac:dyDescent="0.25">
      <c r="I477" s="106"/>
      <c r="J477" s="106"/>
      <c r="K477" s="106"/>
      <c r="S477" s="106"/>
      <c r="T477" s="106"/>
      <c r="U477" s="106"/>
      <c r="AB477" s="106"/>
      <c r="AI477" s="106"/>
      <c r="AN477" s="106"/>
    </row>
    <row r="478" spans="9:40" x14ac:dyDescent="0.25">
      <c r="I478" s="106"/>
      <c r="J478" s="106"/>
      <c r="K478" s="106"/>
      <c r="S478" s="106"/>
      <c r="T478" s="106"/>
      <c r="U478" s="106"/>
      <c r="AB478" s="106"/>
      <c r="AI478" s="106"/>
      <c r="AN478" s="106"/>
    </row>
    <row r="479" spans="9:40" x14ac:dyDescent="0.25">
      <c r="I479" s="106"/>
      <c r="J479" s="106"/>
      <c r="K479" s="106"/>
      <c r="S479" s="106"/>
      <c r="T479" s="106"/>
      <c r="U479" s="106"/>
      <c r="AB479" s="106"/>
      <c r="AI479" s="106"/>
      <c r="AN479" s="106"/>
    </row>
    <row r="480" spans="9:40" x14ac:dyDescent="0.25">
      <c r="I480" s="106"/>
      <c r="J480" s="106"/>
      <c r="K480" s="106"/>
      <c r="S480" s="106"/>
      <c r="T480" s="106"/>
      <c r="U480" s="106"/>
      <c r="AB480" s="106"/>
      <c r="AI480" s="106"/>
      <c r="AN480" s="106"/>
    </row>
    <row r="481" spans="9:40" x14ac:dyDescent="0.25">
      <c r="I481" s="106"/>
      <c r="J481" s="106"/>
      <c r="K481" s="106"/>
      <c r="S481" s="106"/>
      <c r="T481" s="106"/>
      <c r="U481" s="106"/>
      <c r="AB481" s="106"/>
      <c r="AI481" s="106"/>
      <c r="AN481" s="106"/>
    </row>
    <row r="482" spans="9:40" x14ac:dyDescent="0.25">
      <c r="I482" s="106"/>
      <c r="J482" s="106"/>
      <c r="K482" s="106"/>
      <c r="S482" s="106"/>
      <c r="T482" s="106"/>
      <c r="U482" s="106"/>
      <c r="AB482" s="106"/>
      <c r="AI482" s="106"/>
      <c r="AN482" s="106"/>
    </row>
  </sheetData>
  <autoFilter ref="A8:BL10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hiddenButton="1" showButton="0"/>
    <filterColumn colId="43" showButton="0"/>
    <filterColumn colId="44" showButton="0"/>
    <filterColumn colId="45" showButton="0"/>
    <filterColumn colId="46" showButton="0"/>
    <filterColumn colId="47" showButton="0"/>
    <filterColumn colId="48" showButton="0"/>
    <filterColumn colId="49" hiddenButton="1"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autoFilter>
  <mergeCells count="132">
    <mergeCell ref="BG12:BH12"/>
    <mergeCell ref="U12:U13"/>
    <mergeCell ref="Z12:Z13"/>
    <mergeCell ref="AA12:AA13"/>
    <mergeCell ref="BA12:BB12"/>
    <mergeCell ref="BC12:BD12"/>
    <mergeCell ref="BE12:BF12"/>
    <mergeCell ref="AY11:AY13"/>
    <mergeCell ref="BI11:BI12"/>
    <mergeCell ref="AQ11:AQ13"/>
    <mergeCell ref="AX11:AX13"/>
    <mergeCell ref="AW10:AW12"/>
    <mergeCell ref="BA10:BB11"/>
    <mergeCell ref="BC10:BD11"/>
    <mergeCell ref="AQ10:AR10"/>
    <mergeCell ref="AX10:AY10"/>
    <mergeCell ref="BJ11:BJ12"/>
    <mergeCell ref="BK11:BK12"/>
    <mergeCell ref="BL11:BL12"/>
    <mergeCell ref="J12:J13"/>
    <mergeCell ref="K12:K13"/>
    <mergeCell ref="P12:P13"/>
    <mergeCell ref="Q12:Q13"/>
    <mergeCell ref="T12:T13"/>
    <mergeCell ref="V11:V13"/>
    <mergeCell ref="X11:X13"/>
    <mergeCell ref="Y11:Y13"/>
    <mergeCell ref="Z11:AA11"/>
    <mergeCell ref="AG11:AG13"/>
    <mergeCell ref="AH11:AH13"/>
    <mergeCell ref="BE10:BF11"/>
    <mergeCell ref="BG10:BH11"/>
    <mergeCell ref="AL10:AM10"/>
    <mergeCell ref="AO10:AO13"/>
    <mergeCell ref="AP10:AP13"/>
    <mergeCell ref="AT10:AT12"/>
    <mergeCell ref="AU10:AU12"/>
    <mergeCell ref="AL11:AL13"/>
    <mergeCell ref="AM11:AM13"/>
    <mergeCell ref="AR11:AR13"/>
    <mergeCell ref="I11:I13"/>
    <mergeCell ref="J11:K11"/>
    <mergeCell ref="L11:L13"/>
    <mergeCell ref="N11:N13"/>
    <mergeCell ref="O11:O13"/>
    <mergeCell ref="P11:Q11"/>
    <mergeCell ref="S11:S13"/>
    <mergeCell ref="T11:U11"/>
    <mergeCell ref="AK10:AK13"/>
    <mergeCell ref="BI8:BL8"/>
    <mergeCell ref="I9:Q9"/>
    <mergeCell ref="S9:AA9"/>
    <mergeCell ref="AC9:AH9"/>
    <mergeCell ref="AI9:AI13"/>
    <mergeCell ref="AJ9:AM9"/>
    <mergeCell ref="AO9:AR9"/>
    <mergeCell ref="BI9:BL9"/>
    <mergeCell ref="I10:K10"/>
    <mergeCell ref="L10:Q10"/>
    <mergeCell ref="S10:U10"/>
    <mergeCell ref="V10:AA10"/>
    <mergeCell ref="AC10:AC13"/>
    <mergeCell ref="AE10:AE13"/>
    <mergeCell ref="AF10:AF13"/>
    <mergeCell ref="AG10:AH10"/>
    <mergeCell ref="AJ10:AJ13"/>
    <mergeCell ref="AT9:AY9"/>
    <mergeCell ref="AZ9:AZ13"/>
    <mergeCell ref="BA9:BB9"/>
    <mergeCell ref="BC9:BD9"/>
    <mergeCell ref="BE9:BF9"/>
    <mergeCell ref="BG9:BH9"/>
    <mergeCell ref="AV10:AV12"/>
    <mergeCell ref="BE7:BF7"/>
    <mergeCell ref="BG7:BH7"/>
    <mergeCell ref="A8:A13"/>
    <mergeCell ref="B8:B13"/>
    <mergeCell ref="C8:C13"/>
    <mergeCell ref="D8:D13"/>
    <mergeCell ref="E8:E13"/>
    <mergeCell ref="F8:F13"/>
    <mergeCell ref="G8:G13"/>
    <mergeCell ref="AJ7:AK7"/>
    <mergeCell ref="AL7:AM7"/>
    <mergeCell ref="AO7:AP7"/>
    <mergeCell ref="AT7:AV7"/>
    <mergeCell ref="AW7:AY7"/>
    <mergeCell ref="BA7:BB7"/>
    <mergeCell ref="L7:N7"/>
    <mergeCell ref="O7:Q7"/>
    <mergeCell ref="V7:X7"/>
    <mergeCell ref="Y7:AA7"/>
    <mergeCell ref="AC7:AE7"/>
    <mergeCell ref="AF7:AH7"/>
    <mergeCell ref="H8:H13"/>
    <mergeCell ref="I8:AZ8"/>
    <mergeCell ref="BA8:BH8"/>
    <mergeCell ref="AO6:AP6"/>
    <mergeCell ref="AT6:AV6"/>
    <mergeCell ref="AW6:AY6"/>
    <mergeCell ref="L5:N5"/>
    <mergeCell ref="O5:Q5"/>
    <mergeCell ref="V5:X5"/>
    <mergeCell ref="Y5:AA5"/>
    <mergeCell ref="BC7:BD7"/>
    <mergeCell ref="AQ7:AR7"/>
    <mergeCell ref="AC5:AE5"/>
    <mergeCell ref="AF5:AH5"/>
    <mergeCell ref="BM8:BM13"/>
    <mergeCell ref="A1:BM1"/>
    <mergeCell ref="BI2:BL2"/>
    <mergeCell ref="A3:D3"/>
    <mergeCell ref="A4:D4"/>
    <mergeCell ref="L4:Q4"/>
    <mergeCell ref="V4:AA4"/>
    <mergeCell ref="BC5:BD6"/>
    <mergeCell ref="BE5:BF6"/>
    <mergeCell ref="BG5:BH6"/>
    <mergeCell ref="L6:N6"/>
    <mergeCell ref="O6:Q6"/>
    <mergeCell ref="V6:X6"/>
    <mergeCell ref="Y6:AA6"/>
    <mergeCell ref="AC6:AE6"/>
    <mergeCell ref="AF6:AH6"/>
    <mergeCell ref="AJ6:AK6"/>
    <mergeCell ref="AJ5:AK5"/>
    <mergeCell ref="AL5:AM5"/>
    <mergeCell ref="AO5:AP5"/>
    <mergeCell ref="AT5:AV5"/>
    <mergeCell ref="AW5:AY5"/>
    <mergeCell ref="BA5:BB6"/>
    <mergeCell ref="AL6:AM6"/>
  </mergeCells>
  <conditionalFormatting sqref="AT63:AY81 AT83:AY344 AT14:AY14 AT17:AY36 AT38:AY38 AT46:AY61 AT40:AY44">
    <cfRule type="expression" dxfId="16983" priority="26555">
      <formula>$E$3="Non"</formula>
    </cfRule>
  </conditionalFormatting>
  <conditionalFormatting sqref="AO63:AR81 AO83:AR357 AO14:AR14 AO17:AR36 AO38:AR38 AO46:AR61 AO40:AR44">
    <cfRule type="expression" dxfId="16982" priority="26554">
      <formula>$E$4="Non"</formula>
    </cfRule>
  </conditionalFormatting>
  <conditionalFormatting sqref="N14:Q14 I14:K14 I59:I61 N59:O61 I57 N57:O57 N88:O89 I88:I89 I96:I100 N96:O100 K96:K100 K88:K89 K57 K59:K61 Q96:Q100 Q88:Q89 Q57 Q59:Q61 I64:I81 N64:O81 K64:K81 Q64:Q81 P63:P81 J63:J81 J83:J100 P83:P100 I17:K36 N17:Q36 N38:Q38 I38:K38 I46:I55 K46:K55 Q46:Q55 N46:O55 J46:J61 P46:P61 N40:Q44 I40:K44">
    <cfRule type="expression" dxfId="16981" priority="26553">
      <formula>$L14="NA"</formula>
    </cfRule>
  </conditionalFormatting>
  <conditionalFormatting sqref="Y59:AA61 Y57:AA57 X97:AA100 Y88:AA89 Y96:AA96 X17:AA36 X63 X64:AA81 X83:X88 X14:AA14 X38:AA38 Y46:AA55 X46:X61 X40:AA44">
    <cfRule type="expression" dxfId="16980" priority="26552">
      <formula>$V14="NA"</formula>
    </cfRule>
  </conditionalFormatting>
  <conditionalFormatting sqref="AF57:AH57 AE88:AH89 AE96:AH100 AF52:AH55 AF59:AH61 AE64:AH81 AE90:AE92 AE52:AE61 AE63 AE84:AE87 AE14:AH14 AE17:AH36 AE38:AH38 AE46:AH51 AE40:AH44">
    <cfRule type="expression" dxfId="16979" priority="26551">
      <formula>$AC14="NA"</formula>
    </cfRule>
  </conditionalFormatting>
  <conditionalFormatting sqref="S59:U61 S57:U57 S88:U89 S96:U100 S64:U81 S14:U14 S17:U36 S38:U38 S46:U55 S40:U44">
    <cfRule type="expression" dxfId="16978" priority="26550">
      <formula>$S14="NA"</formula>
    </cfRule>
  </conditionalFormatting>
  <conditionalFormatting sqref="A109:H218 A14:H14 E84:E92 G83:H92 B96:B100 E57:F57 E59:F61 E70:H79 A101:B108 E96:E108 G96:H108 G80:H81 A80:A100 B80:B92 F74:F108 E75:E81 E64:E69 E17:H36 E38:H38 E46:H54 A66:B79 A44:B44 E40:H44 A40:A43 B15:B43 B45:B65 A46:A65 E55:F55 G55:H69">
    <cfRule type="expression" dxfId="16977" priority="26549">
      <formula>$F14="Administratif"</formula>
    </cfRule>
  </conditionalFormatting>
  <conditionalFormatting sqref="A109:H472 A14:H14 E84:E92 G83:H92 B96:B100 E57:F57 E59:F61 E70:H79 A101:B108 E96:E108 G96:H108 G80:H81 A80:A100 B80:B92 F74:F108 E75:E81 E64:E69 E17:H36 E38:H38 E46:H54 A66:B79 A44:B44 E40:H44 A40:A43 B15:B43 B45:B65 A46:A65 E55:F55 G55:H69">
    <cfRule type="expression" dxfId="16976" priority="26540">
      <formula>$H14="non"</formula>
    </cfRule>
    <cfRule type="expression" dxfId="16975" priority="26545">
      <formula>$F14="SAV Sicli"</formula>
    </cfRule>
  </conditionalFormatting>
  <conditionalFormatting sqref="A109:H478 A14:H14 E84:E92 G83:H92 B96:B100 E57:F57 E59:F61 E70:H79 A101:B108 E96:E108 G96:H108 G80:H81 A80:A100 B80:B92 F74:F108 E75:E81 E64:E69 E17:H36 E38:H38 E46:H54 A66:B79 A44:B44 E40:H44 A40:A43 B15:B43 B45:B65 A46:A65 E55:F55 G55:H69">
    <cfRule type="expression" dxfId="16974" priority="26542">
      <formula>$F14="Direction"</formula>
    </cfRule>
  </conditionalFormatting>
  <conditionalFormatting sqref="A109:H182 A14:H14 E84:E92 G83:H92 B96:B100 E57:F57 E59:F61 E70:H79 A101:B108 E96:E108 G96:H108 G80:H81 A80:A100 B80:B92 F74:F108 E75:E81 E64:E69 E17:H36 E38:H38 E46:H54 A66:B79 A44:B44 E40:H44 A40:A43 B15:B43 B45:B65 A46:A65 E55:F55 G55:H69">
    <cfRule type="expression" dxfId="16973" priority="26541">
      <formula>$F14="Formation CCF"</formula>
    </cfRule>
  </conditionalFormatting>
  <conditionalFormatting sqref="A109:H179 A14:H14 E84:E92 G83:H92 B96:B100 E57:F57 E59:F61 E70:H79 A101:B108 E96:E108 G96:H108 G80:H81 A80:A100 B80:B92 F74:F108 E75:E81 E64:E69 E17:H36 E38:H38 E46:H54 A66:B79 A44:B44 E40:H44 A40:A43 B15:B43 B45:B65 A46:A65 E55:F55 G55:H69">
    <cfRule type="expression" dxfId="16972" priority="26543">
      <formula>$F14="Ventes Sicli"</formula>
    </cfRule>
    <cfRule type="expression" dxfId="16971" priority="26546">
      <formula>$F14="SAV Chubb"</formula>
    </cfRule>
  </conditionalFormatting>
  <conditionalFormatting sqref="A109:H197 A14:H14 E84:E92 G83:H92 B96:B100 E57:F57 E59:F61 E70:H79 A101:B108 E96:E108 G96:H108 G80:H81 A80:A100 B80:B92 F74:F108 E75:E81 E64:E69 E17:H36 E38:H38 E46:H54 A66:B79 A44:B44 E40:H44 A40:A43 B15:B43 B45:B65 A46:A65 E55:F55 G55:H69">
    <cfRule type="expression" dxfId="16970" priority="26544">
      <formula>$F14="Ventes Chubb"</formula>
    </cfRule>
  </conditionalFormatting>
  <conditionalFormatting sqref="A109:H227 A14:H14 E84:E92 G83:H92 B96:B100 E57:F57 E59:F61 E70:H79 A101:B108 E96:E108 G96:H108 G80:H81 A80:A100 B80:B92 F74:F108 E75:E81 E64:E69 E17:H36 E38:H38 E46:H54 A66:B79 A44:B44 E40:H44 A40:A43 B15:B43 B45:B65 A46:A65 E55:F55 G55:H69">
    <cfRule type="expression" dxfId="16969" priority="26547">
      <formula>$F14="Réalisation"</formula>
    </cfRule>
  </conditionalFormatting>
  <conditionalFormatting sqref="A109:H161 A14:H14 E84:E92 G83:H92 B96:B100 E57:F57 E59:F61 E70:H79 A101:B108 E96:E108 G96:H108 G80:H81 A80:A100 B80:B92 F74:F108 E75:E81 E64:E69 E17:H36 E38:H38 E46:H54 A66:B79 A44:B44 E40:H44 A40:A43 B15:B43 B45:B65 A46:A65 E55:F55 G55:H69">
    <cfRule type="expression" dxfId="16968" priority="26548">
      <formula>$F14="Désenfumage"</formula>
    </cfRule>
  </conditionalFormatting>
  <conditionalFormatting sqref="AT63:AX63">
    <cfRule type="expression" dxfId="16967" priority="26523">
      <formula>$E$3="Non"</formula>
    </cfRule>
  </conditionalFormatting>
  <conditionalFormatting sqref="AO63:AQ63">
    <cfRule type="expression" dxfId="16966" priority="26522">
      <formula>$E$4="Non"</formula>
    </cfRule>
  </conditionalFormatting>
  <conditionalFormatting sqref="I63 N63:O63 K63 Q63">
    <cfRule type="expression" dxfId="16965" priority="26521">
      <formula>$L63="NA"</formula>
    </cfRule>
  </conditionalFormatting>
  <conditionalFormatting sqref="Y63:AA63">
    <cfRule type="expression" dxfId="16964" priority="26520">
      <formula>$V63="NA"</formula>
    </cfRule>
  </conditionalFormatting>
  <conditionalFormatting sqref="AF63:AH63">
    <cfRule type="expression" dxfId="16963" priority="26519">
      <formula>$AC63="NA"</formula>
    </cfRule>
  </conditionalFormatting>
  <conditionalFormatting sqref="S63:U63">
    <cfRule type="expression" dxfId="16962" priority="26518">
      <formula>$S63="NA"</formula>
    </cfRule>
  </conditionalFormatting>
  <conditionalFormatting sqref="E63">
    <cfRule type="expression" dxfId="16961" priority="26517">
      <formula>$F63="Administratif"</formula>
    </cfRule>
  </conditionalFormatting>
  <conditionalFormatting sqref="E63">
    <cfRule type="expression" dxfId="16960" priority="26508">
      <formula>$H63="non"</formula>
    </cfRule>
    <cfRule type="expression" dxfId="16959" priority="26513">
      <formula>$F63="SAV Sicli"</formula>
    </cfRule>
  </conditionalFormatting>
  <conditionalFormatting sqref="E63">
    <cfRule type="expression" dxfId="16958" priority="26510">
      <formula>$F63="Direction"</formula>
    </cfRule>
  </conditionalFormatting>
  <conditionalFormatting sqref="E63">
    <cfRule type="expression" dxfId="16957" priority="26509">
      <formula>$F63="Formation CCF"</formula>
    </cfRule>
  </conditionalFormatting>
  <conditionalFormatting sqref="E63">
    <cfRule type="expression" dxfId="16956" priority="26511">
      <formula>$F63="Ventes Sicli"</formula>
    </cfRule>
    <cfRule type="expression" dxfId="16955" priority="26514">
      <formula>$F63="SAV Chubb"</formula>
    </cfRule>
  </conditionalFormatting>
  <conditionalFormatting sqref="E63">
    <cfRule type="expression" dxfId="16954" priority="26512">
      <formula>$F63="Ventes Chubb"</formula>
    </cfRule>
  </conditionalFormatting>
  <conditionalFormatting sqref="E63">
    <cfRule type="expression" dxfId="16953" priority="26515">
      <formula>$F63="Réalisation"</formula>
    </cfRule>
  </conditionalFormatting>
  <conditionalFormatting sqref="E63">
    <cfRule type="expression" dxfId="16952" priority="26516">
      <formula>$F63="Désenfumage"</formula>
    </cfRule>
  </conditionalFormatting>
  <conditionalFormatting sqref="AT58:AX58">
    <cfRule type="expression" dxfId="16951" priority="26507">
      <formula>$E$3="Non"</formula>
    </cfRule>
  </conditionalFormatting>
  <conditionalFormatting sqref="AO58:AQ58">
    <cfRule type="expression" dxfId="16950" priority="26506">
      <formula>$E$4="Non"</formula>
    </cfRule>
  </conditionalFormatting>
  <conditionalFormatting sqref="I58 N58:O58 K58 Q58">
    <cfRule type="expression" dxfId="16949" priority="26505">
      <formula>$L58="NA"</formula>
    </cfRule>
  </conditionalFormatting>
  <conditionalFormatting sqref="Y58:AA58">
    <cfRule type="expression" dxfId="16948" priority="26504">
      <formula>$V58="NA"</formula>
    </cfRule>
  </conditionalFormatting>
  <conditionalFormatting sqref="AF58:AH58">
    <cfRule type="expression" dxfId="16947" priority="26503">
      <formula>$AC58="NA"</formula>
    </cfRule>
  </conditionalFormatting>
  <conditionalFormatting sqref="S58:U58">
    <cfRule type="expression" dxfId="16946" priority="26502">
      <formula>$S58="NA"</formula>
    </cfRule>
  </conditionalFormatting>
  <conditionalFormatting sqref="E58:F58">
    <cfRule type="expression" dxfId="16945" priority="26501">
      <formula>$F58="Administratif"</formula>
    </cfRule>
  </conditionalFormatting>
  <conditionalFormatting sqref="E58:F58">
    <cfRule type="expression" dxfId="16944" priority="26492">
      <formula>$H58="non"</formula>
    </cfRule>
    <cfRule type="expression" dxfId="16943" priority="26497">
      <formula>$F58="SAV Sicli"</formula>
    </cfRule>
  </conditionalFormatting>
  <conditionalFormatting sqref="E58:F58">
    <cfRule type="expression" dxfId="16942" priority="26494">
      <formula>$F58="Direction"</formula>
    </cfRule>
  </conditionalFormatting>
  <conditionalFormatting sqref="E58:F58">
    <cfRule type="expression" dxfId="16941" priority="26493">
      <formula>$F58="Formation CCF"</formula>
    </cfRule>
  </conditionalFormatting>
  <conditionalFormatting sqref="E58:F58">
    <cfRule type="expression" dxfId="16940" priority="26495">
      <formula>$F58="Ventes Sicli"</formula>
    </cfRule>
    <cfRule type="expression" dxfId="16939" priority="26498">
      <formula>$F58="SAV Chubb"</formula>
    </cfRule>
  </conditionalFormatting>
  <conditionalFormatting sqref="E58:F58">
    <cfRule type="expression" dxfId="16938" priority="26496">
      <formula>$F58="Ventes Chubb"</formula>
    </cfRule>
  </conditionalFormatting>
  <conditionalFormatting sqref="E58:F58">
    <cfRule type="expression" dxfId="16937" priority="26499">
      <formula>$F58="Réalisation"</formula>
    </cfRule>
  </conditionalFormatting>
  <conditionalFormatting sqref="E58:F58">
    <cfRule type="expression" dxfId="16936" priority="26500">
      <formula>$F58="Désenfumage"</formula>
    </cfRule>
  </conditionalFormatting>
  <conditionalFormatting sqref="AT56:AX56">
    <cfRule type="expression" dxfId="16935" priority="26491">
      <formula>$E$3="Non"</formula>
    </cfRule>
  </conditionalFormatting>
  <conditionalFormatting sqref="AO56:AQ56">
    <cfRule type="expression" dxfId="16934" priority="26490">
      <formula>$E$4="Non"</formula>
    </cfRule>
  </conditionalFormatting>
  <conditionalFormatting sqref="I56 N56:O56 K56 Q56">
    <cfRule type="expression" dxfId="16933" priority="26489">
      <formula>$L56="NA"</formula>
    </cfRule>
  </conditionalFormatting>
  <conditionalFormatting sqref="Y56:AA56">
    <cfRule type="expression" dxfId="16932" priority="26488">
      <formula>$V56="NA"</formula>
    </cfRule>
  </conditionalFormatting>
  <conditionalFormatting sqref="AF56:AH56">
    <cfRule type="expression" dxfId="16931" priority="26487">
      <formula>$AC56="NA"</formula>
    </cfRule>
  </conditionalFormatting>
  <conditionalFormatting sqref="S56:U56">
    <cfRule type="expression" dxfId="16930" priority="26486">
      <formula>$S56="NA"</formula>
    </cfRule>
  </conditionalFormatting>
  <conditionalFormatting sqref="E56:F56">
    <cfRule type="expression" dxfId="16929" priority="26485">
      <formula>$F56="Administratif"</formula>
    </cfRule>
  </conditionalFormatting>
  <conditionalFormatting sqref="E56:F56">
    <cfRule type="expression" dxfId="16928" priority="26476">
      <formula>$H56="non"</formula>
    </cfRule>
    <cfRule type="expression" dxfId="16927" priority="26481">
      <formula>$F56="SAV Sicli"</formula>
    </cfRule>
  </conditionalFormatting>
  <conditionalFormatting sqref="E56:F56">
    <cfRule type="expression" dxfId="16926" priority="26478">
      <formula>$F56="Direction"</formula>
    </cfRule>
  </conditionalFormatting>
  <conditionalFormatting sqref="E56:F56">
    <cfRule type="expression" dxfId="16925" priority="26477">
      <formula>$F56="Formation CCF"</formula>
    </cfRule>
  </conditionalFormatting>
  <conditionalFormatting sqref="E56:F56">
    <cfRule type="expression" dxfId="16924" priority="26479">
      <formula>$F56="Ventes Sicli"</formula>
    </cfRule>
    <cfRule type="expression" dxfId="16923" priority="26482">
      <formula>$F56="SAV Chubb"</formula>
    </cfRule>
  </conditionalFormatting>
  <conditionalFormatting sqref="E56:F56">
    <cfRule type="expression" dxfId="16922" priority="26480">
      <formula>$F56="Ventes Chubb"</formula>
    </cfRule>
  </conditionalFormatting>
  <conditionalFormatting sqref="E56:F56">
    <cfRule type="expression" dxfId="16921" priority="26483">
      <formula>$F56="Réalisation"</formula>
    </cfRule>
  </conditionalFormatting>
  <conditionalFormatting sqref="E56:F56">
    <cfRule type="expression" dxfId="16920" priority="26484">
      <formula>$F56="Désenfumage"</formula>
    </cfRule>
  </conditionalFormatting>
  <conditionalFormatting sqref="AT83:AX83">
    <cfRule type="expression" dxfId="16919" priority="26475">
      <formula>$E$3="Non"</formula>
    </cfRule>
  </conditionalFormatting>
  <conditionalFormatting sqref="AO83:AQ83">
    <cfRule type="expression" dxfId="16918" priority="26474">
      <formula>$E$4="Non"</formula>
    </cfRule>
  </conditionalFormatting>
  <conditionalFormatting sqref="N83:O83 I83 K83 Q83">
    <cfRule type="expression" dxfId="16917" priority="26473">
      <formula>$L83="NA"</formula>
    </cfRule>
  </conditionalFormatting>
  <conditionalFormatting sqref="Y83:AA83">
    <cfRule type="expression" dxfId="16916" priority="26472">
      <formula>$V83="NA"</formula>
    </cfRule>
  </conditionalFormatting>
  <conditionalFormatting sqref="AE83:AH83">
    <cfRule type="expression" dxfId="16915" priority="26471">
      <formula>$AC83="NA"</formula>
    </cfRule>
  </conditionalFormatting>
  <conditionalFormatting sqref="S83:U83">
    <cfRule type="expression" dxfId="16914" priority="26470">
      <formula>$S83="NA"</formula>
    </cfRule>
  </conditionalFormatting>
  <conditionalFormatting sqref="E83">
    <cfRule type="expression" dxfId="16913" priority="26469">
      <formula>$F83="Administratif"</formula>
    </cfRule>
  </conditionalFormatting>
  <conditionalFormatting sqref="E83">
    <cfRule type="expression" dxfId="16912" priority="26460">
      <formula>$H83="non"</formula>
    </cfRule>
    <cfRule type="expression" dxfId="16911" priority="26465">
      <formula>$F83="SAV Sicli"</formula>
    </cfRule>
  </conditionalFormatting>
  <conditionalFormatting sqref="E83">
    <cfRule type="expression" dxfId="16910" priority="26462">
      <formula>$F83="Direction"</formula>
    </cfRule>
  </conditionalFormatting>
  <conditionalFormatting sqref="E83">
    <cfRule type="expression" dxfId="16909" priority="26461">
      <formula>$F83="Formation CCF"</formula>
    </cfRule>
  </conditionalFormatting>
  <conditionalFormatting sqref="E83">
    <cfRule type="expression" dxfId="16908" priority="26463">
      <formula>$F83="Ventes Sicli"</formula>
    </cfRule>
    <cfRule type="expression" dxfId="16907" priority="26466">
      <formula>$F83="SAV Chubb"</formula>
    </cfRule>
  </conditionalFormatting>
  <conditionalFormatting sqref="E83">
    <cfRule type="expression" dxfId="16906" priority="26464">
      <formula>$F83="Ventes Chubb"</formula>
    </cfRule>
  </conditionalFormatting>
  <conditionalFormatting sqref="E83">
    <cfRule type="expression" dxfId="16905" priority="26467">
      <formula>$F83="Réalisation"</formula>
    </cfRule>
  </conditionalFormatting>
  <conditionalFormatting sqref="E83">
    <cfRule type="expression" dxfId="16904" priority="26468">
      <formula>$F83="Désenfumage"</formula>
    </cfRule>
  </conditionalFormatting>
  <conditionalFormatting sqref="AT87:AX87">
    <cfRule type="expression" dxfId="16903" priority="26459">
      <formula>$E$3="Non"</formula>
    </cfRule>
  </conditionalFormatting>
  <conditionalFormatting sqref="AO87:AQ87">
    <cfRule type="expression" dxfId="16902" priority="26458">
      <formula>$E$4="Non"</formula>
    </cfRule>
  </conditionalFormatting>
  <conditionalFormatting sqref="N87:O87 I87 K87 Q87">
    <cfRule type="expression" dxfId="16901" priority="26457">
      <formula>$L87="NA"</formula>
    </cfRule>
  </conditionalFormatting>
  <conditionalFormatting sqref="Y87:AA87">
    <cfRule type="expression" dxfId="16900" priority="26456">
      <formula>$V87="NA"</formula>
    </cfRule>
  </conditionalFormatting>
  <conditionalFormatting sqref="AF87:AH87">
    <cfRule type="expression" dxfId="16899" priority="26455">
      <formula>$AC87="NA"</formula>
    </cfRule>
  </conditionalFormatting>
  <conditionalFormatting sqref="S87:U87">
    <cfRule type="expression" dxfId="16898" priority="26454">
      <formula>$S87="NA"</formula>
    </cfRule>
  </conditionalFormatting>
  <conditionalFormatting sqref="AT86:AX86">
    <cfRule type="expression" dxfId="16897" priority="26443">
      <formula>$E$3="Non"</formula>
    </cfRule>
  </conditionalFormatting>
  <conditionalFormatting sqref="AO86:AQ86">
    <cfRule type="expression" dxfId="16896" priority="26442">
      <formula>$E$4="Non"</formula>
    </cfRule>
  </conditionalFormatting>
  <conditionalFormatting sqref="N86:O86 I86 K86 Q86">
    <cfRule type="expression" dxfId="16895" priority="26441">
      <formula>$L86="NA"</formula>
    </cfRule>
  </conditionalFormatting>
  <conditionalFormatting sqref="Y86:AA86">
    <cfRule type="expression" dxfId="16894" priority="26440">
      <formula>$V86="NA"</formula>
    </cfRule>
  </conditionalFormatting>
  <conditionalFormatting sqref="AF86:AH86">
    <cfRule type="expression" dxfId="16893" priority="26439">
      <formula>$AC86="NA"</formula>
    </cfRule>
  </conditionalFormatting>
  <conditionalFormatting sqref="S86:U86">
    <cfRule type="expression" dxfId="16892" priority="26438">
      <formula>$S86="NA"</formula>
    </cfRule>
  </conditionalFormatting>
  <conditionalFormatting sqref="AT85:AX85">
    <cfRule type="expression" dxfId="16891" priority="26427">
      <formula>$E$3="Non"</formula>
    </cfRule>
  </conditionalFormatting>
  <conditionalFormatting sqref="AO85:AQ85">
    <cfRule type="expression" dxfId="16890" priority="26426">
      <formula>$E$4="Non"</formula>
    </cfRule>
  </conditionalFormatting>
  <conditionalFormatting sqref="N85:O85 I85 K85 Q85">
    <cfRule type="expression" dxfId="16889" priority="26425">
      <formula>$L85="NA"</formula>
    </cfRule>
  </conditionalFormatting>
  <conditionalFormatting sqref="Y85:AA85">
    <cfRule type="expression" dxfId="16888" priority="26424">
      <formula>$V85="NA"</formula>
    </cfRule>
  </conditionalFormatting>
  <conditionalFormatting sqref="AF85:AH85">
    <cfRule type="expression" dxfId="16887" priority="26423">
      <formula>$AC85="NA"</formula>
    </cfRule>
  </conditionalFormatting>
  <conditionalFormatting sqref="S85:U85">
    <cfRule type="expression" dxfId="16886" priority="26422">
      <formula>$S85="NA"</formula>
    </cfRule>
  </conditionalFormatting>
  <conditionalFormatting sqref="AT84:AX84">
    <cfRule type="expression" dxfId="16885" priority="26395">
      <formula>$E$3="Non"</formula>
    </cfRule>
  </conditionalFormatting>
  <conditionalFormatting sqref="AO84:AQ84">
    <cfRule type="expression" dxfId="16884" priority="26394">
      <formula>$E$4="Non"</formula>
    </cfRule>
  </conditionalFormatting>
  <conditionalFormatting sqref="N84:O84 I84 K84 Q84">
    <cfRule type="expression" dxfId="16883" priority="26393">
      <formula>$L84="NA"</formula>
    </cfRule>
  </conditionalFormatting>
  <conditionalFormatting sqref="Y84:AA84">
    <cfRule type="expression" dxfId="16882" priority="26392">
      <formula>$V84="NA"</formula>
    </cfRule>
  </conditionalFormatting>
  <conditionalFormatting sqref="AF84:AH84">
    <cfRule type="expression" dxfId="16881" priority="26391">
      <formula>$AC84="NA"</formula>
    </cfRule>
  </conditionalFormatting>
  <conditionalFormatting sqref="S84:U84">
    <cfRule type="expression" dxfId="16880" priority="26390">
      <formula>$S84="NA"</formula>
    </cfRule>
  </conditionalFormatting>
  <conditionalFormatting sqref="AT90:AX90">
    <cfRule type="expression" dxfId="16879" priority="26379">
      <formula>$E$3="Non"</formula>
    </cfRule>
  </conditionalFormatting>
  <conditionalFormatting sqref="AO90:AQ90">
    <cfRule type="expression" dxfId="16878" priority="26378">
      <formula>$E$4="Non"</formula>
    </cfRule>
  </conditionalFormatting>
  <conditionalFormatting sqref="N90:O90 I90 K90 Q90">
    <cfRule type="expression" dxfId="16877" priority="26377">
      <formula>$L90="NA"</formula>
    </cfRule>
  </conditionalFormatting>
  <conditionalFormatting sqref="Y90:AA90">
    <cfRule type="expression" dxfId="16876" priority="26376">
      <formula>$V90="NA"</formula>
    </cfRule>
  </conditionalFormatting>
  <conditionalFormatting sqref="AF90:AH90">
    <cfRule type="expression" dxfId="16875" priority="26375">
      <formula>$AC90="NA"</formula>
    </cfRule>
  </conditionalFormatting>
  <conditionalFormatting sqref="S90:U90">
    <cfRule type="expression" dxfId="16874" priority="26374">
      <formula>$S90="NA"</formula>
    </cfRule>
  </conditionalFormatting>
  <conditionalFormatting sqref="AT95:AX95">
    <cfRule type="expression" dxfId="16873" priority="26363">
      <formula>$E$3="Non"</formula>
    </cfRule>
  </conditionalFormatting>
  <conditionalFormatting sqref="AO95:AQ95">
    <cfRule type="expression" dxfId="16872" priority="26362">
      <formula>$E$4="Non"</formula>
    </cfRule>
  </conditionalFormatting>
  <conditionalFormatting sqref="I95 N95:O95 K95 Q95">
    <cfRule type="expression" dxfId="16871" priority="26361">
      <formula>$L95="NA"</formula>
    </cfRule>
  </conditionalFormatting>
  <conditionalFormatting sqref="Y95:AA95">
    <cfRule type="expression" dxfId="16870" priority="26360">
      <formula>$V95="NA"</formula>
    </cfRule>
  </conditionalFormatting>
  <conditionalFormatting sqref="AE95:AH95">
    <cfRule type="expression" dxfId="16869" priority="26359">
      <formula>$AC95="NA"</formula>
    </cfRule>
  </conditionalFormatting>
  <conditionalFormatting sqref="S95:U95">
    <cfRule type="expression" dxfId="16868" priority="26358">
      <formula>$S95="NA"</formula>
    </cfRule>
  </conditionalFormatting>
  <conditionalFormatting sqref="B95 E95 G95:H95">
    <cfRule type="expression" dxfId="16867" priority="26357">
      <formula>$F95="Administratif"</formula>
    </cfRule>
  </conditionalFormatting>
  <conditionalFormatting sqref="B95 E95 G95:H95">
    <cfRule type="expression" dxfId="16866" priority="26348">
      <formula>$H95="non"</formula>
    </cfRule>
    <cfRule type="expression" dxfId="16865" priority="26353">
      <formula>$F95="SAV Sicli"</formula>
    </cfRule>
  </conditionalFormatting>
  <conditionalFormatting sqref="B95 E95 G95:H95">
    <cfRule type="expression" dxfId="16864" priority="26350">
      <formula>$F95="Direction"</formula>
    </cfRule>
  </conditionalFormatting>
  <conditionalFormatting sqref="B95 E95 G95:H95">
    <cfRule type="expression" dxfId="16863" priority="26349">
      <formula>$F95="Formation CCF"</formula>
    </cfRule>
  </conditionalFormatting>
  <conditionalFormatting sqref="B95 E95 G95:H95">
    <cfRule type="expression" dxfId="16862" priority="26351">
      <formula>$F95="Ventes Sicli"</formula>
    </cfRule>
    <cfRule type="expression" dxfId="16861" priority="26354">
      <formula>$F95="SAV Chubb"</formula>
    </cfRule>
  </conditionalFormatting>
  <conditionalFormatting sqref="B95 E95 G95:H95">
    <cfRule type="expression" dxfId="16860" priority="26352">
      <formula>$F95="Ventes Chubb"</formula>
    </cfRule>
  </conditionalFormatting>
  <conditionalFormatting sqref="B95 E95 G95:H95">
    <cfRule type="expression" dxfId="16859" priority="26355">
      <formula>$F95="Réalisation"</formula>
    </cfRule>
  </conditionalFormatting>
  <conditionalFormatting sqref="B95 E95 G95:H95">
    <cfRule type="expression" dxfId="16858" priority="26356">
      <formula>$F95="Désenfumage"</formula>
    </cfRule>
  </conditionalFormatting>
  <conditionalFormatting sqref="AT94:AX94">
    <cfRule type="expression" dxfId="16857" priority="26347">
      <formula>$E$3="Non"</formula>
    </cfRule>
  </conditionalFormatting>
  <conditionalFormatting sqref="AO94:AQ94">
    <cfRule type="expression" dxfId="16856" priority="26346">
      <formula>$E$4="Non"</formula>
    </cfRule>
  </conditionalFormatting>
  <conditionalFormatting sqref="I94 N94:O94 K94 Q94">
    <cfRule type="expression" dxfId="16855" priority="26345">
      <formula>$L94="NA"</formula>
    </cfRule>
  </conditionalFormatting>
  <conditionalFormatting sqref="Y94:AA94">
    <cfRule type="expression" dxfId="16854" priority="26344">
      <formula>$V94="NA"</formula>
    </cfRule>
  </conditionalFormatting>
  <conditionalFormatting sqref="AE94:AH94">
    <cfRule type="expression" dxfId="16853" priority="26343">
      <formula>$AC94="NA"</formula>
    </cfRule>
  </conditionalFormatting>
  <conditionalFormatting sqref="S94:U94">
    <cfRule type="expression" dxfId="16852" priority="26342">
      <formula>$S94="NA"</formula>
    </cfRule>
  </conditionalFormatting>
  <conditionalFormatting sqref="B94 E94 G94:H94">
    <cfRule type="expression" dxfId="16851" priority="26341">
      <formula>$F94="Administratif"</formula>
    </cfRule>
  </conditionalFormatting>
  <conditionalFormatting sqref="B94 E94 G94:H94">
    <cfRule type="expression" dxfId="16850" priority="26332">
      <formula>$H94="non"</formula>
    </cfRule>
    <cfRule type="expression" dxfId="16849" priority="26337">
      <formula>$F94="SAV Sicli"</formula>
    </cfRule>
  </conditionalFormatting>
  <conditionalFormatting sqref="B94 E94 G94:H94">
    <cfRule type="expression" dxfId="16848" priority="26334">
      <formula>$F94="Direction"</formula>
    </cfRule>
  </conditionalFormatting>
  <conditionalFormatting sqref="B94 E94 G94:H94">
    <cfRule type="expression" dxfId="16847" priority="26333">
      <formula>$F94="Formation CCF"</formula>
    </cfRule>
  </conditionalFormatting>
  <conditionalFormatting sqref="B94 E94 G94:H94">
    <cfRule type="expression" dxfId="16846" priority="26335">
      <formula>$F94="Ventes Sicli"</formula>
    </cfRule>
    <cfRule type="expression" dxfId="16845" priority="26338">
      <formula>$F94="SAV Chubb"</formula>
    </cfRule>
  </conditionalFormatting>
  <conditionalFormatting sqref="B94 E94 G94:H94">
    <cfRule type="expression" dxfId="16844" priority="26336">
      <formula>$F94="Ventes Chubb"</formula>
    </cfRule>
  </conditionalFormatting>
  <conditionalFormatting sqref="B94 E94 G94:H94">
    <cfRule type="expression" dxfId="16843" priority="26339">
      <formula>$F94="Réalisation"</formula>
    </cfRule>
  </conditionalFormatting>
  <conditionalFormatting sqref="B94 E94 G94:H94">
    <cfRule type="expression" dxfId="16842" priority="26340">
      <formula>$F94="Désenfumage"</formula>
    </cfRule>
  </conditionalFormatting>
  <conditionalFormatting sqref="AT93:AX93">
    <cfRule type="expression" dxfId="16841" priority="26331">
      <formula>$E$3="Non"</formula>
    </cfRule>
  </conditionalFormatting>
  <conditionalFormatting sqref="AO93:AQ93">
    <cfRule type="expression" dxfId="16840" priority="26330">
      <formula>$E$4="Non"</formula>
    </cfRule>
  </conditionalFormatting>
  <conditionalFormatting sqref="I93 N93:O93 K93 Q93">
    <cfRule type="expression" dxfId="16839" priority="26329">
      <formula>$L93="NA"</formula>
    </cfRule>
  </conditionalFormatting>
  <conditionalFormatting sqref="Y93:AA93">
    <cfRule type="expression" dxfId="16838" priority="26328">
      <formula>$V93="NA"</formula>
    </cfRule>
  </conditionalFormatting>
  <conditionalFormatting sqref="AE93:AH93">
    <cfRule type="expression" dxfId="16837" priority="26327">
      <formula>$AC93="NA"</formula>
    </cfRule>
  </conditionalFormatting>
  <conditionalFormatting sqref="S93:U93">
    <cfRule type="expression" dxfId="16836" priority="26326">
      <formula>$S93="NA"</formula>
    </cfRule>
  </conditionalFormatting>
  <conditionalFormatting sqref="B93 E93 G93:H93">
    <cfRule type="expression" dxfId="16835" priority="26325">
      <formula>$F93="Administratif"</formula>
    </cfRule>
  </conditionalFormatting>
  <conditionalFormatting sqref="B93 E93 G93:H93">
    <cfRule type="expression" dxfId="16834" priority="26316">
      <formula>$H93="non"</formula>
    </cfRule>
    <cfRule type="expression" dxfId="16833" priority="26321">
      <formula>$F93="SAV Sicli"</formula>
    </cfRule>
  </conditionalFormatting>
  <conditionalFormatting sqref="B93 E93 G93:H93">
    <cfRule type="expression" dxfId="16832" priority="26318">
      <formula>$F93="Direction"</formula>
    </cfRule>
  </conditionalFormatting>
  <conditionalFormatting sqref="B93 E93 G93:H93">
    <cfRule type="expression" dxfId="16831" priority="26317">
      <formula>$F93="Formation CCF"</formula>
    </cfRule>
  </conditionalFormatting>
  <conditionalFormatting sqref="B93 E93 G93:H93">
    <cfRule type="expression" dxfId="16830" priority="26319">
      <formula>$F93="Ventes Sicli"</formula>
    </cfRule>
    <cfRule type="expression" dxfId="16829" priority="26322">
      <formula>$F93="SAV Chubb"</formula>
    </cfRule>
  </conditionalFormatting>
  <conditionalFormatting sqref="B93 E93 G93:H93">
    <cfRule type="expression" dxfId="16828" priority="26320">
      <formula>$F93="Ventes Chubb"</formula>
    </cfRule>
  </conditionalFormatting>
  <conditionalFormatting sqref="B93 E93 G93:H93">
    <cfRule type="expression" dxfId="16827" priority="26323">
      <formula>$F93="Réalisation"</formula>
    </cfRule>
  </conditionalFormatting>
  <conditionalFormatting sqref="B93 E93 G93:H93">
    <cfRule type="expression" dxfId="16826" priority="26324">
      <formula>$F93="Désenfumage"</formula>
    </cfRule>
  </conditionalFormatting>
  <conditionalFormatting sqref="AT92:AX92">
    <cfRule type="expression" dxfId="16825" priority="26315">
      <formula>$E$3="Non"</formula>
    </cfRule>
  </conditionalFormatting>
  <conditionalFormatting sqref="AO92:AQ92">
    <cfRule type="expression" dxfId="16824" priority="26314">
      <formula>$E$4="Non"</formula>
    </cfRule>
  </conditionalFormatting>
  <conditionalFormatting sqref="I92 N92:O92 K92 Q92">
    <cfRule type="expression" dxfId="16823" priority="26313">
      <formula>$L92="NA"</formula>
    </cfRule>
  </conditionalFormatting>
  <conditionalFormatting sqref="Y92:AA92">
    <cfRule type="expression" dxfId="16822" priority="26312">
      <formula>$V92="NA"</formula>
    </cfRule>
  </conditionalFormatting>
  <conditionalFormatting sqref="AF92:AH92">
    <cfRule type="expression" dxfId="16821" priority="26311">
      <formula>$AC92="NA"</formula>
    </cfRule>
  </conditionalFormatting>
  <conditionalFormatting sqref="S92:U92">
    <cfRule type="expression" dxfId="16820" priority="26310">
      <formula>$S92="NA"</formula>
    </cfRule>
  </conditionalFormatting>
  <conditionalFormatting sqref="AT91:AY91">
    <cfRule type="expression" dxfId="16819" priority="26299">
      <formula>$E$3="Non"</formula>
    </cfRule>
  </conditionalFormatting>
  <conditionalFormatting sqref="AO91:AQ91">
    <cfRule type="expression" dxfId="16818" priority="26298">
      <formula>$E$4="Non"</formula>
    </cfRule>
  </conditionalFormatting>
  <conditionalFormatting sqref="I91 N91:O91 K91 Q91">
    <cfRule type="expression" dxfId="16817" priority="26297">
      <formula>$L91="NA"</formula>
    </cfRule>
  </conditionalFormatting>
  <conditionalFormatting sqref="Y91:AA91">
    <cfRule type="expression" dxfId="16816" priority="26296">
      <formula>$V91="NA"</formula>
    </cfRule>
  </conditionalFormatting>
  <conditionalFormatting sqref="AF91:AH91">
    <cfRule type="expression" dxfId="16815" priority="26295">
      <formula>$AC91="NA"</formula>
    </cfRule>
  </conditionalFormatting>
  <conditionalFormatting sqref="S91:U91">
    <cfRule type="expression" dxfId="16814" priority="26294">
      <formula>$S91="NA"</formula>
    </cfRule>
  </conditionalFormatting>
  <conditionalFormatting sqref="X89:X96">
    <cfRule type="expression" dxfId="16813" priority="26281">
      <formula>$V89="NA"</formula>
    </cfRule>
  </conditionalFormatting>
  <conditionalFormatting sqref="AT62:AY62">
    <cfRule type="expression" dxfId="16812" priority="26280">
      <formula>$E$3="Non"</formula>
    </cfRule>
  </conditionalFormatting>
  <conditionalFormatting sqref="AO62:AR62">
    <cfRule type="expression" dxfId="16811" priority="26279">
      <formula>$E$4="Non"</formula>
    </cfRule>
  </conditionalFormatting>
  <conditionalFormatting sqref="P62 J62">
    <cfRule type="expression" dxfId="16810" priority="26278">
      <formula>$L62="NA"</formula>
    </cfRule>
  </conditionalFormatting>
  <conditionalFormatting sqref="X62">
    <cfRule type="expression" dxfId="16809" priority="26277">
      <formula>$V62="NA"</formula>
    </cfRule>
  </conditionalFormatting>
  <conditionalFormatting sqref="AE62">
    <cfRule type="expression" dxfId="16808" priority="26276">
      <formula>$AC62="NA"</formula>
    </cfRule>
  </conditionalFormatting>
  <conditionalFormatting sqref="AT62:AX62">
    <cfRule type="expression" dxfId="16807" priority="26275">
      <formula>$E$3="Non"</formula>
    </cfRule>
  </conditionalFormatting>
  <conditionalFormatting sqref="AO62:AQ62">
    <cfRule type="expression" dxfId="16806" priority="26274">
      <formula>$E$4="Non"</formula>
    </cfRule>
  </conditionalFormatting>
  <conditionalFormatting sqref="I62 N62:O62 K62 Q62">
    <cfRule type="expression" dxfId="16805" priority="26273">
      <formula>$L62="NA"</formula>
    </cfRule>
  </conditionalFormatting>
  <conditionalFormatting sqref="Y62:AA62">
    <cfRule type="expression" dxfId="16804" priority="26272">
      <formula>$V62="NA"</formula>
    </cfRule>
  </conditionalFormatting>
  <conditionalFormatting sqref="AF62:AH62">
    <cfRule type="expression" dxfId="16803" priority="26271">
      <formula>$AC62="NA"</formula>
    </cfRule>
  </conditionalFormatting>
  <conditionalFormatting sqref="S62:U62">
    <cfRule type="expression" dxfId="16802" priority="26270">
      <formula>$S62="NA"</formula>
    </cfRule>
  </conditionalFormatting>
  <conditionalFormatting sqref="E62:F62 F63:F69">
    <cfRule type="expression" dxfId="16801" priority="26269">
      <formula>$F62="Administratif"</formula>
    </cfRule>
  </conditionalFormatting>
  <conditionalFormatting sqref="E62:F62 F63:F69">
    <cfRule type="expression" dxfId="16800" priority="26260">
      <formula>$H62="non"</formula>
    </cfRule>
    <cfRule type="expression" dxfId="16799" priority="26265">
      <formula>$F62="SAV Sicli"</formula>
    </cfRule>
  </conditionalFormatting>
  <conditionalFormatting sqref="E62:F62 F63:F69">
    <cfRule type="expression" dxfId="16798" priority="26262">
      <formula>$F62="Direction"</formula>
    </cfRule>
  </conditionalFormatting>
  <conditionalFormatting sqref="E62:F62 F63:F69">
    <cfRule type="expression" dxfId="16797" priority="26261">
      <formula>$F62="Formation CCF"</formula>
    </cfRule>
  </conditionalFormatting>
  <conditionalFormatting sqref="E62:F62 F63:F69">
    <cfRule type="expression" dxfId="16796" priority="26263">
      <formula>$F62="Ventes Sicli"</formula>
    </cfRule>
    <cfRule type="expression" dxfId="16795" priority="26266">
      <formula>$F62="SAV Chubb"</formula>
    </cfRule>
  </conditionalFormatting>
  <conditionalFormatting sqref="E62:F62 F63:F69">
    <cfRule type="expression" dxfId="16794" priority="26264">
      <formula>$F62="Ventes Chubb"</formula>
    </cfRule>
  </conditionalFormatting>
  <conditionalFormatting sqref="E62:F62 F63:F69">
    <cfRule type="expression" dxfId="16793" priority="26267">
      <formula>$F62="Réalisation"</formula>
    </cfRule>
  </conditionalFormatting>
  <conditionalFormatting sqref="E62:F62 F63:F69">
    <cfRule type="expression" dxfId="16792" priority="26268">
      <formula>$F62="Désenfumage"</formula>
    </cfRule>
  </conditionalFormatting>
  <conditionalFormatting sqref="AT82:AY82">
    <cfRule type="expression" dxfId="16791" priority="26259">
      <formula>$E$3="Non"</formula>
    </cfRule>
  </conditionalFormatting>
  <conditionalFormatting sqref="AO82:AR82">
    <cfRule type="expression" dxfId="16790" priority="26258">
      <formula>$E$4="Non"</formula>
    </cfRule>
  </conditionalFormatting>
  <conditionalFormatting sqref="J82 P82">
    <cfRule type="expression" dxfId="16789" priority="26257">
      <formula>$L82="NA"</formula>
    </cfRule>
  </conditionalFormatting>
  <conditionalFormatting sqref="X82">
    <cfRule type="expression" dxfId="16788" priority="26256">
      <formula>$V82="NA"</formula>
    </cfRule>
  </conditionalFormatting>
  <conditionalFormatting sqref="G82:H82">
    <cfRule type="expression" dxfId="16787" priority="26255">
      <formula>$F82="Administratif"</formula>
    </cfRule>
  </conditionalFormatting>
  <conditionalFormatting sqref="G82:H82">
    <cfRule type="expression" dxfId="16786" priority="26246">
      <formula>$H82="non"</formula>
    </cfRule>
    <cfRule type="expression" dxfId="16785" priority="26251">
      <formula>$F82="SAV Sicli"</formula>
    </cfRule>
  </conditionalFormatting>
  <conditionalFormatting sqref="G82:H82">
    <cfRule type="expression" dxfId="16784" priority="26248">
      <formula>$F82="Direction"</formula>
    </cfRule>
  </conditionalFormatting>
  <conditionalFormatting sqref="G82:H82">
    <cfRule type="expression" dxfId="16783" priority="26247">
      <formula>$F82="Formation CCF"</formula>
    </cfRule>
  </conditionalFormatting>
  <conditionalFormatting sqref="G82:H82">
    <cfRule type="expression" dxfId="16782" priority="26249">
      <formula>$F82="Ventes Sicli"</formula>
    </cfRule>
    <cfRule type="expression" dxfId="16781" priority="26252">
      <formula>$F82="SAV Chubb"</formula>
    </cfRule>
  </conditionalFormatting>
  <conditionalFormatting sqref="G82:H82">
    <cfRule type="expression" dxfId="16780" priority="26250">
      <formula>$F82="Ventes Chubb"</formula>
    </cfRule>
  </conditionalFormatting>
  <conditionalFormatting sqref="G82:H82">
    <cfRule type="expression" dxfId="16779" priority="26253">
      <formula>$F82="Réalisation"</formula>
    </cfRule>
  </conditionalFormatting>
  <conditionalFormatting sqref="G82:H82">
    <cfRule type="expression" dxfId="16778" priority="26254">
      <formula>$F82="Désenfumage"</formula>
    </cfRule>
  </conditionalFormatting>
  <conditionalFormatting sqref="AT82:AX82">
    <cfRule type="expression" dxfId="16777" priority="26245">
      <formula>$E$3="Non"</formula>
    </cfRule>
  </conditionalFormatting>
  <conditionalFormatting sqref="AO82:AQ82">
    <cfRule type="expression" dxfId="16776" priority="26244">
      <formula>$E$4="Non"</formula>
    </cfRule>
  </conditionalFormatting>
  <conditionalFormatting sqref="N82:O82 I82 K82 Q82">
    <cfRule type="expression" dxfId="16775" priority="26243">
      <formula>$L82="NA"</formula>
    </cfRule>
  </conditionalFormatting>
  <conditionalFormatting sqref="Y82:AA82">
    <cfRule type="expression" dxfId="16774" priority="26242">
      <formula>$V82="NA"</formula>
    </cfRule>
  </conditionalFormatting>
  <conditionalFormatting sqref="AE82:AH82">
    <cfRule type="expression" dxfId="16773" priority="26241">
      <formula>$AC82="NA"</formula>
    </cfRule>
  </conditionalFormatting>
  <conditionalFormatting sqref="S82:U82">
    <cfRule type="expression" dxfId="16772" priority="26240">
      <formula>$S82="NA"</formula>
    </cfRule>
  </conditionalFormatting>
  <conditionalFormatting sqref="E82">
    <cfRule type="expression" dxfId="16771" priority="26239">
      <formula>$F82="Administratif"</formula>
    </cfRule>
  </conditionalFormatting>
  <conditionalFormatting sqref="E82">
    <cfRule type="expression" dxfId="16770" priority="26230">
      <formula>$H82="non"</formula>
    </cfRule>
    <cfRule type="expression" dxfId="16769" priority="26235">
      <formula>$F82="SAV Sicli"</formula>
    </cfRule>
  </conditionalFormatting>
  <conditionalFormatting sqref="E82">
    <cfRule type="expression" dxfId="16768" priority="26232">
      <formula>$F82="Direction"</formula>
    </cfRule>
  </conditionalFormatting>
  <conditionalFormatting sqref="E82">
    <cfRule type="expression" dxfId="16767" priority="26231">
      <formula>$F82="Formation CCF"</formula>
    </cfRule>
  </conditionalFormatting>
  <conditionalFormatting sqref="E82">
    <cfRule type="expression" dxfId="16766" priority="26233">
      <formula>$F82="Ventes Sicli"</formula>
    </cfRule>
    <cfRule type="expression" dxfId="16765" priority="26236">
      <formula>$F82="SAV Chubb"</formula>
    </cfRule>
  </conditionalFormatting>
  <conditionalFormatting sqref="E82">
    <cfRule type="expression" dxfId="16764" priority="26234">
      <formula>$F82="Ventes Chubb"</formula>
    </cfRule>
  </conditionalFormatting>
  <conditionalFormatting sqref="E82">
    <cfRule type="expression" dxfId="16763" priority="26237">
      <formula>$F82="Réalisation"</formula>
    </cfRule>
  </conditionalFormatting>
  <conditionalFormatting sqref="E82">
    <cfRule type="expression" dxfId="16762" priority="26238">
      <formula>$F82="Désenfumage"</formula>
    </cfRule>
  </conditionalFormatting>
  <conditionalFormatting sqref="C17 C47:D72 C40:D44">
    <cfRule type="expression" dxfId="16761" priority="26221">
      <formula>$F17="Formation CCF"</formula>
    </cfRule>
    <cfRule type="expression" dxfId="16760" priority="26222">
      <formula>$F17="Direction"</formula>
    </cfRule>
    <cfRule type="expression" dxfId="16759" priority="26223">
      <formula>$F17="Ventes Sicli"</formula>
    </cfRule>
    <cfRule type="expression" dxfId="16758" priority="26224">
      <formula>$F17="Ventes Chubb"</formula>
    </cfRule>
    <cfRule type="expression" dxfId="16757" priority="26225">
      <formula>$F17="SAV Sicli"</formula>
    </cfRule>
    <cfRule type="expression" dxfId="16756" priority="26226">
      <formula>$F17="SAV Chubb"</formula>
    </cfRule>
    <cfRule type="expression" dxfId="16755" priority="26227">
      <formula>$F17="Réalisation"</formula>
    </cfRule>
    <cfRule type="expression" dxfId="16754" priority="26228">
      <formula>$F17="Désenfumage"</formula>
    </cfRule>
    <cfRule type="expression" dxfId="16753" priority="26229">
      <formula>$F17="Administratif"</formula>
    </cfRule>
  </conditionalFormatting>
  <conditionalFormatting sqref="C17 C47:D72 C40:D44">
    <cfRule type="expression" dxfId="16752" priority="26220">
      <formula>$H17="non"</formula>
    </cfRule>
  </conditionalFormatting>
  <conditionalFormatting sqref="D17">
    <cfRule type="expression" dxfId="16751" priority="26211">
      <formula>$F17="Formation CCF"</formula>
    </cfRule>
    <cfRule type="expression" dxfId="16750" priority="26212">
      <formula>$F17="Direction"</formula>
    </cfRule>
    <cfRule type="expression" dxfId="16749" priority="26213">
      <formula>$F17="Ventes Sicli"</formula>
    </cfRule>
    <cfRule type="expression" dxfId="16748" priority="26214">
      <formula>$F17="Ventes Chubb"</formula>
    </cfRule>
    <cfRule type="expression" dxfId="16747" priority="26215">
      <formula>$F17="SAV Sicli"</formula>
    </cfRule>
    <cfRule type="expression" dxfId="16746" priority="26216">
      <formula>$F17="SAV Chubb"</formula>
    </cfRule>
    <cfRule type="expression" dxfId="16745" priority="26217">
      <formula>$F17="Réalisation"</formula>
    </cfRule>
    <cfRule type="expression" dxfId="16744" priority="26218">
      <formula>$F17="Désenfumage"</formula>
    </cfRule>
    <cfRule type="expression" dxfId="16743" priority="26219">
      <formula>$F17="Administratif"</formula>
    </cfRule>
  </conditionalFormatting>
  <conditionalFormatting sqref="D17">
    <cfRule type="expression" dxfId="16742" priority="26210">
      <formula>$H17="non"</formula>
    </cfRule>
  </conditionalFormatting>
  <conditionalFormatting sqref="D17">
    <cfRule type="expression" dxfId="16741" priority="26201">
      <formula>$F17="Formation CCF"</formula>
    </cfRule>
    <cfRule type="expression" dxfId="16740" priority="26202">
      <formula>$F17="Direction"</formula>
    </cfRule>
    <cfRule type="expression" dxfId="16739" priority="26203">
      <formula>$F17="Ventes Sicli"</formula>
    </cfRule>
    <cfRule type="expression" dxfId="16738" priority="26204">
      <formula>$F17="Ventes Chubb"</formula>
    </cfRule>
    <cfRule type="expression" dxfId="16737" priority="26205">
      <formula>$F17="SAV Sicli"</formula>
    </cfRule>
    <cfRule type="expression" dxfId="16736" priority="26206">
      <formula>$F17="SAV Chubb"</formula>
    </cfRule>
    <cfRule type="expression" dxfId="16735" priority="26207">
      <formula>$F17="Réalisation"</formula>
    </cfRule>
    <cfRule type="expression" dxfId="16734" priority="26208">
      <formula>$F17="Désenfumage"</formula>
    </cfRule>
    <cfRule type="expression" dxfId="16733" priority="26209">
      <formula>$F17="Administratif"</formula>
    </cfRule>
  </conditionalFormatting>
  <conditionalFormatting sqref="D17">
    <cfRule type="expression" dxfId="16732" priority="26200">
      <formula>$H17="non"</formula>
    </cfRule>
  </conditionalFormatting>
  <conditionalFormatting sqref="D17">
    <cfRule type="expression" dxfId="16731" priority="26191">
      <formula>$F17="Formation CCF"</formula>
    </cfRule>
    <cfRule type="expression" dxfId="16730" priority="26192">
      <formula>$F17="Direction"</formula>
    </cfRule>
    <cfRule type="expression" dxfId="16729" priority="26193">
      <formula>$F17="Ventes Sicli"</formula>
    </cfRule>
    <cfRule type="expression" dxfId="16728" priority="26194">
      <formula>$F17="Ventes Chubb"</formula>
    </cfRule>
    <cfRule type="expression" dxfId="16727" priority="26195">
      <formula>$F17="SAV Sicli"</formula>
    </cfRule>
    <cfRule type="expression" dxfId="16726" priority="26196">
      <formula>$F17="SAV Chubb"</formula>
    </cfRule>
    <cfRule type="expression" dxfId="16725" priority="26197">
      <formula>$F17="Réalisation"</formula>
    </cfRule>
    <cfRule type="expression" dxfId="16724" priority="26198">
      <formula>$F17="Désenfumage"</formula>
    </cfRule>
    <cfRule type="expression" dxfId="16723" priority="26199">
      <formula>$F17="Administratif"</formula>
    </cfRule>
  </conditionalFormatting>
  <conditionalFormatting sqref="D17">
    <cfRule type="expression" dxfId="16722" priority="26190">
      <formula>$H17="non"</formula>
    </cfRule>
  </conditionalFormatting>
  <conditionalFormatting sqref="D17">
    <cfRule type="expression" dxfId="16721" priority="26181">
      <formula>$F17="Formation CCF"</formula>
    </cfRule>
    <cfRule type="expression" dxfId="16720" priority="26182">
      <formula>$F17="Direction"</formula>
    </cfRule>
    <cfRule type="expression" dxfId="16719" priority="26183">
      <formula>$F17="Ventes Sicli"</formula>
    </cfRule>
    <cfRule type="expression" dxfId="16718" priority="26184">
      <formula>$F17="Ventes Chubb"</formula>
    </cfRule>
    <cfRule type="expression" dxfId="16717" priority="26185">
      <formula>$F17="SAV Sicli"</formula>
    </cfRule>
    <cfRule type="expression" dxfId="16716" priority="26186">
      <formula>$F17="SAV Chubb"</formula>
    </cfRule>
    <cfRule type="expression" dxfId="16715" priority="26187">
      <formula>$F17="Réalisation"</formula>
    </cfRule>
    <cfRule type="expression" dxfId="16714" priority="26188">
      <formula>$F17="Désenfumage"</formula>
    </cfRule>
    <cfRule type="expression" dxfId="16713" priority="26189">
      <formula>$F17="Administratif"</formula>
    </cfRule>
  </conditionalFormatting>
  <conditionalFormatting sqref="D17">
    <cfRule type="expression" dxfId="16712" priority="26180">
      <formula>$H17="non"</formula>
    </cfRule>
  </conditionalFormatting>
  <conditionalFormatting sqref="D17">
    <cfRule type="expression" dxfId="16711" priority="26171">
      <formula>$F17="Formation CCF"</formula>
    </cfRule>
    <cfRule type="expression" dxfId="16710" priority="26172">
      <formula>$F17="Direction"</formula>
    </cfRule>
    <cfRule type="expression" dxfId="16709" priority="26173">
      <formula>$F17="Ventes Sicli"</formula>
    </cfRule>
    <cfRule type="expression" dxfId="16708" priority="26174">
      <formula>$F17="Ventes Chubb"</formula>
    </cfRule>
    <cfRule type="expression" dxfId="16707" priority="26175">
      <formula>$F17="SAV Sicli"</formula>
    </cfRule>
    <cfRule type="expression" dxfId="16706" priority="26176">
      <formula>$F17="SAV Chubb"</formula>
    </cfRule>
    <cfRule type="expression" dxfId="16705" priority="26177">
      <formula>$F17="Réalisation"</formula>
    </cfRule>
    <cfRule type="expression" dxfId="16704" priority="26178">
      <formula>$F17="Désenfumage"</formula>
    </cfRule>
    <cfRule type="expression" dxfId="16703" priority="26179">
      <formula>$F17="Administratif"</formula>
    </cfRule>
  </conditionalFormatting>
  <conditionalFormatting sqref="D17">
    <cfRule type="expression" dxfId="16702" priority="26170">
      <formula>$H17="non"</formula>
    </cfRule>
  </conditionalFormatting>
  <conditionalFormatting sqref="C17:D17">
    <cfRule type="expression" dxfId="16701" priority="26161">
      <formula>$F17="Formation CCF"</formula>
    </cfRule>
    <cfRule type="expression" dxfId="16700" priority="26162">
      <formula>$F17="Direction"</formula>
    </cfRule>
    <cfRule type="expression" dxfId="16699" priority="26163">
      <formula>$F17="Ventes Sicli"</formula>
    </cfRule>
    <cfRule type="expression" dxfId="16698" priority="26164">
      <formula>$F17="Ventes Chubb"</formula>
    </cfRule>
    <cfRule type="expression" dxfId="16697" priority="26165">
      <formula>$F17="SAV Sicli"</formula>
    </cfRule>
    <cfRule type="expression" dxfId="16696" priority="26166">
      <formula>$F17="SAV Chubb"</formula>
    </cfRule>
    <cfRule type="expression" dxfId="16695" priority="26167">
      <formula>$F17="Réalisation"</formula>
    </cfRule>
    <cfRule type="expression" dxfId="16694" priority="26168">
      <formula>$F17="Désenfumage"</formula>
    </cfRule>
    <cfRule type="expression" dxfId="16693" priority="26169">
      <formula>$F17="Administratif"</formula>
    </cfRule>
  </conditionalFormatting>
  <conditionalFormatting sqref="C17:D17">
    <cfRule type="expression" dxfId="16692" priority="26160">
      <formula>$H17="non"</formula>
    </cfRule>
  </conditionalFormatting>
  <conditionalFormatting sqref="C17:D17">
    <cfRule type="expression" dxfId="16691" priority="26151">
      <formula>$F17="Formation CCF"</formula>
    </cfRule>
    <cfRule type="expression" dxfId="16690" priority="26152">
      <formula>$F17="Direction"</formula>
    </cfRule>
    <cfRule type="expression" dxfId="16689" priority="26153">
      <formula>$F17="Ventes Sicli"</formula>
    </cfRule>
    <cfRule type="expression" dxfId="16688" priority="26154">
      <formula>$F17="Ventes Chubb"</formula>
    </cfRule>
    <cfRule type="expression" dxfId="16687" priority="26155">
      <formula>$F17="SAV Sicli"</formula>
    </cfRule>
    <cfRule type="expression" dxfId="16686" priority="26156">
      <formula>$F17="SAV Chubb"</formula>
    </cfRule>
    <cfRule type="expression" dxfId="16685" priority="26157">
      <formula>$F17="Réalisation"</formula>
    </cfRule>
    <cfRule type="expression" dxfId="16684" priority="26158">
      <formula>$F17="Désenfumage"</formula>
    </cfRule>
    <cfRule type="expression" dxfId="16683" priority="26159">
      <formula>$F17="Administratif"</formula>
    </cfRule>
  </conditionalFormatting>
  <conditionalFormatting sqref="C17:D17">
    <cfRule type="expression" dxfId="16682" priority="26150">
      <formula>$H17="non"</formula>
    </cfRule>
  </conditionalFormatting>
  <conditionalFormatting sqref="C17:D17">
    <cfRule type="expression" dxfId="16681" priority="26141">
      <formula>$F17="Formation CCF"</formula>
    </cfRule>
    <cfRule type="expression" dxfId="16680" priority="26142">
      <formula>$F17="Direction"</formula>
    </cfRule>
    <cfRule type="expression" dxfId="16679" priority="26143">
      <formula>$F17="Ventes Sicli"</formula>
    </cfRule>
    <cfRule type="expression" dxfId="16678" priority="26144">
      <formula>$F17="Ventes Chubb"</formula>
    </cfRule>
    <cfRule type="expression" dxfId="16677" priority="26145">
      <formula>$F17="SAV Sicli"</formula>
    </cfRule>
    <cfRule type="expression" dxfId="16676" priority="26146">
      <formula>$F17="SAV Chubb"</formula>
    </cfRule>
    <cfRule type="expression" dxfId="16675" priority="26147">
      <formula>$F17="Réalisation"</formula>
    </cfRule>
    <cfRule type="expression" dxfId="16674" priority="26148">
      <formula>$F17="Désenfumage"</formula>
    </cfRule>
    <cfRule type="expression" dxfId="16673" priority="26149">
      <formula>$F17="Administratif"</formula>
    </cfRule>
  </conditionalFormatting>
  <conditionalFormatting sqref="C17:D17">
    <cfRule type="expression" dxfId="16672" priority="26140">
      <formula>$H17="non"</formula>
    </cfRule>
  </conditionalFormatting>
  <conditionalFormatting sqref="C17:D17">
    <cfRule type="expression" dxfId="16671" priority="26131">
      <formula>$F17="Formation CCF"</formula>
    </cfRule>
    <cfRule type="expression" dxfId="16670" priority="26132">
      <formula>$F17="Direction"</formula>
    </cfRule>
    <cfRule type="expression" dxfId="16669" priority="26133">
      <formula>$F17="Ventes Sicli"</formula>
    </cfRule>
    <cfRule type="expression" dxfId="16668" priority="26134">
      <formula>$F17="Ventes Chubb"</formula>
    </cfRule>
    <cfRule type="expression" dxfId="16667" priority="26135">
      <formula>$F17="SAV Sicli"</formula>
    </cfRule>
    <cfRule type="expression" dxfId="16666" priority="26136">
      <formula>$F17="SAV Chubb"</formula>
    </cfRule>
    <cfRule type="expression" dxfId="16665" priority="26137">
      <formula>$F17="Réalisation"</formula>
    </cfRule>
    <cfRule type="expression" dxfId="16664" priority="26138">
      <formula>$F17="Désenfumage"</formula>
    </cfRule>
    <cfRule type="expression" dxfId="16663" priority="26139">
      <formula>$F17="Administratif"</formula>
    </cfRule>
  </conditionalFormatting>
  <conditionalFormatting sqref="C17:D17">
    <cfRule type="expression" dxfId="16662" priority="26130">
      <formula>$H17="non"</formula>
    </cfRule>
  </conditionalFormatting>
  <conditionalFormatting sqref="D17">
    <cfRule type="expression" dxfId="16661" priority="26121">
      <formula>$F17="Formation CCF"</formula>
    </cfRule>
    <cfRule type="expression" dxfId="16660" priority="26122">
      <formula>$F17="Direction"</formula>
    </cfRule>
    <cfRule type="expression" dxfId="16659" priority="26123">
      <formula>$F17="Ventes Sicli"</formula>
    </cfRule>
    <cfRule type="expression" dxfId="16658" priority="26124">
      <formula>$F17="Ventes Chubb"</formula>
    </cfRule>
    <cfRule type="expression" dxfId="16657" priority="26125">
      <formula>$F17="SAV Sicli"</formula>
    </cfRule>
    <cfRule type="expression" dxfId="16656" priority="26126">
      <formula>$F17="SAV Chubb"</formula>
    </cfRule>
    <cfRule type="expression" dxfId="16655" priority="26127">
      <formula>$F17="Réalisation"</formula>
    </cfRule>
    <cfRule type="expression" dxfId="16654" priority="26128">
      <formula>$F17="Désenfumage"</formula>
    </cfRule>
    <cfRule type="expression" dxfId="16653" priority="26129">
      <formula>$F17="Administratif"</formula>
    </cfRule>
  </conditionalFormatting>
  <conditionalFormatting sqref="D17">
    <cfRule type="expression" dxfId="16652" priority="26120">
      <formula>$H17="non"</formula>
    </cfRule>
  </conditionalFormatting>
  <conditionalFormatting sqref="D17">
    <cfRule type="expression" dxfId="16651" priority="26111">
      <formula>$F17="Formation CCF"</formula>
    </cfRule>
    <cfRule type="expression" dxfId="16650" priority="26112">
      <formula>$F17="Direction"</formula>
    </cfRule>
    <cfRule type="expression" dxfId="16649" priority="26113">
      <formula>$F17="Ventes Sicli"</formula>
    </cfRule>
    <cfRule type="expression" dxfId="16648" priority="26114">
      <formula>$F17="Ventes Chubb"</formula>
    </cfRule>
    <cfRule type="expression" dxfId="16647" priority="26115">
      <formula>$F17="SAV Sicli"</formula>
    </cfRule>
    <cfRule type="expression" dxfId="16646" priority="26116">
      <formula>$F17="SAV Chubb"</formula>
    </cfRule>
    <cfRule type="expression" dxfId="16645" priority="26117">
      <formula>$F17="Réalisation"</formula>
    </cfRule>
    <cfRule type="expression" dxfId="16644" priority="26118">
      <formula>$F17="Désenfumage"</formula>
    </cfRule>
    <cfRule type="expression" dxfId="16643" priority="26119">
      <formula>$F17="Administratif"</formula>
    </cfRule>
  </conditionalFormatting>
  <conditionalFormatting sqref="D17">
    <cfRule type="expression" dxfId="16642" priority="26110">
      <formula>$H17="non"</formula>
    </cfRule>
  </conditionalFormatting>
  <conditionalFormatting sqref="D17">
    <cfRule type="expression" dxfId="16641" priority="26101">
      <formula>$F17="Formation CCF"</formula>
    </cfRule>
    <cfRule type="expression" dxfId="16640" priority="26102">
      <formula>$F17="Direction"</formula>
    </cfRule>
    <cfRule type="expression" dxfId="16639" priority="26103">
      <formula>$F17="Ventes Sicli"</formula>
    </cfRule>
    <cfRule type="expression" dxfId="16638" priority="26104">
      <formula>$F17="Ventes Chubb"</formula>
    </cfRule>
    <cfRule type="expression" dxfId="16637" priority="26105">
      <formula>$F17="SAV Sicli"</formula>
    </cfRule>
    <cfRule type="expression" dxfId="16636" priority="26106">
      <formula>$F17="SAV Chubb"</formula>
    </cfRule>
    <cfRule type="expression" dxfId="16635" priority="26107">
      <formula>$F17="Réalisation"</formula>
    </cfRule>
    <cfRule type="expression" dxfId="16634" priority="26108">
      <formula>$F17="Désenfumage"</formula>
    </cfRule>
    <cfRule type="expression" dxfId="16633" priority="26109">
      <formula>$F17="Administratif"</formula>
    </cfRule>
  </conditionalFormatting>
  <conditionalFormatting sqref="D17">
    <cfRule type="expression" dxfId="16632" priority="26100">
      <formula>$H17="non"</formula>
    </cfRule>
  </conditionalFormatting>
  <conditionalFormatting sqref="D17">
    <cfRule type="expression" dxfId="16631" priority="26091">
      <formula>$F17="Formation CCF"</formula>
    </cfRule>
    <cfRule type="expression" dxfId="16630" priority="26092">
      <formula>$F17="Direction"</formula>
    </cfRule>
    <cfRule type="expression" dxfId="16629" priority="26093">
      <formula>$F17="Ventes Sicli"</formula>
    </cfRule>
    <cfRule type="expression" dxfId="16628" priority="26094">
      <formula>$F17="Ventes Chubb"</formula>
    </cfRule>
    <cfRule type="expression" dxfId="16627" priority="26095">
      <formula>$F17="SAV Sicli"</formula>
    </cfRule>
    <cfRule type="expression" dxfId="16626" priority="26096">
      <formula>$F17="SAV Chubb"</formula>
    </cfRule>
    <cfRule type="expression" dxfId="16625" priority="26097">
      <formula>$F17="Réalisation"</formula>
    </cfRule>
    <cfRule type="expression" dxfId="16624" priority="26098">
      <formula>$F17="Désenfumage"</formula>
    </cfRule>
    <cfRule type="expression" dxfId="16623" priority="26099">
      <formula>$F17="Administratif"</formula>
    </cfRule>
  </conditionalFormatting>
  <conditionalFormatting sqref="D17">
    <cfRule type="expression" dxfId="16622" priority="26090">
      <formula>$H17="non"</formula>
    </cfRule>
  </conditionalFormatting>
  <conditionalFormatting sqref="D17">
    <cfRule type="expression" dxfId="16621" priority="26081">
      <formula>$F17="Formation CCF"</formula>
    </cfRule>
    <cfRule type="expression" dxfId="16620" priority="26082">
      <formula>$F17="Direction"</formula>
    </cfRule>
    <cfRule type="expression" dxfId="16619" priority="26083">
      <formula>$F17="Ventes Sicli"</formula>
    </cfRule>
    <cfRule type="expression" dxfId="16618" priority="26084">
      <formula>$F17="Ventes Chubb"</formula>
    </cfRule>
    <cfRule type="expression" dxfId="16617" priority="26085">
      <formula>$F17="SAV Sicli"</formula>
    </cfRule>
    <cfRule type="expression" dxfId="16616" priority="26086">
      <formula>$F17="SAV Chubb"</formula>
    </cfRule>
    <cfRule type="expression" dxfId="16615" priority="26087">
      <formula>$F17="Réalisation"</formula>
    </cfRule>
    <cfRule type="expression" dxfId="16614" priority="26088">
      <formula>$F17="Désenfumage"</formula>
    </cfRule>
    <cfRule type="expression" dxfId="16613" priority="26089">
      <formula>$F17="Administratif"</formula>
    </cfRule>
  </conditionalFormatting>
  <conditionalFormatting sqref="D17">
    <cfRule type="expression" dxfId="16612" priority="26080">
      <formula>$H17="non"</formula>
    </cfRule>
  </conditionalFormatting>
  <conditionalFormatting sqref="D17">
    <cfRule type="expression" dxfId="16611" priority="26071">
      <formula>$F17="Formation CCF"</formula>
    </cfRule>
    <cfRule type="expression" dxfId="16610" priority="26072">
      <formula>$F17="Direction"</formula>
    </cfRule>
    <cfRule type="expression" dxfId="16609" priority="26073">
      <formula>$F17="Ventes Sicli"</formula>
    </cfRule>
    <cfRule type="expression" dxfId="16608" priority="26074">
      <formula>$F17="Ventes Chubb"</formula>
    </cfRule>
    <cfRule type="expression" dxfId="16607" priority="26075">
      <formula>$F17="SAV Sicli"</formula>
    </cfRule>
    <cfRule type="expression" dxfId="16606" priority="26076">
      <formula>$F17="SAV Chubb"</formula>
    </cfRule>
    <cfRule type="expression" dxfId="16605" priority="26077">
      <formula>$F17="Réalisation"</formula>
    </cfRule>
    <cfRule type="expression" dxfId="16604" priority="26078">
      <formula>$F17="Désenfumage"</formula>
    </cfRule>
    <cfRule type="expression" dxfId="16603" priority="26079">
      <formula>$F17="Administratif"</formula>
    </cfRule>
  </conditionalFormatting>
  <conditionalFormatting sqref="D17">
    <cfRule type="expression" dxfId="16602" priority="26070">
      <formula>$H17="non"</formula>
    </cfRule>
  </conditionalFormatting>
  <conditionalFormatting sqref="D17">
    <cfRule type="expression" dxfId="16601" priority="26061">
      <formula>$F17="Formation CCF"</formula>
    </cfRule>
    <cfRule type="expression" dxfId="16600" priority="26062">
      <formula>$F17="Direction"</formula>
    </cfRule>
    <cfRule type="expression" dxfId="16599" priority="26063">
      <formula>$F17="Ventes Sicli"</formula>
    </cfRule>
    <cfRule type="expression" dxfId="16598" priority="26064">
      <formula>$F17="Ventes Chubb"</formula>
    </cfRule>
    <cfRule type="expression" dxfId="16597" priority="26065">
      <formula>$F17="SAV Sicli"</formula>
    </cfRule>
    <cfRule type="expression" dxfId="16596" priority="26066">
      <formula>$F17="SAV Chubb"</formula>
    </cfRule>
    <cfRule type="expression" dxfId="16595" priority="26067">
      <formula>$F17="Réalisation"</formula>
    </cfRule>
    <cfRule type="expression" dxfId="16594" priority="26068">
      <formula>$F17="Désenfumage"</formula>
    </cfRule>
    <cfRule type="expression" dxfId="16593" priority="26069">
      <formula>$F17="Administratif"</formula>
    </cfRule>
  </conditionalFormatting>
  <conditionalFormatting sqref="D17">
    <cfRule type="expression" dxfId="16592" priority="26060">
      <formula>$H17="non"</formula>
    </cfRule>
  </conditionalFormatting>
  <conditionalFormatting sqref="C17:D17">
    <cfRule type="expression" dxfId="16591" priority="26051">
      <formula>$F17="Formation CCF"</formula>
    </cfRule>
    <cfRule type="expression" dxfId="16590" priority="26052">
      <formula>$F17="Direction"</formula>
    </cfRule>
    <cfRule type="expression" dxfId="16589" priority="26053">
      <formula>$F17="Ventes Sicli"</formula>
    </cfRule>
    <cfRule type="expression" dxfId="16588" priority="26054">
      <formula>$F17="Ventes Chubb"</formula>
    </cfRule>
    <cfRule type="expression" dxfId="16587" priority="26055">
      <formula>$F17="SAV Sicli"</formula>
    </cfRule>
    <cfRule type="expression" dxfId="16586" priority="26056">
      <formula>$F17="SAV Chubb"</formula>
    </cfRule>
    <cfRule type="expression" dxfId="16585" priority="26057">
      <formula>$F17="Réalisation"</formula>
    </cfRule>
    <cfRule type="expression" dxfId="16584" priority="26058">
      <formula>$F17="Désenfumage"</formula>
    </cfRule>
    <cfRule type="expression" dxfId="16583" priority="26059">
      <formula>$F17="Administratif"</formula>
    </cfRule>
  </conditionalFormatting>
  <conditionalFormatting sqref="C17:D17">
    <cfRule type="expression" dxfId="16582" priority="26050">
      <formula>$H17="non"</formula>
    </cfRule>
  </conditionalFormatting>
  <conditionalFormatting sqref="C17:D17">
    <cfRule type="expression" dxfId="16581" priority="26041">
      <formula>$F17="Formation CCF"</formula>
    </cfRule>
    <cfRule type="expression" dxfId="16580" priority="26042">
      <formula>$F17="Direction"</formula>
    </cfRule>
    <cfRule type="expression" dxfId="16579" priority="26043">
      <formula>$F17="Ventes Sicli"</formula>
    </cfRule>
    <cfRule type="expression" dxfId="16578" priority="26044">
      <formula>$F17="Ventes Chubb"</formula>
    </cfRule>
    <cfRule type="expression" dxfId="16577" priority="26045">
      <formula>$F17="SAV Sicli"</formula>
    </cfRule>
    <cfRule type="expression" dxfId="16576" priority="26046">
      <formula>$F17="SAV Chubb"</formula>
    </cfRule>
    <cfRule type="expression" dxfId="16575" priority="26047">
      <formula>$F17="Réalisation"</formula>
    </cfRule>
    <cfRule type="expression" dxfId="16574" priority="26048">
      <formula>$F17="Désenfumage"</formula>
    </cfRule>
    <cfRule type="expression" dxfId="16573" priority="26049">
      <formula>$F17="Administratif"</formula>
    </cfRule>
  </conditionalFormatting>
  <conditionalFormatting sqref="C17:D17">
    <cfRule type="expression" dxfId="16572" priority="26040">
      <formula>$H17="non"</formula>
    </cfRule>
  </conditionalFormatting>
  <conditionalFormatting sqref="C17:D17">
    <cfRule type="expression" dxfId="16571" priority="26031">
      <formula>$F17="Formation CCF"</formula>
    </cfRule>
    <cfRule type="expression" dxfId="16570" priority="26032">
      <formula>$F17="Direction"</formula>
    </cfRule>
    <cfRule type="expression" dxfId="16569" priority="26033">
      <formula>$F17="Ventes Sicli"</formula>
    </cfRule>
    <cfRule type="expression" dxfId="16568" priority="26034">
      <formula>$F17="Ventes Chubb"</formula>
    </cfRule>
    <cfRule type="expression" dxfId="16567" priority="26035">
      <formula>$F17="SAV Sicli"</formula>
    </cfRule>
    <cfRule type="expression" dxfId="16566" priority="26036">
      <formula>$F17="SAV Chubb"</formula>
    </cfRule>
    <cfRule type="expression" dxfId="16565" priority="26037">
      <formula>$F17="Réalisation"</formula>
    </cfRule>
    <cfRule type="expression" dxfId="16564" priority="26038">
      <formula>$F17="Désenfumage"</formula>
    </cfRule>
    <cfRule type="expression" dxfId="16563" priority="26039">
      <formula>$F17="Administratif"</formula>
    </cfRule>
  </conditionalFormatting>
  <conditionalFormatting sqref="C17:D17">
    <cfRule type="expression" dxfId="16562" priority="26030">
      <formula>$H17="non"</formula>
    </cfRule>
  </conditionalFormatting>
  <conditionalFormatting sqref="C17:D17">
    <cfRule type="expression" dxfId="16561" priority="26021">
      <formula>$F17="Formation CCF"</formula>
    </cfRule>
    <cfRule type="expression" dxfId="16560" priority="26022">
      <formula>$F17="Direction"</formula>
    </cfRule>
    <cfRule type="expression" dxfId="16559" priority="26023">
      <formula>$F17="Ventes Sicli"</formula>
    </cfRule>
    <cfRule type="expression" dxfId="16558" priority="26024">
      <formula>$F17="Ventes Chubb"</formula>
    </cfRule>
    <cfRule type="expression" dxfId="16557" priority="26025">
      <formula>$F17="SAV Sicli"</formula>
    </cfRule>
    <cfRule type="expression" dxfId="16556" priority="26026">
      <formula>$F17="SAV Chubb"</formula>
    </cfRule>
    <cfRule type="expression" dxfId="16555" priority="26027">
      <formula>$F17="Réalisation"</formula>
    </cfRule>
    <cfRule type="expression" dxfId="16554" priority="26028">
      <formula>$F17="Désenfumage"</formula>
    </cfRule>
    <cfRule type="expression" dxfId="16553" priority="26029">
      <formula>$F17="Administratif"</formula>
    </cfRule>
  </conditionalFormatting>
  <conditionalFormatting sqref="C17:D17">
    <cfRule type="expression" dxfId="16552" priority="26020">
      <formula>$H17="non"</formula>
    </cfRule>
  </conditionalFormatting>
  <conditionalFormatting sqref="D17">
    <cfRule type="expression" dxfId="16551" priority="26011">
      <formula>$F17="Formation CCF"</formula>
    </cfRule>
    <cfRule type="expression" dxfId="16550" priority="26012">
      <formula>$F17="Direction"</formula>
    </cfRule>
    <cfRule type="expression" dxfId="16549" priority="26013">
      <formula>$F17="Ventes Sicli"</formula>
    </cfRule>
    <cfRule type="expression" dxfId="16548" priority="26014">
      <formula>$F17="Ventes Chubb"</formula>
    </cfRule>
    <cfRule type="expression" dxfId="16547" priority="26015">
      <formula>$F17="SAV Sicli"</formula>
    </cfRule>
    <cfRule type="expression" dxfId="16546" priority="26016">
      <formula>$F17="SAV Chubb"</formula>
    </cfRule>
    <cfRule type="expression" dxfId="16545" priority="26017">
      <formula>$F17="Réalisation"</formula>
    </cfRule>
    <cfRule type="expression" dxfId="16544" priority="26018">
      <formula>$F17="Désenfumage"</formula>
    </cfRule>
    <cfRule type="expression" dxfId="16543" priority="26019">
      <formula>$F17="Administratif"</formula>
    </cfRule>
  </conditionalFormatting>
  <conditionalFormatting sqref="D17">
    <cfRule type="expression" dxfId="16542" priority="26010">
      <formula>$H17="non"</formula>
    </cfRule>
  </conditionalFormatting>
  <conditionalFormatting sqref="D17">
    <cfRule type="expression" dxfId="16541" priority="26001">
      <formula>$F17="Formation CCF"</formula>
    </cfRule>
    <cfRule type="expression" dxfId="16540" priority="26002">
      <formula>$F17="Direction"</formula>
    </cfRule>
    <cfRule type="expression" dxfId="16539" priority="26003">
      <formula>$F17="Ventes Sicli"</formula>
    </cfRule>
    <cfRule type="expression" dxfId="16538" priority="26004">
      <formula>$F17="Ventes Chubb"</formula>
    </cfRule>
    <cfRule type="expression" dxfId="16537" priority="26005">
      <formula>$F17="SAV Sicli"</formula>
    </cfRule>
    <cfRule type="expression" dxfId="16536" priority="26006">
      <formula>$F17="SAV Chubb"</formula>
    </cfRule>
    <cfRule type="expression" dxfId="16535" priority="26007">
      <formula>$F17="Réalisation"</formula>
    </cfRule>
    <cfRule type="expression" dxfId="16534" priority="26008">
      <formula>$F17="Désenfumage"</formula>
    </cfRule>
    <cfRule type="expression" dxfId="16533" priority="26009">
      <formula>$F17="Administratif"</formula>
    </cfRule>
  </conditionalFormatting>
  <conditionalFormatting sqref="D17">
    <cfRule type="expression" dxfId="16532" priority="26000">
      <formula>$H17="non"</formula>
    </cfRule>
  </conditionalFormatting>
  <conditionalFormatting sqref="C18">
    <cfRule type="expression" dxfId="16531" priority="25471">
      <formula>$F18="Formation CCF"</formula>
    </cfRule>
    <cfRule type="expression" dxfId="16530" priority="25472">
      <formula>$F18="Direction"</formula>
    </cfRule>
    <cfRule type="expression" dxfId="16529" priority="25473">
      <formula>$F18="Ventes Sicli"</formula>
    </cfRule>
    <cfRule type="expression" dxfId="16528" priority="25474">
      <formula>$F18="Ventes Chubb"</formula>
    </cfRule>
    <cfRule type="expression" dxfId="16527" priority="25475">
      <formula>$F18="SAV Sicli"</formula>
    </cfRule>
    <cfRule type="expression" dxfId="16526" priority="25476">
      <formula>$F18="SAV Chubb"</formula>
    </cfRule>
    <cfRule type="expression" dxfId="16525" priority="25477">
      <formula>$F18="Réalisation"</formula>
    </cfRule>
    <cfRule type="expression" dxfId="16524" priority="25478">
      <formula>$F18="Désenfumage"</formula>
    </cfRule>
    <cfRule type="expression" dxfId="16523" priority="25479">
      <formula>$F18="Administratif"</formula>
    </cfRule>
  </conditionalFormatting>
  <conditionalFormatting sqref="C18">
    <cfRule type="expression" dxfId="16522" priority="25470">
      <formula>$H18="non"</formula>
    </cfRule>
  </conditionalFormatting>
  <conditionalFormatting sqref="D18">
    <cfRule type="expression" dxfId="16521" priority="25461">
      <formula>$F18="Formation CCF"</formula>
    </cfRule>
    <cfRule type="expression" dxfId="16520" priority="25462">
      <formula>$F18="Direction"</formula>
    </cfRule>
    <cfRule type="expression" dxfId="16519" priority="25463">
      <formula>$F18="Ventes Sicli"</formula>
    </cfRule>
    <cfRule type="expression" dxfId="16518" priority="25464">
      <formula>$F18="Ventes Chubb"</formula>
    </cfRule>
    <cfRule type="expression" dxfId="16517" priority="25465">
      <formula>$F18="SAV Sicli"</formula>
    </cfRule>
    <cfRule type="expression" dxfId="16516" priority="25466">
      <formula>$F18="SAV Chubb"</formula>
    </cfRule>
    <cfRule type="expression" dxfId="16515" priority="25467">
      <formula>$F18="Réalisation"</formula>
    </cfRule>
    <cfRule type="expression" dxfId="16514" priority="25468">
      <formula>$F18="Désenfumage"</formula>
    </cfRule>
    <cfRule type="expression" dxfId="16513" priority="25469">
      <formula>$F18="Administratif"</formula>
    </cfRule>
  </conditionalFormatting>
  <conditionalFormatting sqref="D18">
    <cfRule type="expression" dxfId="16512" priority="25460">
      <formula>$H18="non"</formula>
    </cfRule>
  </conditionalFormatting>
  <conditionalFormatting sqref="D18">
    <cfRule type="expression" dxfId="16511" priority="25451">
      <formula>$F18="Formation CCF"</formula>
    </cfRule>
    <cfRule type="expression" dxfId="16510" priority="25452">
      <formula>$F18="Direction"</formula>
    </cfRule>
    <cfRule type="expression" dxfId="16509" priority="25453">
      <formula>$F18="Ventes Sicli"</formula>
    </cfRule>
    <cfRule type="expression" dxfId="16508" priority="25454">
      <formula>$F18="Ventes Chubb"</formula>
    </cfRule>
    <cfRule type="expression" dxfId="16507" priority="25455">
      <formula>$F18="SAV Sicli"</formula>
    </cfRule>
    <cfRule type="expression" dxfId="16506" priority="25456">
      <formula>$F18="SAV Chubb"</formula>
    </cfRule>
    <cfRule type="expression" dxfId="16505" priority="25457">
      <formula>$F18="Réalisation"</formula>
    </cfRule>
    <cfRule type="expression" dxfId="16504" priority="25458">
      <formula>$F18="Désenfumage"</formula>
    </cfRule>
    <cfRule type="expression" dxfId="16503" priority="25459">
      <formula>$F18="Administratif"</formula>
    </cfRule>
  </conditionalFormatting>
  <conditionalFormatting sqref="D18">
    <cfRule type="expression" dxfId="16502" priority="25450">
      <formula>$H18="non"</formula>
    </cfRule>
  </conditionalFormatting>
  <conditionalFormatting sqref="D18">
    <cfRule type="expression" dxfId="16501" priority="25441">
      <formula>$F18="Formation CCF"</formula>
    </cfRule>
    <cfRule type="expression" dxfId="16500" priority="25442">
      <formula>$F18="Direction"</formula>
    </cfRule>
    <cfRule type="expression" dxfId="16499" priority="25443">
      <formula>$F18="Ventes Sicli"</formula>
    </cfRule>
    <cfRule type="expression" dxfId="16498" priority="25444">
      <formula>$F18="Ventes Chubb"</formula>
    </cfRule>
    <cfRule type="expression" dxfId="16497" priority="25445">
      <formula>$F18="SAV Sicli"</formula>
    </cfRule>
    <cfRule type="expression" dxfId="16496" priority="25446">
      <formula>$F18="SAV Chubb"</formula>
    </cfRule>
    <cfRule type="expression" dxfId="16495" priority="25447">
      <formula>$F18="Réalisation"</formula>
    </cfRule>
    <cfRule type="expression" dxfId="16494" priority="25448">
      <formula>$F18="Désenfumage"</formula>
    </cfRule>
    <cfRule type="expression" dxfId="16493" priority="25449">
      <formula>$F18="Administratif"</formula>
    </cfRule>
  </conditionalFormatting>
  <conditionalFormatting sqref="D18">
    <cfRule type="expression" dxfId="16492" priority="25440">
      <formula>$H18="non"</formula>
    </cfRule>
  </conditionalFormatting>
  <conditionalFormatting sqref="D18">
    <cfRule type="expression" dxfId="16491" priority="25431">
      <formula>$F18="Formation CCF"</formula>
    </cfRule>
    <cfRule type="expression" dxfId="16490" priority="25432">
      <formula>$F18="Direction"</formula>
    </cfRule>
    <cfRule type="expression" dxfId="16489" priority="25433">
      <formula>$F18="Ventes Sicli"</formula>
    </cfRule>
    <cfRule type="expression" dxfId="16488" priority="25434">
      <formula>$F18="Ventes Chubb"</formula>
    </cfRule>
    <cfRule type="expression" dxfId="16487" priority="25435">
      <formula>$F18="SAV Sicli"</formula>
    </cfRule>
    <cfRule type="expression" dxfId="16486" priority="25436">
      <formula>$F18="SAV Chubb"</formula>
    </cfRule>
    <cfRule type="expression" dxfId="16485" priority="25437">
      <formula>$F18="Réalisation"</formula>
    </cfRule>
    <cfRule type="expression" dxfId="16484" priority="25438">
      <formula>$F18="Désenfumage"</formula>
    </cfRule>
    <cfRule type="expression" dxfId="16483" priority="25439">
      <formula>$F18="Administratif"</formula>
    </cfRule>
  </conditionalFormatting>
  <conditionalFormatting sqref="D18">
    <cfRule type="expression" dxfId="16482" priority="25430">
      <formula>$H18="non"</formula>
    </cfRule>
  </conditionalFormatting>
  <conditionalFormatting sqref="D18">
    <cfRule type="expression" dxfId="16481" priority="25421">
      <formula>$F18="Formation CCF"</formula>
    </cfRule>
    <cfRule type="expression" dxfId="16480" priority="25422">
      <formula>$F18="Direction"</formula>
    </cfRule>
    <cfRule type="expression" dxfId="16479" priority="25423">
      <formula>$F18="Ventes Sicli"</formula>
    </cfRule>
    <cfRule type="expression" dxfId="16478" priority="25424">
      <formula>$F18="Ventes Chubb"</formula>
    </cfRule>
    <cfRule type="expression" dxfId="16477" priority="25425">
      <formula>$F18="SAV Sicli"</formula>
    </cfRule>
    <cfRule type="expression" dxfId="16476" priority="25426">
      <formula>$F18="SAV Chubb"</formula>
    </cfRule>
    <cfRule type="expression" dxfId="16475" priority="25427">
      <formula>$F18="Réalisation"</formula>
    </cfRule>
    <cfRule type="expression" dxfId="16474" priority="25428">
      <formula>$F18="Désenfumage"</formula>
    </cfRule>
    <cfRule type="expression" dxfId="16473" priority="25429">
      <formula>$F18="Administratif"</formula>
    </cfRule>
  </conditionalFormatting>
  <conditionalFormatting sqref="D18">
    <cfRule type="expression" dxfId="16472" priority="25420">
      <formula>$H18="non"</formula>
    </cfRule>
  </conditionalFormatting>
  <conditionalFormatting sqref="D18">
    <cfRule type="expression" dxfId="16471" priority="25411">
      <formula>$F18="Formation CCF"</formula>
    </cfRule>
    <cfRule type="expression" dxfId="16470" priority="25412">
      <formula>$F18="Direction"</formula>
    </cfRule>
    <cfRule type="expression" dxfId="16469" priority="25413">
      <formula>$F18="Ventes Sicli"</formula>
    </cfRule>
    <cfRule type="expression" dxfId="16468" priority="25414">
      <formula>$F18="Ventes Chubb"</formula>
    </cfRule>
    <cfRule type="expression" dxfId="16467" priority="25415">
      <formula>$F18="SAV Sicli"</formula>
    </cfRule>
    <cfRule type="expression" dxfId="16466" priority="25416">
      <formula>$F18="SAV Chubb"</formula>
    </cfRule>
    <cfRule type="expression" dxfId="16465" priority="25417">
      <formula>$F18="Réalisation"</formula>
    </cfRule>
    <cfRule type="expression" dxfId="16464" priority="25418">
      <formula>$F18="Désenfumage"</formula>
    </cfRule>
    <cfRule type="expression" dxfId="16463" priority="25419">
      <formula>$F18="Administratif"</formula>
    </cfRule>
  </conditionalFormatting>
  <conditionalFormatting sqref="D18">
    <cfRule type="expression" dxfId="16462" priority="25410">
      <formula>$H18="non"</formula>
    </cfRule>
  </conditionalFormatting>
  <conditionalFormatting sqref="D18">
    <cfRule type="expression" dxfId="16461" priority="25401">
      <formula>$F18="Formation CCF"</formula>
    </cfRule>
    <cfRule type="expression" dxfId="16460" priority="25402">
      <formula>$F18="Direction"</formula>
    </cfRule>
    <cfRule type="expression" dxfId="16459" priority="25403">
      <formula>$F18="Ventes Sicli"</formula>
    </cfRule>
    <cfRule type="expression" dxfId="16458" priority="25404">
      <formula>$F18="Ventes Chubb"</formula>
    </cfRule>
    <cfRule type="expression" dxfId="16457" priority="25405">
      <formula>$F18="SAV Sicli"</formula>
    </cfRule>
    <cfRule type="expression" dxfId="16456" priority="25406">
      <formula>$F18="SAV Chubb"</formula>
    </cfRule>
    <cfRule type="expression" dxfId="16455" priority="25407">
      <formula>$F18="Réalisation"</formula>
    </cfRule>
    <cfRule type="expression" dxfId="16454" priority="25408">
      <formula>$F18="Désenfumage"</formula>
    </cfRule>
    <cfRule type="expression" dxfId="16453" priority="25409">
      <formula>$F18="Administratif"</formula>
    </cfRule>
  </conditionalFormatting>
  <conditionalFormatting sqref="D18">
    <cfRule type="expression" dxfId="16452" priority="25400">
      <formula>$H18="non"</formula>
    </cfRule>
  </conditionalFormatting>
  <conditionalFormatting sqref="D18">
    <cfRule type="expression" dxfId="16451" priority="25391">
      <formula>$F18="Formation CCF"</formula>
    </cfRule>
    <cfRule type="expression" dxfId="16450" priority="25392">
      <formula>$F18="Direction"</formula>
    </cfRule>
    <cfRule type="expression" dxfId="16449" priority="25393">
      <formula>$F18="Ventes Sicli"</formula>
    </cfRule>
    <cfRule type="expression" dxfId="16448" priority="25394">
      <formula>$F18="Ventes Chubb"</formula>
    </cfRule>
    <cfRule type="expression" dxfId="16447" priority="25395">
      <formula>$F18="SAV Sicli"</formula>
    </cfRule>
    <cfRule type="expression" dxfId="16446" priority="25396">
      <formula>$F18="SAV Chubb"</formula>
    </cfRule>
    <cfRule type="expression" dxfId="16445" priority="25397">
      <formula>$F18="Réalisation"</formula>
    </cfRule>
    <cfRule type="expression" dxfId="16444" priority="25398">
      <formula>$F18="Désenfumage"</formula>
    </cfRule>
    <cfRule type="expression" dxfId="16443" priority="25399">
      <formula>$F18="Administratif"</formula>
    </cfRule>
  </conditionalFormatting>
  <conditionalFormatting sqref="D18">
    <cfRule type="expression" dxfId="16442" priority="25390">
      <formula>$H18="non"</formula>
    </cfRule>
  </conditionalFormatting>
  <conditionalFormatting sqref="D18">
    <cfRule type="expression" dxfId="16441" priority="25381">
      <formula>$F18="Formation CCF"</formula>
    </cfRule>
    <cfRule type="expression" dxfId="16440" priority="25382">
      <formula>$F18="Direction"</formula>
    </cfRule>
    <cfRule type="expression" dxfId="16439" priority="25383">
      <formula>$F18="Ventes Sicli"</formula>
    </cfRule>
    <cfRule type="expression" dxfId="16438" priority="25384">
      <formula>$F18="Ventes Chubb"</formula>
    </cfRule>
    <cfRule type="expression" dxfId="16437" priority="25385">
      <formula>$F18="SAV Sicli"</formula>
    </cfRule>
    <cfRule type="expression" dxfId="16436" priority="25386">
      <formula>$F18="SAV Chubb"</formula>
    </cfRule>
    <cfRule type="expression" dxfId="16435" priority="25387">
      <formula>$F18="Réalisation"</formula>
    </cfRule>
    <cfRule type="expression" dxfId="16434" priority="25388">
      <formula>$F18="Désenfumage"</formula>
    </cfRule>
    <cfRule type="expression" dxfId="16433" priority="25389">
      <formula>$F18="Administratif"</formula>
    </cfRule>
  </conditionalFormatting>
  <conditionalFormatting sqref="D18">
    <cfRule type="expression" dxfId="16432" priority="25380">
      <formula>$H18="non"</formula>
    </cfRule>
  </conditionalFormatting>
  <conditionalFormatting sqref="C19:D27">
    <cfRule type="expression" dxfId="16431" priority="25271">
      <formula>$F19="Formation CCF"</formula>
    </cfRule>
    <cfRule type="expression" dxfId="16430" priority="25272">
      <formula>$F19="Direction"</formula>
    </cfRule>
    <cfRule type="expression" dxfId="16429" priority="25273">
      <formula>$F19="Ventes Sicli"</formula>
    </cfRule>
    <cfRule type="expression" dxfId="16428" priority="25274">
      <formula>$F19="Ventes Chubb"</formula>
    </cfRule>
    <cfRule type="expression" dxfId="16427" priority="25275">
      <formula>$F19="SAV Sicli"</formula>
    </cfRule>
    <cfRule type="expression" dxfId="16426" priority="25276">
      <formula>$F19="SAV Chubb"</formula>
    </cfRule>
    <cfRule type="expression" dxfId="16425" priority="25277">
      <formula>$F19="Réalisation"</formula>
    </cfRule>
    <cfRule type="expression" dxfId="16424" priority="25278">
      <formula>$F19="Désenfumage"</formula>
    </cfRule>
    <cfRule type="expression" dxfId="16423" priority="25279">
      <formula>$F19="Administratif"</formula>
    </cfRule>
  </conditionalFormatting>
  <conditionalFormatting sqref="C19:D27">
    <cfRule type="expression" dxfId="16422" priority="25270">
      <formula>$H19="non"</formula>
    </cfRule>
  </conditionalFormatting>
  <conditionalFormatting sqref="C28 C30:D32 C33">
    <cfRule type="expression" dxfId="16421" priority="25261">
      <formula>$F28="Formation CCF"</formula>
    </cfRule>
    <cfRule type="expression" dxfId="16420" priority="25262">
      <formula>$F28="Direction"</formula>
    </cfRule>
    <cfRule type="expression" dxfId="16419" priority="25263">
      <formula>$F28="Ventes Sicli"</formula>
    </cfRule>
    <cfRule type="expression" dxfId="16418" priority="25264">
      <formula>$F28="Ventes Chubb"</formula>
    </cfRule>
    <cfRule type="expression" dxfId="16417" priority="25265">
      <formula>$F28="SAV Sicli"</formula>
    </cfRule>
    <cfRule type="expression" dxfId="16416" priority="25266">
      <formula>$F28="SAV Chubb"</formula>
    </cfRule>
    <cfRule type="expression" dxfId="16415" priority="25267">
      <formula>$F28="Réalisation"</formula>
    </cfRule>
    <cfRule type="expression" dxfId="16414" priority="25268">
      <formula>$F28="Désenfumage"</formula>
    </cfRule>
    <cfRule type="expression" dxfId="16413" priority="25269">
      <formula>$F28="Administratif"</formula>
    </cfRule>
  </conditionalFormatting>
  <conditionalFormatting sqref="C28 C30:D32 C33">
    <cfRule type="expression" dxfId="16412" priority="25260">
      <formula>$H28="non"</formula>
    </cfRule>
  </conditionalFormatting>
  <conditionalFormatting sqref="D33">
    <cfRule type="expression" dxfId="16411" priority="25251">
      <formula>$F33="Formation CCF"</formula>
    </cfRule>
    <cfRule type="expression" dxfId="16410" priority="25252">
      <formula>$F33="Direction"</formula>
    </cfRule>
    <cfRule type="expression" dxfId="16409" priority="25253">
      <formula>$F33="Ventes Sicli"</formula>
    </cfRule>
    <cfRule type="expression" dxfId="16408" priority="25254">
      <formula>$F33="Ventes Chubb"</formula>
    </cfRule>
    <cfRule type="expression" dxfId="16407" priority="25255">
      <formula>$F33="SAV Sicli"</formula>
    </cfRule>
    <cfRule type="expression" dxfId="16406" priority="25256">
      <formula>$F33="SAV Chubb"</formula>
    </cfRule>
    <cfRule type="expression" dxfId="16405" priority="25257">
      <formula>$F33="Réalisation"</formula>
    </cfRule>
    <cfRule type="expression" dxfId="16404" priority="25258">
      <formula>$F33="Désenfumage"</formula>
    </cfRule>
    <cfRule type="expression" dxfId="16403" priority="25259">
      <formula>$F33="Administratif"</formula>
    </cfRule>
  </conditionalFormatting>
  <conditionalFormatting sqref="D33">
    <cfRule type="expression" dxfId="16402" priority="25250">
      <formula>$H33="non"</formula>
    </cfRule>
  </conditionalFormatting>
  <conditionalFormatting sqref="D32">
    <cfRule type="expression" dxfId="16401" priority="25241">
      <formula>$F32="Formation CCF"</formula>
    </cfRule>
    <cfRule type="expression" dxfId="16400" priority="25242">
      <formula>$F32="Direction"</formula>
    </cfRule>
    <cfRule type="expression" dxfId="16399" priority="25243">
      <formula>$F32="Ventes Sicli"</formula>
    </cfRule>
    <cfRule type="expression" dxfId="16398" priority="25244">
      <formula>$F32="Ventes Chubb"</formula>
    </cfRule>
    <cfRule type="expression" dxfId="16397" priority="25245">
      <formula>$F32="SAV Sicli"</formula>
    </cfRule>
    <cfRule type="expression" dxfId="16396" priority="25246">
      <formula>$F32="SAV Chubb"</formula>
    </cfRule>
    <cfRule type="expression" dxfId="16395" priority="25247">
      <formula>$F32="Réalisation"</formula>
    </cfRule>
    <cfRule type="expression" dxfId="16394" priority="25248">
      <formula>$F32="Désenfumage"</formula>
    </cfRule>
    <cfRule type="expression" dxfId="16393" priority="25249">
      <formula>$F32="Administratif"</formula>
    </cfRule>
  </conditionalFormatting>
  <conditionalFormatting sqref="D32">
    <cfRule type="expression" dxfId="16392" priority="25240">
      <formula>$H32="non"</formula>
    </cfRule>
  </conditionalFormatting>
  <conditionalFormatting sqref="D31">
    <cfRule type="expression" dxfId="16391" priority="25231">
      <formula>$F31="Formation CCF"</formula>
    </cfRule>
    <cfRule type="expression" dxfId="16390" priority="25232">
      <formula>$F31="Direction"</formula>
    </cfRule>
    <cfRule type="expression" dxfId="16389" priority="25233">
      <formula>$F31="Ventes Sicli"</formula>
    </cfRule>
    <cfRule type="expression" dxfId="16388" priority="25234">
      <formula>$F31="Ventes Chubb"</formula>
    </cfRule>
    <cfRule type="expression" dxfId="16387" priority="25235">
      <formula>$F31="SAV Sicli"</formula>
    </cfRule>
    <cfRule type="expression" dxfId="16386" priority="25236">
      <formula>$F31="SAV Chubb"</formula>
    </cfRule>
    <cfRule type="expression" dxfId="16385" priority="25237">
      <formula>$F31="Réalisation"</formula>
    </cfRule>
    <cfRule type="expression" dxfId="16384" priority="25238">
      <formula>$F31="Désenfumage"</formula>
    </cfRule>
    <cfRule type="expression" dxfId="16383" priority="25239">
      <formula>$F31="Administratif"</formula>
    </cfRule>
  </conditionalFormatting>
  <conditionalFormatting sqref="D31">
    <cfRule type="expression" dxfId="16382" priority="25230">
      <formula>$H31="non"</formula>
    </cfRule>
  </conditionalFormatting>
  <conditionalFormatting sqref="D30">
    <cfRule type="expression" dxfId="16381" priority="25221">
      <formula>$F30="Formation CCF"</formula>
    </cfRule>
    <cfRule type="expression" dxfId="16380" priority="25222">
      <formula>$F30="Direction"</formula>
    </cfRule>
    <cfRule type="expression" dxfId="16379" priority="25223">
      <formula>$F30="Ventes Sicli"</formula>
    </cfRule>
    <cfRule type="expression" dxfId="16378" priority="25224">
      <formula>$F30="Ventes Chubb"</formula>
    </cfRule>
    <cfRule type="expression" dxfId="16377" priority="25225">
      <formula>$F30="SAV Sicli"</formula>
    </cfRule>
    <cfRule type="expression" dxfId="16376" priority="25226">
      <formula>$F30="SAV Chubb"</formula>
    </cfRule>
    <cfRule type="expression" dxfId="16375" priority="25227">
      <formula>$F30="Réalisation"</formula>
    </cfRule>
    <cfRule type="expression" dxfId="16374" priority="25228">
      <formula>$F30="Désenfumage"</formula>
    </cfRule>
    <cfRule type="expression" dxfId="16373" priority="25229">
      <formula>$F30="Administratif"</formula>
    </cfRule>
  </conditionalFormatting>
  <conditionalFormatting sqref="D30">
    <cfRule type="expression" dxfId="16372" priority="25220">
      <formula>$H30="non"</formula>
    </cfRule>
  </conditionalFormatting>
  <conditionalFormatting sqref="C28">
    <cfRule type="expression" dxfId="16371" priority="25211">
      <formula>$F28="Formation CCF"</formula>
    </cfRule>
    <cfRule type="expression" dxfId="16370" priority="25212">
      <formula>$F28="Direction"</formula>
    </cfRule>
    <cfRule type="expression" dxfId="16369" priority="25213">
      <formula>$F28="Ventes Sicli"</formula>
    </cfRule>
    <cfRule type="expression" dxfId="16368" priority="25214">
      <formula>$F28="Ventes Chubb"</formula>
    </cfRule>
    <cfRule type="expression" dxfId="16367" priority="25215">
      <formula>$F28="SAV Sicli"</formula>
    </cfRule>
    <cfRule type="expression" dxfId="16366" priority="25216">
      <formula>$F28="SAV Chubb"</formula>
    </cfRule>
    <cfRule type="expression" dxfId="16365" priority="25217">
      <formula>$F28="Réalisation"</formula>
    </cfRule>
    <cfRule type="expression" dxfId="16364" priority="25218">
      <formula>$F28="Désenfumage"</formula>
    </cfRule>
    <cfRule type="expression" dxfId="16363" priority="25219">
      <formula>$F28="Administratif"</formula>
    </cfRule>
  </conditionalFormatting>
  <conditionalFormatting sqref="C28">
    <cfRule type="expression" dxfId="16362" priority="25210">
      <formula>$H28="non"</formula>
    </cfRule>
  </conditionalFormatting>
  <conditionalFormatting sqref="D28">
    <cfRule type="expression" dxfId="16361" priority="25201">
      <formula>$F28="Formation CCF"</formula>
    </cfRule>
    <cfRule type="expression" dxfId="16360" priority="25202">
      <formula>$F28="Direction"</formula>
    </cfRule>
    <cfRule type="expression" dxfId="16359" priority="25203">
      <formula>$F28="Ventes Sicli"</formula>
    </cfRule>
    <cfRule type="expression" dxfId="16358" priority="25204">
      <formula>$F28="Ventes Chubb"</formula>
    </cfRule>
    <cfRule type="expression" dxfId="16357" priority="25205">
      <formula>$F28="SAV Sicli"</formula>
    </cfRule>
    <cfRule type="expression" dxfId="16356" priority="25206">
      <formula>$F28="SAV Chubb"</formula>
    </cfRule>
    <cfRule type="expression" dxfId="16355" priority="25207">
      <formula>$F28="Réalisation"</formula>
    </cfRule>
    <cfRule type="expression" dxfId="16354" priority="25208">
      <formula>$F28="Désenfumage"</formula>
    </cfRule>
    <cfRule type="expression" dxfId="16353" priority="25209">
      <formula>$F28="Administratif"</formula>
    </cfRule>
  </conditionalFormatting>
  <conditionalFormatting sqref="D28">
    <cfRule type="expression" dxfId="16352" priority="25200">
      <formula>$H28="non"</formula>
    </cfRule>
  </conditionalFormatting>
  <conditionalFormatting sqref="D33">
    <cfRule type="expression" dxfId="16351" priority="25191">
      <formula>$F33="Formation CCF"</formula>
    </cfRule>
    <cfRule type="expression" dxfId="16350" priority="25192">
      <formula>$F33="Direction"</formula>
    </cfRule>
    <cfRule type="expression" dxfId="16349" priority="25193">
      <formula>$F33="Ventes Sicli"</formula>
    </cfRule>
    <cfRule type="expression" dxfId="16348" priority="25194">
      <formula>$F33="Ventes Chubb"</formula>
    </cfRule>
    <cfRule type="expression" dxfId="16347" priority="25195">
      <formula>$F33="SAV Sicli"</formula>
    </cfRule>
    <cfRule type="expression" dxfId="16346" priority="25196">
      <formula>$F33="SAV Chubb"</formula>
    </cfRule>
    <cfRule type="expression" dxfId="16345" priority="25197">
      <formula>$F33="Réalisation"</formula>
    </cfRule>
    <cfRule type="expression" dxfId="16344" priority="25198">
      <formula>$F33="Désenfumage"</formula>
    </cfRule>
    <cfRule type="expression" dxfId="16343" priority="25199">
      <formula>$F33="Administratif"</formula>
    </cfRule>
  </conditionalFormatting>
  <conditionalFormatting sqref="D33">
    <cfRule type="expression" dxfId="16342" priority="25190">
      <formula>$H33="non"</formula>
    </cfRule>
  </conditionalFormatting>
  <conditionalFormatting sqref="D32">
    <cfRule type="expression" dxfId="16341" priority="25181">
      <formula>$F32="Formation CCF"</formula>
    </cfRule>
    <cfRule type="expression" dxfId="16340" priority="25182">
      <formula>$F32="Direction"</formula>
    </cfRule>
    <cfRule type="expression" dxfId="16339" priority="25183">
      <formula>$F32="Ventes Sicli"</formula>
    </cfRule>
    <cfRule type="expression" dxfId="16338" priority="25184">
      <formula>$F32="Ventes Chubb"</formula>
    </cfRule>
    <cfRule type="expression" dxfId="16337" priority="25185">
      <formula>$F32="SAV Sicli"</formula>
    </cfRule>
    <cfRule type="expression" dxfId="16336" priority="25186">
      <formula>$F32="SAV Chubb"</formula>
    </cfRule>
    <cfRule type="expression" dxfId="16335" priority="25187">
      <formula>$F32="Réalisation"</formula>
    </cfRule>
    <cfRule type="expression" dxfId="16334" priority="25188">
      <formula>$F32="Désenfumage"</formula>
    </cfRule>
    <cfRule type="expression" dxfId="16333" priority="25189">
      <formula>$F32="Administratif"</formula>
    </cfRule>
  </conditionalFormatting>
  <conditionalFormatting sqref="D32">
    <cfRule type="expression" dxfId="16332" priority="25180">
      <formula>$H32="non"</formula>
    </cfRule>
  </conditionalFormatting>
  <conditionalFormatting sqref="D31">
    <cfRule type="expression" dxfId="16331" priority="25171">
      <formula>$F31="Formation CCF"</formula>
    </cfRule>
    <cfRule type="expression" dxfId="16330" priority="25172">
      <formula>$F31="Direction"</formula>
    </cfRule>
    <cfRule type="expression" dxfId="16329" priority="25173">
      <formula>$F31="Ventes Sicli"</formula>
    </cfRule>
    <cfRule type="expression" dxfId="16328" priority="25174">
      <formula>$F31="Ventes Chubb"</formula>
    </cfRule>
    <cfRule type="expression" dxfId="16327" priority="25175">
      <formula>$F31="SAV Sicli"</formula>
    </cfRule>
    <cfRule type="expression" dxfId="16326" priority="25176">
      <formula>$F31="SAV Chubb"</formula>
    </cfRule>
    <cfRule type="expression" dxfId="16325" priority="25177">
      <formula>$F31="Réalisation"</formula>
    </cfRule>
    <cfRule type="expression" dxfId="16324" priority="25178">
      <formula>$F31="Désenfumage"</formula>
    </cfRule>
    <cfRule type="expression" dxfId="16323" priority="25179">
      <formula>$F31="Administratif"</formula>
    </cfRule>
  </conditionalFormatting>
  <conditionalFormatting sqref="D31">
    <cfRule type="expression" dxfId="16322" priority="25170">
      <formula>$H31="non"</formula>
    </cfRule>
  </conditionalFormatting>
  <conditionalFormatting sqref="D33">
    <cfRule type="expression" dxfId="16321" priority="25161">
      <formula>$F33="Formation CCF"</formula>
    </cfRule>
    <cfRule type="expression" dxfId="16320" priority="25162">
      <formula>$F33="Direction"</formula>
    </cfRule>
    <cfRule type="expression" dxfId="16319" priority="25163">
      <formula>$F33="Ventes Sicli"</formula>
    </cfRule>
    <cfRule type="expression" dxfId="16318" priority="25164">
      <formula>$F33="Ventes Chubb"</formula>
    </cfRule>
    <cfRule type="expression" dxfId="16317" priority="25165">
      <formula>$F33="SAV Sicli"</formula>
    </cfRule>
    <cfRule type="expression" dxfId="16316" priority="25166">
      <formula>$F33="SAV Chubb"</formula>
    </cfRule>
    <cfRule type="expression" dxfId="16315" priority="25167">
      <formula>$F33="Réalisation"</formula>
    </cfRule>
    <cfRule type="expression" dxfId="16314" priority="25168">
      <formula>$F33="Désenfumage"</formula>
    </cfRule>
    <cfRule type="expression" dxfId="16313" priority="25169">
      <formula>$F33="Administratif"</formula>
    </cfRule>
  </conditionalFormatting>
  <conditionalFormatting sqref="D33">
    <cfRule type="expression" dxfId="16312" priority="25160">
      <formula>$H33="non"</formula>
    </cfRule>
  </conditionalFormatting>
  <conditionalFormatting sqref="D32">
    <cfRule type="expression" dxfId="16311" priority="25151">
      <formula>$F32="Formation CCF"</formula>
    </cfRule>
    <cfRule type="expression" dxfId="16310" priority="25152">
      <formula>$F32="Direction"</formula>
    </cfRule>
    <cfRule type="expression" dxfId="16309" priority="25153">
      <formula>$F32="Ventes Sicli"</formula>
    </cfRule>
    <cfRule type="expression" dxfId="16308" priority="25154">
      <formula>$F32="Ventes Chubb"</formula>
    </cfRule>
    <cfRule type="expression" dxfId="16307" priority="25155">
      <formula>$F32="SAV Sicli"</formula>
    </cfRule>
    <cfRule type="expression" dxfId="16306" priority="25156">
      <formula>$F32="SAV Chubb"</formula>
    </cfRule>
    <cfRule type="expression" dxfId="16305" priority="25157">
      <formula>$F32="Réalisation"</formula>
    </cfRule>
    <cfRule type="expression" dxfId="16304" priority="25158">
      <formula>$F32="Désenfumage"</formula>
    </cfRule>
    <cfRule type="expression" dxfId="16303" priority="25159">
      <formula>$F32="Administratif"</formula>
    </cfRule>
  </conditionalFormatting>
  <conditionalFormatting sqref="D32">
    <cfRule type="expression" dxfId="16302" priority="25150">
      <formula>$H32="non"</formula>
    </cfRule>
  </conditionalFormatting>
  <conditionalFormatting sqref="D31">
    <cfRule type="expression" dxfId="16301" priority="25141">
      <formula>$F31="Formation CCF"</formula>
    </cfRule>
    <cfRule type="expression" dxfId="16300" priority="25142">
      <formula>$F31="Direction"</formula>
    </cfRule>
    <cfRule type="expression" dxfId="16299" priority="25143">
      <formula>$F31="Ventes Sicli"</formula>
    </cfRule>
    <cfRule type="expression" dxfId="16298" priority="25144">
      <formula>$F31="Ventes Chubb"</formula>
    </cfRule>
    <cfRule type="expression" dxfId="16297" priority="25145">
      <formula>$F31="SAV Sicli"</formula>
    </cfRule>
    <cfRule type="expression" dxfId="16296" priority="25146">
      <formula>$F31="SAV Chubb"</formula>
    </cfRule>
    <cfRule type="expression" dxfId="16295" priority="25147">
      <formula>$F31="Réalisation"</formula>
    </cfRule>
    <cfRule type="expression" dxfId="16294" priority="25148">
      <formula>$F31="Désenfumage"</formula>
    </cfRule>
    <cfRule type="expression" dxfId="16293" priority="25149">
      <formula>$F31="Administratif"</formula>
    </cfRule>
  </conditionalFormatting>
  <conditionalFormatting sqref="D31">
    <cfRule type="expression" dxfId="16292" priority="25140">
      <formula>$H31="non"</formula>
    </cfRule>
  </conditionalFormatting>
  <conditionalFormatting sqref="D30">
    <cfRule type="expression" dxfId="16291" priority="25131">
      <formula>$F30="Formation CCF"</formula>
    </cfRule>
    <cfRule type="expression" dxfId="16290" priority="25132">
      <formula>$F30="Direction"</formula>
    </cfRule>
    <cfRule type="expression" dxfId="16289" priority="25133">
      <formula>$F30="Ventes Sicli"</formula>
    </cfRule>
    <cfRule type="expression" dxfId="16288" priority="25134">
      <formula>$F30="Ventes Chubb"</formula>
    </cfRule>
    <cfRule type="expression" dxfId="16287" priority="25135">
      <formula>$F30="SAV Sicli"</formula>
    </cfRule>
    <cfRule type="expression" dxfId="16286" priority="25136">
      <formula>$F30="SAV Chubb"</formula>
    </cfRule>
    <cfRule type="expression" dxfId="16285" priority="25137">
      <formula>$F30="Réalisation"</formula>
    </cfRule>
    <cfRule type="expression" dxfId="16284" priority="25138">
      <formula>$F30="Désenfumage"</formula>
    </cfRule>
    <cfRule type="expression" dxfId="16283" priority="25139">
      <formula>$F30="Administratif"</formula>
    </cfRule>
  </conditionalFormatting>
  <conditionalFormatting sqref="D30">
    <cfRule type="expression" dxfId="16282" priority="25130">
      <formula>$H30="non"</formula>
    </cfRule>
  </conditionalFormatting>
  <conditionalFormatting sqref="D28">
    <cfRule type="expression" dxfId="16281" priority="25121">
      <formula>$F28="Formation CCF"</formula>
    </cfRule>
    <cfRule type="expression" dxfId="16280" priority="25122">
      <formula>$F28="Direction"</formula>
    </cfRule>
    <cfRule type="expression" dxfId="16279" priority="25123">
      <formula>$F28="Ventes Sicli"</formula>
    </cfRule>
    <cfRule type="expression" dxfId="16278" priority="25124">
      <formula>$F28="Ventes Chubb"</formula>
    </cfRule>
    <cfRule type="expression" dxfId="16277" priority="25125">
      <formula>$F28="SAV Sicli"</formula>
    </cfRule>
    <cfRule type="expression" dxfId="16276" priority="25126">
      <formula>$F28="SAV Chubb"</formula>
    </cfRule>
    <cfRule type="expression" dxfId="16275" priority="25127">
      <formula>$F28="Réalisation"</formula>
    </cfRule>
    <cfRule type="expression" dxfId="16274" priority="25128">
      <formula>$F28="Désenfumage"</formula>
    </cfRule>
    <cfRule type="expression" dxfId="16273" priority="25129">
      <formula>$F28="Administratif"</formula>
    </cfRule>
  </conditionalFormatting>
  <conditionalFormatting sqref="D28">
    <cfRule type="expression" dxfId="16272" priority="25120">
      <formula>$H28="non"</formula>
    </cfRule>
  </conditionalFormatting>
  <conditionalFormatting sqref="D33">
    <cfRule type="expression" dxfId="16271" priority="25111">
      <formula>$F33="Formation CCF"</formula>
    </cfRule>
    <cfRule type="expression" dxfId="16270" priority="25112">
      <formula>$F33="Direction"</formula>
    </cfRule>
    <cfRule type="expression" dxfId="16269" priority="25113">
      <formula>$F33="Ventes Sicli"</formula>
    </cfRule>
    <cfRule type="expression" dxfId="16268" priority="25114">
      <formula>$F33="Ventes Chubb"</formula>
    </cfRule>
    <cfRule type="expression" dxfId="16267" priority="25115">
      <formula>$F33="SAV Sicli"</formula>
    </cfRule>
    <cfRule type="expression" dxfId="16266" priority="25116">
      <formula>$F33="SAV Chubb"</formula>
    </cfRule>
    <cfRule type="expression" dxfId="16265" priority="25117">
      <formula>$F33="Réalisation"</formula>
    </cfRule>
    <cfRule type="expression" dxfId="16264" priority="25118">
      <formula>$F33="Désenfumage"</formula>
    </cfRule>
    <cfRule type="expression" dxfId="16263" priority="25119">
      <formula>$F33="Administratif"</formula>
    </cfRule>
  </conditionalFormatting>
  <conditionalFormatting sqref="D33">
    <cfRule type="expression" dxfId="16262" priority="25110">
      <formula>$H33="non"</formula>
    </cfRule>
  </conditionalFormatting>
  <conditionalFormatting sqref="D32">
    <cfRule type="expression" dxfId="16261" priority="25101">
      <formula>$F32="Formation CCF"</formula>
    </cfRule>
    <cfRule type="expression" dxfId="16260" priority="25102">
      <formula>$F32="Direction"</formula>
    </cfRule>
    <cfRule type="expression" dxfId="16259" priority="25103">
      <formula>$F32="Ventes Sicli"</formula>
    </cfRule>
    <cfRule type="expression" dxfId="16258" priority="25104">
      <formula>$F32="Ventes Chubb"</formula>
    </cfRule>
    <cfRule type="expression" dxfId="16257" priority="25105">
      <formula>$F32="SAV Sicli"</formula>
    </cfRule>
    <cfRule type="expression" dxfId="16256" priority="25106">
      <formula>$F32="SAV Chubb"</formula>
    </cfRule>
    <cfRule type="expression" dxfId="16255" priority="25107">
      <formula>$F32="Réalisation"</formula>
    </cfRule>
    <cfRule type="expression" dxfId="16254" priority="25108">
      <formula>$F32="Désenfumage"</formula>
    </cfRule>
    <cfRule type="expression" dxfId="16253" priority="25109">
      <formula>$F32="Administratif"</formula>
    </cfRule>
  </conditionalFormatting>
  <conditionalFormatting sqref="D32">
    <cfRule type="expression" dxfId="16252" priority="25100">
      <formula>$H32="non"</formula>
    </cfRule>
  </conditionalFormatting>
  <conditionalFormatting sqref="D31">
    <cfRule type="expression" dxfId="16251" priority="25091">
      <formula>$F31="Formation CCF"</formula>
    </cfRule>
    <cfRule type="expression" dxfId="16250" priority="25092">
      <formula>$F31="Direction"</formula>
    </cfRule>
    <cfRule type="expression" dxfId="16249" priority="25093">
      <formula>$F31="Ventes Sicli"</formula>
    </cfRule>
    <cfRule type="expression" dxfId="16248" priority="25094">
      <formula>$F31="Ventes Chubb"</formula>
    </cfRule>
    <cfRule type="expression" dxfId="16247" priority="25095">
      <formula>$F31="SAV Sicli"</formula>
    </cfRule>
    <cfRule type="expression" dxfId="16246" priority="25096">
      <formula>$F31="SAV Chubb"</formula>
    </cfRule>
    <cfRule type="expression" dxfId="16245" priority="25097">
      <formula>$F31="Réalisation"</formula>
    </cfRule>
    <cfRule type="expression" dxfId="16244" priority="25098">
      <formula>$F31="Désenfumage"</formula>
    </cfRule>
    <cfRule type="expression" dxfId="16243" priority="25099">
      <formula>$F31="Administratif"</formula>
    </cfRule>
  </conditionalFormatting>
  <conditionalFormatting sqref="D31">
    <cfRule type="expression" dxfId="16242" priority="25090">
      <formula>$H31="non"</formula>
    </cfRule>
  </conditionalFormatting>
  <conditionalFormatting sqref="D30">
    <cfRule type="expression" dxfId="16241" priority="25081">
      <formula>$F30="Formation CCF"</formula>
    </cfRule>
    <cfRule type="expression" dxfId="16240" priority="25082">
      <formula>$F30="Direction"</formula>
    </cfRule>
    <cfRule type="expression" dxfId="16239" priority="25083">
      <formula>$F30="Ventes Sicli"</formula>
    </cfRule>
    <cfRule type="expression" dxfId="16238" priority="25084">
      <formula>$F30="Ventes Chubb"</formula>
    </cfRule>
    <cfRule type="expression" dxfId="16237" priority="25085">
      <formula>$F30="SAV Sicli"</formula>
    </cfRule>
    <cfRule type="expression" dxfId="16236" priority="25086">
      <formula>$F30="SAV Chubb"</formula>
    </cfRule>
    <cfRule type="expression" dxfId="16235" priority="25087">
      <formula>$F30="Réalisation"</formula>
    </cfRule>
    <cfRule type="expression" dxfId="16234" priority="25088">
      <formula>$F30="Désenfumage"</formula>
    </cfRule>
    <cfRule type="expression" dxfId="16233" priority="25089">
      <formula>$F30="Administratif"</formula>
    </cfRule>
  </conditionalFormatting>
  <conditionalFormatting sqref="D30">
    <cfRule type="expression" dxfId="16232" priority="25080">
      <formula>$H30="non"</formula>
    </cfRule>
  </conditionalFormatting>
  <conditionalFormatting sqref="D33">
    <cfRule type="expression" dxfId="16231" priority="25071">
      <formula>$F33="Formation CCF"</formula>
    </cfRule>
    <cfRule type="expression" dxfId="16230" priority="25072">
      <formula>$F33="Direction"</formula>
    </cfRule>
    <cfRule type="expression" dxfId="16229" priority="25073">
      <formula>$F33="Ventes Sicli"</formula>
    </cfRule>
    <cfRule type="expression" dxfId="16228" priority="25074">
      <formula>$F33="Ventes Chubb"</formula>
    </cfRule>
    <cfRule type="expression" dxfId="16227" priority="25075">
      <formula>$F33="SAV Sicli"</formula>
    </cfRule>
    <cfRule type="expression" dxfId="16226" priority="25076">
      <formula>$F33="SAV Chubb"</formula>
    </cfRule>
    <cfRule type="expression" dxfId="16225" priority="25077">
      <formula>$F33="Réalisation"</formula>
    </cfRule>
    <cfRule type="expression" dxfId="16224" priority="25078">
      <formula>$F33="Désenfumage"</formula>
    </cfRule>
    <cfRule type="expression" dxfId="16223" priority="25079">
      <formula>$F33="Administratif"</formula>
    </cfRule>
  </conditionalFormatting>
  <conditionalFormatting sqref="D33">
    <cfRule type="expression" dxfId="16222" priority="25070">
      <formula>$H33="non"</formula>
    </cfRule>
  </conditionalFormatting>
  <conditionalFormatting sqref="D30">
    <cfRule type="expression" dxfId="16221" priority="25061">
      <formula>$F30="Formation CCF"</formula>
    </cfRule>
    <cfRule type="expression" dxfId="16220" priority="25062">
      <formula>$F30="Direction"</formula>
    </cfRule>
    <cfRule type="expression" dxfId="16219" priority="25063">
      <formula>$F30="Ventes Sicli"</formula>
    </cfRule>
    <cfRule type="expression" dxfId="16218" priority="25064">
      <formula>$F30="Ventes Chubb"</formula>
    </cfRule>
    <cfRule type="expression" dxfId="16217" priority="25065">
      <formula>$F30="SAV Sicli"</formula>
    </cfRule>
    <cfRule type="expression" dxfId="16216" priority="25066">
      <formula>$F30="SAV Chubb"</formula>
    </cfRule>
    <cfRule type="expression" dxfId="16215" priority="25067">
      <formula>$F30="Réalisation"</formula>
    </cfRule>
    <cfRule type="expression" dxfId="16214" priority="25068">
      <formula>$F30="Désenfumage"</formula>
    </cfRule>
    <cfRule type="expression" dxfId="16213" priority="25069">
      <formula>$F30="Administratif"</formula>
    </cfRule>
  </conditionalFormatting>
  <conditionalFormatting sqref="D30">
    <cfRule type="expression" dxfId="16212" priority="25060">
      <formula>$H30="non"</formula>
    </cfRule>
  </conditionalFormatting>
  <conditionalFormatting sqref="D30">
    <cfRule type="expression" dxfId="16211" priority="25051">
      <formula>$F30="Formation CCF"</formula>
    </cfRule>
    <cfRule type="expression" dxfId="16210" priority="25052">
      <formula>$F30="Direction"</formula>
    </cfRule>
    <cfRule type="expression" dxfId="16209" priority="25053">
      <formula>$F30="Ventes Sicli"</formula>
    </cfRule>
    <cfRule type="expression" dxfId="16208" priority="25054">
      <formula>$F30="Ventes Chubb"</formula>
    </cfRule>
    <cfRule type="expression" dxfId="16207" priority="25055">
      <formula>$F30="SAV Sicli"</formula>
    </cfRule>
    <cfRule type="expression" dxfId="16206" priority="25056">
      <formula>$F30="SAV Chubb"</formula>
    </cfRule>
    <cfRule type="expression" dxfId="16205" priority="25057">
      <formula>$F30="Réalisation"</formula>
    </cfRule>
    <cfRule type="expression" dxfId="16204" priority="25058">
      <formula>$F30="Désenfumage"</formula>
    </cfRule>
    <cfRule type="expression" dxfId="16203" priority="25059">
      <formula>$F30="Administratif"</formula>
    </cfRule>
  </conditionalFormatting>
  <conditionalFormatting sqref="D30">
    <cfRule type="expression" dxfId="16202" priority="25050">
      <formula>$H30="non"</formula>
    </cfRule>
  </conditionalFormatting>
  <conditionalFormatting sqref="C28:D28">
    <cfRule type="expression" dxfId="16201" priority="25041">
      <formula>$F28="Formation CCF"</formula>
    </cfRule>
    <cfRule type="expression" dxfId="16200" priority="25042">
      <formula>$F28="Direction"</formula>
    </cfRule>
    <cfRule type="expression" dxfId="16199" priority="25043">
      <formula>$F28="Ventes Sicli"</formula>
    </cfRule>
    <cfRule type="expression" dxfId="16198" priority="25044">
      <formula>$F28="Ventes Chubb"</formula>
    </cfRule>
    <cfRule type="expression" dxfId="16197" priority="25045">
      <formula>$F28="SAV Sicli"</formula>
    </cfRule>
    <cfRule type="expression" dxfId="16196" priority="25046">
      <formula>$F28="SAV Chubb"</formula>
    </cfRule>
    <cfRule type="expression" dxfId="16195" priority="25047">
      <formula>$F28="Réalisation"</formula>
    </cfRule>
    <cfRule type="expression" dxfId="16194" priority="25048">
      <formula>$F28="Désenfumage"</formula>
    </cfRule>
    <cfRule type="expression" dxfId="16193" priority="25049">
      <formula>$F28="Administratif"</formula>
    </cfRule>
  </conditionalFormatting>
  <conditionalFormatting sqref="C28:D28">
    <cfRule type="expression" dxfId="16192" priority="25040">
      <formula>$H28="non"</formula>
    </cfRule>
  </conditionalFormatting>
  <conditionalFormatting sqref="C33:D33">
    <cfRule type="expression" dxfId="16191" priority="25031">
      <formula>$F33="Formation CCF"</formula>
    </cfRule>
    <cfRule type="expression" dxfId="16190" priority="25032">
      <formula>$F33="Direction"</formula>
    </cfRule>
    <cfRule type="expression" dxfId="16189" priority="25033">
      <formula>$F33="Ventes Sicli"</formula>
    </cfRule>
    <cfRule type="expression" dxfId="16188" priority="25034">
      <formula>$F33="Ventes Chubb"</formula>
    </cfRule>
    <cfRule type="expression" dxfId="16187" priority="25035">
      <formula>$F33="SAV Sicli"</formula>
    </cfRule>
    <cfRule type="expression" dxfId="16186" priority="25036">
      <formula>$F33="SAV Chubb"</formula>
    </cfRule>
    <cfRule type="expression" dxfId="16185" priority="25037">
      <formula>$F33="Réalisation"</formula>
    </cfRule>
    <cfRule type="expression" dxfId="16184" priority="25038">
      <formula>$F33="Désenfumage"</formula>
    </cfRule>
    <cfRule type="expression" dxfId="16183" priority="25039">
      <formula>$F33="Administratif"</formula>
    </cfRule>
  </conditionalFormatting>
  <conditionalFormatting sqref="C33:D33">
    <cfRule type="expression" dxfId="16182" priority="25030">
      <formula>$H33="non"</formula>
    </cfRule>
  </conditionalFormatting>
  <conditionalFormatting sqref="C32:D32">
    <cfRule type="expression" dxfId="16181" priority="25021">
      <formula>$F32="Formation CCF"</formula>
    </cfRule>
    <cfRule type="expression" dxfId="16180" priority="25022">
      <formula>$F32="Direction"</formula>
    </cfRule>
    <cfRule type="expression" dxfId="16179" priority="25023">
      <formula>$F32="Ventes Sicli"</formula>
    </cfRule>
    <cfRule type="expression" dxfId="16178" priority="25024">
      <formula>$F32="Ventes Chubb"</formula>
    </cfRule>
    <cfRule type="expression" dxfId="16177" priority="25025">
      <formula>$F32="SAV Sicli"</formula>
    </cfRule>
    <cfRule type="expression" dxfId="16176" priority="25026">
      <formula>$F32="SAV Chubb"</formula>
    </cfRule>
    <cfRule type="expression" dxfId="16175" priority="25027">
      <formula>$F32="Réalisation"</formula>
    </cfRule>
    <cfRule type="expression" dxfId="16174" priority="25028">
      <formula>$F32="Désenfumage"</formula>
    </cfRule>
    <cfRule type="expression" dxfId="16173" priority="25029">
      <formula>$F32="Administratif"</formula>
    </cfRule>
  </conditionalFormatting>
  <conditionalFormatting sqref="C32:D32">
    <cfRule type="expression" dxfId="16172" priority="25020">
      <formula>$H32="non"</formula>
    </cfRule>
  </conditionalFormatting>
  <conditionalFormatting sqref="D30">
    <cfRule type="expression" dxfId="16171" priority="25011">
      <formula>$F30="Formation CCF"</formula>
    </cfRule>
    <cfRule type="expression" dxfId="16170" priority="25012">
      <formula>$F30="Direction"</formula>
    </cfRule>
    <cfRule type="expression" dxfId="16169" priority="25013">
      <formula>$F30="Ventes Sicli"</formula>
    </cfRule>
    <cfRule type="expression" dxfId="16168" priority="25014">
      <formula>$F30="Ventes Chubb"</formula>
    </cfRule>
    <cfRule type="expression" dxfId="16167" priority="25015">
      <formula>$F30="SAV Sicli"</formula>
    </cfRule>
    <cfRule type="expression" dxfId="16166" priority="25016">
      <formula>$F30="SAV Chubb"</formula>
    </cfRule>
    <cfRule type="expression" dxfId="16165" priority="25017">
      <formula>$F30="Réalisation"</formula>
    </cfRule>
    <cfRule type="expression" dxfId="16164" priority="25018">
      <formula>$F30="Désenfumage"</formula>
    </cfRule>
    <cfRule type="expression" dxfId="16163" priority="25019">
      <formula>$F30="Administratif"</formula>
    </cfRule>
  </conditionalFormatting>
  <conditionalFormatting sqref="D30">
    <cfRule type="expression" dxfId="16162" priority="25010">
      <formula>$H30="non"</formula>
    </cfRule>
  </conditionalFormatting>
  <conditionalFormatting sqref="C33:D33">
    <cfRule type="expression" dxfId="16161" priority="25001">
      <formula>$F33="Formation CCF"</formula>
    </cfRule>
    <cfRule type="expression" dxfId="16160" priority="25002">
      <formula>$F33="Direction"</formula>
    </cfRule>
    <cfRule type="expression" dxfId="16159" priority="25003">
      <formula>$F33="Ventes Sicli"</formula>
    </cfRule>
    <cfRule type="expression" dxfId="16158" priority="25004">
      <formula>$F33="Ventes Chubb"</formula>
    </cfRule>
    <cfRule type="expression" dxfId="16157" priority="25005">
      <formula>$F33="SAV Sicli"</formula>
    </cfRule>
    <cfRule type="expression" dxfId="16156" priority="25006">
      <formula>$F33="SAV Chubb"</formula>
    </cfRule>
    <cfRule type="expression" dxfId="16155" priority="25007">
      <formula>$F33="Réalisation"</formula>
    </cfRule>
    <cfRule type="expression" dxfId="16154" priority="25008">
      <formula>$F33="Désenfumage"</formula>
    </cfRule>
    <cfRule type="expression" dxfId="16153" priority="25009">
      <formula>$F33="Administratif"</formula>
    </cfRule>
  </conditionalFormatting>
  <conditionalFormatting sqref="C33:D33">
    <cfRule type="expression" dxfId="16152" priority="25000">
      <formula>$H33="non"</formula>
    </cfRule>
  </conditionalFormatting>
  <conditionalFormatting sqref="C32:D32">
    <cfRule type="expression" dxfId="16151" priority="24991">
      <formula>$F32="Formation CCF"</formula>
    </cfRule>
    <cfRule type="expression" dxfId="16150" priority="24992">
      <formula>$F32="Direction"</formula>
    </cfRule>
    <cfRule type="expression" dxfId="16149" priority="24993">
      <formula>$F32="Ventes Sicli"</formula>
    </cfRule>
    <cfRule type="expression" dxfId="16148" priority="24994">
      <formula>$F32="Ventes Chubb"</formula>
    </cfRule>
    <cfRule type="expression" dxfId="16147" priority="24995">
      <formula>$F32="SAV Sicli"</formula>
    </cfRule>
    <cfRule type="expression" dxfId="16146" priority="24996">
      <formula>$F32="SAV Chubb"</formula>
    </cfRule>
    <cfRule type="expression" dxfId="16145" priority="24997">
      <formula>$F32="Réalisation"</formula>
    </cfRule>
    <cfRule type="expression" dxfId="16144" priority="24998">
      <formula>$F32="Désenfumage"</formula>
    </cfRule>
    <cfRule type="expression" dxfId="16143" priority="24999">
      <formula>$F32="Administratif"</formula>
    </cfRule>
  </conditionalFormatting>
  <conditionalFormatting sqref="C32:D32">
    <cfRule type="expression" dxfId="16142" priority="24990">
      <formula>$H32="non"</formula>
    </cfRule>
  </conditionalFormatting>
  <conditionalFormatting sqref="C31:D31">
    <cfRule type="expression" dxfId="16141" priority="24981">
      <formula>$F31="Formation CCF"</formula>
    </cfRule>
    <cfRule type="expression" dxfId="16140" priority="24982">
      <formula>$F31="Direction"</formula>
    </cfRule>
    <cfRule type="expression" dxfId="16139" priority="24983">
      <formula>$F31="Ventes Sicli"</formula>
    </cfRule>
    <cfRule type="expression" dxfId="16138" priority="24984">
      <formula>$F31="Ventes Chubb"</formula>
    </cfRule>
    <cfRule type="expression" dxfId="16137" priority="24985">
      <formula>$F31="SAV Sicli"</formula>
    </cfRule>
    <cfRule type="expression" dxfId="16136" priority="24986">
      <formula>$F31="SAV Chubb"</formula>
    </cfRule>
    <cfRule type="expression" dxfId="16135" priority="24987">
      <formula>$F31="Réalisation"</formula>
    </cfRule>
    <cfRule type="expression" dxfId="16134" priority="24988">
      <formula>$F31="Désenfumage"</formula>
    </cfRule>
    <cfRule type="expression" dxfId="16133" priority="24989">
      <formula>$F31="Administratif"</formula>
    </cfRule>
  </conditionalFormatting>
  <conditionalFormatting sqref="C31:D31">
    <cfRule type="expression" dxfId="16132" priority="24980">
      <formula>$H31="non"</formula>
    </cfRule>
  </conditionalFormatting>
  <conditionalFormatting sqref="C33:D33">
    <cfRule type="expression" dxfId="16131" priority="24971">
      <formula>$F33="Formation CCF"</formula>
    </cfRule>
    <cfRule type="expression" dxfId="16130" priority="24972">
      <formula>$F33="Direction"</formula>
    </cfRule>
    <cfRule type="expression" dxfId="16129" priority="24973">
      <formula>$F33="Ventes Sicli"</formula>
    </cfRule>
    <cfRule type="expression" dxfId="16128" priority="24974">
      <formula>$F33="Ventes Chubb"</formula>
    </cfRule>
    <cfRule type="expression" dxfId="16127" priority="24975">
      <formula>$F33="SAV Sicli"</formula>
    </cfRule>
    <cfRule type="expression" dxfId="16126" priority="24976">
      <formula>$F33="SAV Chubb"</formula>
    </cfRule>
    <cfRule type="expression" dxfId="16125" priority="24977">
      <formula>$F33="Réalisation"</formula>
    </cfRule>
    <cfRule type="expression" dxfId="16124" priority="24978">
      <formula>$F33="Désenfumage"</formula>
    </cfRule>
    <cfRule type="expression" dxfId="16123" priority="24979">
      <formula>$F33="Administratif"</formula>
    </cfRule>
  </conditionalFormatting>
  <conditionalFormatting sqref="C33:D33">
    <cfRule type="expression" dxfId="16122" priority="24970">
      <formula>$H33="non"</formula>
    </cfRule>
  </conditionalFormatting>
  <conditionalFormatting sqref="C32:D32">
    <cfRule type="expression" dxfId="16121" priority="24961">
      <formula>$F32="Formation CCF"</formula>
    </cfRule>
    <cfRule type="expression" dxfId="16120" priority="24962">
      <formula>$F32="Direction"</formula>
    </cfRule>
    <cfRule type="expression" dxfId="16119" priority="24963">
      <formula>$F32="Ventes Sicli"</formula>
    </cfRule>
    <cfRule type="expression" dxfId="16118" priority="24964">
      <formula>$F32="Ventes Chubb"</formula>
    </cfRule>
    <cfRule type="expression" dxfId="16117" priority="24965">
      <formula>$F32="SAV Sicli"</formula>
    </cfRule>
    <cfRule type="expression" dxfId="16116" priority="24966">
      <formula>$F32="SAV Chubb"</formula>
    </cfRule>
    <cfRule type="expression" dxfId="16115" priority="24967">
      <formula>$F32="Réalisation"</formula>
    </cfRule>
    <cfRule type="expression" dxfId="16114" priority="24968">
      <formula>$F32="Désenfumage"</formula>
    </cfRule>
    <cfRule type="expression" dxfId="16113" priority="24969">
      <formula>$F32="Administratif"</formula>
    </cfRule>
  </conditionalFormatting>
  <conditionalFormatting sqref="C32:D32">
    <cfRule type="expression" dxfId="16112" priority="24960">
      <formula>$H32="non"</formula>
    </cfRule>
  </conditionalFormatting>
  <conditionalFormatting sqref="C31:D31">
    <cfRule type="expression" dxfId="16111" priority="24951">
      <formula>$F31="Formation CCF"</formula>
    </cfRule>
    <cfRule type="expression" dxfId="16110" priority="24952">
      <formula>$F31="Direction"</formula>
    </cfRule>
    <cfRule type="expression" dxfId="16109" priority="24953">
      <formula>$F31="Ventes Sicli"</formula>
    </cfRule>
    <cfRule type="expression" dxfId="16108" priority="24954">
      <formula>$F31="Ventes Chubb"</formula>
    </cfRule>
    <cfRule type="expression" dxfId="16107" priority="24955">
      <formula>$F31="SAV Sicli"</formula>
    </cfRule>
    <cfRule type="expression" dxfId="16106" priority="24956">
      <formula>$F31="SAV Chubb"</formula>
    </cfRule>
    <cfRule type="expression" dxfId="16105" priority="24957">
      <formula>$F31="Réalisation"</formula>
    </cfRule>
    <cfRule type="expression" dxfId="16104" priority="24958">
      <formula>$F31="Désenfumage"</formula>
    </cfRule>
    <cfRule type="expression" dxfId="16103" priority="24959">
      <formula>$F31="Administratif"</formula>
    </cfRule>
  </conditionalFormatting>
  <conditionalFormatting sqref="C31:D31">
    <cfRule type="expression" dxfId="16102" priority="24950">
      <formula>$H31="non"</formula>
    </cfRule>
  </conditionalFormatting>
  <conditionalFormatting sqref="C33:D33">
    <cfRule type="expression" dxfId="16101" priority="24941">
      <formula>$F33="Formation CCF"</formula>
    </cfRule>
    <cfRule type="expression" dxfId="16100" priority="24942">
      <formula>$F33="Direction"</formula>
    </cfRule>
    <cfRule type="expression" dxfId="16099" priority="24943">
      <formula>$F33="Ventes Sicli"</formula>
    </cfRule>
    <cfRule type="expression" dxfId="16098" priority="24944">
      <formula>$F33="Ventes Chubb"</formula>
    </cfRule>
    <cfRule type="expression" dxfId="16097" priority="24945">
      <formula>$F33="SAV Sicli"</formula>
    </cfRule>
    <cfRule type="expression" dxfId="16096" priority="24946">
      <formula>$F33="SAV Chubb"</formula>
    </cfRule>
    <cfRule type="expression" dxfId="16095" priority="24947">
      <formula>$F33="Réalisation"</formula>
    </cfRule>
    <cfRule type="expression" dxfId="16094" priority="24948">
      <formula>$F33="Désenfumage"</formula>
    </cfRule>
    <cfRule type="expression" dxfId="16093" priority="24949">
      <formula>$F33="Administratif"</formula>
    </cfRule>
  </conditionalFormatting>
  <conditionalFormatting sqref="C33:D33">
    <cfRule type="expression" dxfId="16092" priority="24940">
      <formula>$H33="non"</formula>
    </cfRule>
  </conditionalFormatting>
  <conditionalFormatting sqref="C32:D32">
    <cfRule type="expression" dxfId="16091" priority="24931">
      <formula>$F32="Formation CCF"</formula>
    </cfRule>
    <cfRule type="expression" dxfId="16090" priority="24932">
      <formula>$F32="Direction"</formula>
    </cfRule>
    <cfRule type="expression" dxfId="16089" priority="24933">
      <formula>$F32="Ventes Sicli"</formula>
    </cfRule>
    <cfRule type="expression" dxfId="16088" priority="24934">
      <formula>$F32="Ventes Chubb"</formula>
    </cfRule>
    <cfRule type="expression" dxfId="16087" priority="24935">
      <formula>$F32="SAV Sicli"</formula>
    </cfRule>
    <cfRule type="expression" dxfId="16086" priority="24936">
      <formula>$F32="SAV Chubb"</formula>
    </cfRule>
    <cfRule type="expression" dxfId="16085" priority="24937">
      <formula>$F32="Réalisation"</formula>
    </cfRule>
    <cfRule type="expression" dxfId="16084" priority="24938">
      <formula>$F32="Désenfumage"</formula>
    </cfRule>
    <cfRule type="expression" dxfId="16083" priority="24939">
      <formula>$F32="Administratif"</formula>
    </cfRule>
  </conditionalFormatting>
  <conditionalFormatting sqref="C32:D32">
    <cfRule type="expression" dxfId="16082" priority="24930">
      <formula>$H32="non"</formula>
    </cfRule>
  </conditionalFormatting>
  <conditionalFormatting sqref="C31:D31">
    <cfRule type="expression" dxfId="16081" priority="24921">
      <formula>$F31="Formation CCF"</formula>
    </cfRule>
    <cfRule type="expression" dxfId="16080" priority="24922">
      <formula>$F31="Direction"</formula>
    </cfRule>
    <cfRule type="expression" dxfId="16079" priority="24923">
      <formula>$F31="Ventes Sicli"</formula>
    </cfRule>
    <cfRule type="expression" dxfId="16078" priority="24924">
      <formula>$F31="Ventes Chubb"</formula>
    </cfRule>
    <cfRule type="expression" dxfId="16077" priority="24925">
      <formula>$F31="SAV Sicli"</formula>
    </cfRule>
    <cfRule type="expression" dxfId="16076" priority="24926">
      <formula>$F31="SAV Chubb"</formula>
    </cfRule>
    <cfRule type="expression" dxfId="16075" priority="24927">
      <formula>$F31="Réalisation"</formula>
    </cfRule>
    <cfRule type="expression" dxfId="16074" priority="24928">
      <formula>$F31="Désenfumage"</formula>
    </cfRule>
    <cfRule type="expression" dxfId="16073" priority="24929">
      <formula>$F31="Administratif"</formula>
    </cfRule>
  </conditionalFormatting>
  <conditionalFormatting sqref="C31:D31">
    <cfRule type="expression" dxfId="16072" priority="24920">
      <formula>$H31="non"</formula>
    </cfRule>
  </conditionalFormatting>
  <conditionalFormatting sqref="C30:D30">
    <cfRule type="expression" dxfId="16071" priority="24911">
      <formula>$F30="Formation CCF"</formula>
    </cfRule>
    <cfRule type="expression" dxfId="16070" priority="24912">
      <formula>$F30="Direction"</formula>
    </cfRule>
    <cfRule type="expression" dxfId="16069" priority="24913">
      <formula>$F30="Ventes Sicli"</formula>
    </cfRule>
    <cfRule type="expression" dxfId="16068" priority="24914">
      <formula>$F30="Ventes Chubb"</formula>
    </cfRule>
    <cfRule type="expression" dxfId="16067" priority="24915">
      <formula>$F30="SAV Sicli"</formula>
    </cfRule>
    <cfRule type="expression" dxfId="16066" priority="24916">
      <formula>$F30="SAV Chubb"</formula>
    </cfRule>
    <cfRule type="expression" dxfId="16065" priority="24917">
      <formula>$F30="Réalisation"</formula>
    </cfRule>
    <cfRule type="expression" dxfId="16064" priority="24918">
      <formula>$F30="Désenfumage"</formula>
    </cfRule>
    <cfRule type="expression" dxfId="16063" priority="24919">
      <formula>$F30="Administratif"</formula>
    </cfRule>
  </conditionalFormatting>
  <conditionalFormatting sqref="C30:D30">
    <cfRule type="expression" dxfId="16062" priority="24910">
      <formula>$H30="non"</formula>
    </cfRule>
  </conditionalFormatting>
  <conditionalFormatting sqref="D33">
    <cfRule type="expression" dxfId="16061" priority="24901">
      <formula>$F33="Formation CCF"</formula>
    </cfRule>
    <cfRule type="expression" dxfId="16060" priority="24902">
      <formula>$F33="Direction"</formula>
    </cfRule>
    <cfRule type="expression" dxfId="16059" priority="24903">
      <formula>$F33="Ventes Sicli"</formula>
    </cfRule>
    <cfRule type="expression" dxfId="16058" priority="24904">
      <formula>$F33="Ventes Chubb"</formula>
    </cfRule>
    <cfRule type="expression" dxfId="16057" priority="24905">
      <formula>$F33="SAV Sicli"</formula>
    </cfRule>
    <cfRule type="expression" dxfId="16056" priority="24906">
      <formula>$F33="SAV Chubb"</formula>
    </cfRule>
    <cfRule type="expression" dxfId="16055" priority="24907">
      <formula>$F33="Réalisation"</formula>
    </cfRule>
    <cfRule type="expression" dxfId="16054" priority="24908">
      <formula>$F33="Désenfumage"</formula>
    </cfRule>
    <cfRule type="expression" dxfId="16053" priority="24909">
      <formula>$F33="Administratif"</formula>
    </cfRule>
  </conditionalFormatting>
  <conditionalFormatting sqref="D33">
    <cfRule type="expression" dxfId="16052" priority="24900">
      <formula>$H33="non"</formula>
    </cfRule>
  </conditionalFormatting>
  <conditionalFormatting sqref="D32">
    <cfRule type="expression" dxfId="16051" priority="24891">
      <formula>$F32="Formation CCF"</formula>
    </cfRule>
    <cfRule type="expression" dxfId="16050" priority="24892">
      <formula>$F32="Direction"</formula>
    </cfRule>
    <cfRule type="expression" dxfId="16049" priority="24893">
      <formula>$F32="Ventes Sicli"</formula>
    </cfRule>
    <cfRule type="expression" dxfId="16048" priority="24894">
      <formula>$F32="Ventes Chubb"</formula>
    </cfRule>
    <cfRule type="expression" dxfId="16047" priority="24895">
      <formula>$F32="SAV Sicli"</formula>
    </cfRule>
    <cfRule type="expression" dxfId="16046" priority="24896">
      <formula>$F32="SAV Chubb"</formula>
    </cfRule>
    <cfRule type="expression" dxfId="16045" priority="24897">
      <formula>$F32="Réalisation"</formula>
    </cfRule>
    <cfRule type="expression" dxfId="16044" priority="24898">
      <formula>$F32="Désenfumage"</formula>
    </cfRule>
    <cfRule type="expression" dxfId="16043" priority="24899">
      <formula>$F32="Administratif"</formula>
    </cfRule>
  </conditionalFormatting>
  <conditionalFormatting sqref="D32">
    <cfRule type="expression" dxfId="16042" priority="24890">
      <formula>$H32="non"</formula>
    </cfRule>
  </conditionalFormatting>
  <conditionalFormatting sqref="D31">
    <cfRule type="expression" dxfId="16041" priority="24881">
      <formula>$F31="Formation CCF"</formula>
    </cfRule>
    <cfRule type="expression" dxfId="16040" priority="24882">
      <formula>$F31="Direction"</formula>
    </cfRule>
    <cfRule type="expression" dxfId="16039" priority="24883">
      <formula>$F31="Ventes Sicli"</formula>
    </cfRule>
    <cfRule type="expression" dxfId="16038" priority="24884">
      <formula>$F31="Ventes Chubb"</formula>
    </cfRule>
    <cfRule type="expression" dxfId="16037" priority="24885">
      <formula>$F31="SAV Sicli"</formula>
    </cfRule>
    <cfRule type="expression" dxfId="16036" priority="24886">
      <formula>$F31="SAV Chubb"</formula>
    </cfRule>
    <cfRule type="expression" dxfId="16035" priority="24887">
      <formula>$F31="Réalisation"</formula>
    </cfRule>
    <cfRule type="expression" dxfId="16034" priority="24888">
      <formula>$F31="Désenfumage"</formula>
    </cfRule>
    <cfRule type="expression" dxfId="16033" priority="24889">
      <formula>$F31="Administratif"</formula>
    </cfRule>
  </conditionalFormatting>
  <conditionalFormatting sqref="D31">
    <cfRule type="expression" dxfId="16032" priority="24880">
      <formula>$H31="non"</formula>
    </cfRule>
  </conditionalFormatting>
  <conditionalFormatting sqref="C30">
    <cfRule type="expression" dxfId="16031" priority="24871">
      <formula>$F30="Formation CCF"</formula>
    </cfRule>
    <cfRule type="expression" dxfId="16030" priority="24872">
      <formula>$F30="Direction"</formula>
    </cfRule>
    <cfRule type="expression" dxfId="16029" priority="24873">
      <formula>$F30="Ventes Sicli"</formula>
    </cfRule>
    <cfRule type="expression" dxfId="16028" priority="24874">
      <formula>$F30="Ventes Chubb"</formula>
    </cfRule>
    <cfRule type="expression" dxfId="16027" priority="24875">
      <formula>$F30="SAV Sicli"</formula>
    </cfRule>
    <cfRule type="expression" dxfId="16026" priority="24876">
      <formula>$F30="SAV Chubb"</formula>
    </cfRule>
    <cfRule type="expression" dxfId="16025" priority="24877">
      <formula>$F30="Réalisation"</formula>
    </cfRule>
    <cfRule type="expression" dxfId="16024" priority="24878">
      <formula>$F30="Désenfumage"</formula>
    </cfRule>
    <cfRule type="expression" dxfId="16023" priority="24879">
      <formula>$F30="Administratif"</formula>
    </cfRule>
  </conditionalFormatting>
  <conditionalFormatting sqref="C30">
    <cfRule type="expression" dxfId="16022" priority="24870">
      <formula>$H30="non"</formula>
    </cfRule>
  </conditionalFormatting>
  <conditionalFormatting sqref="D30">
    <cfRule type="expression" dxfId="16021" priority="24861">
      <formula>$F30="Formation CCF"</formula>
    </cfRule>
    <cfRule type="expression" dxfId="16020" priority="24862">
      <formula>$F30="Direction"</formula>
    </cfRule>
    <cfRule type="expression" dxfId="16019" priority="24863">
      <formula>$F30="Ventes Sicli"</formula>
    </cfRule>
    <cfRule type="expression" dxfId="16018" priority="24864">
      <formula>$F30="Ventes Chubb"</formula>
    </cfRule>
    <cfRule type="expression" dxfId="16017" priority="24865">
      <formula>$F30="SAV Sicli"</formula>
    </cfRule>
    <cfRule type="expression" dxfId="16016" priority="24866">
      <formula>$F30="SAV Chubb"</formula>
    </cfRule>
    <cfRule type="expression" dxfId="16015" priority="24867">
      <formula>$F30="Réalisation"</formula>
    </cfRule>
    <cfRule type="expression" dxfId="16014" priority="24868">
      <formula>$F30="Désenfumage"</formula>
    </cfRule>
    <cfRule type="expression" dxfId="16013" priority="24869">
      <formula>$F30="Administratif"</formula>
    </cfRule>
  </conditionalFormatting>
  <conditionalFormatting sqref="D30">
    <cfRule type="expression" dxfId="16012" priority="24860">
      <formula>$H30="non"</formula>
    </cfRule>
  </conditionalFormatting>
  <conditionalFormatting sqref="D33">
    <cfRule type="expression" dxfId="16011" priority="24851">
      <formula>$F33="Formation CCF"</formula>
    </cfRule>
    <cfRule type="expression" dxfId="16010" priority="24852">
      <formula>$F33="Direction"</formula>
    </cfRule>
    <cfRule type="expression" dxfId="16009" priority="24853">
      <formula>$F33="Ventes Sicli"</formula>
    </cfRule>
    <cfRule type="expression" dxfId="16008" priority="24854">
      <formula>$F33="Ventes Chubb"</formula>
    </cfRule>
    <cfRule type="expression" dxfId="16007" priority="24855">
      <formula>$F33="SAV Sicli"</formula>
    </cfRule>
    <cfRule type="expression" dxfId="16006" priority="24856">
      <formula>$F33="SAV Chubb"</formula>
    </cfRule>
    <cfRule type="expression" dxfId="16005" priority="24857">
      <formula>$F33="Réalisation"</formula>
    </cfRule>
    <cfRule type="expression" dxfId="16004" priority="24858">
      <formula>$F33="Désenfumage"</formula>
    </cfRule>
    <cfRule type="expression" dxfId="16003" priority="24859">
      <formula>$F33="Administratif"</formula>
    </cfRule>
  </conditionalFormatting>
  <conditionalFormatting sqref="D33">
    <cfRule type="expression" dxfId="16002" priority="24850">
      <formula>$H33="non"</formula>
    </cfRule>
  </conditionalFormatting>
  <conditionalFormatting sqref="D32">
    <cfRule type="expression" dxfId="16001" priority="24841">
      <formula>$F32="Formation CCF"</formula>
    </cfRule>
    <cfRule type="expression" dxfId="16000" priority="24842">
      <formula>$F32="Direction"</formula>
    </cfRule>
    <cfRule type="expression" dxfId="15999" priority="24843">
      <formula>$F32="Ventes Sicli"</formula>
    </cfRule>
    <cfRule type="expression" dxfId="15998" priority="24844">
      <formula>$F32="Ventes Chubb"</formula>
    </cfRule>
    <cfRule type="expression" dxfId="15997" priority="24845">
      <formula>$F32="SAV Sicli"</formula>
    </cfRule>
    <cfRule type="expression" dxfId="15996" priority="24846">
      <formula>$F32="SAV Chubb"</formula>
    </cfRule>
    <cfRule type="expression" dxfId="15995" priority="24847">
      <formula>$F32="Réalisation"</formula>
    </cfRule>
    <cfRule type="expression" dxfId="15994" priority="24848">
      <formula>$F32="Désenfumage"</formula>
    </cfRule>
    <cfRule type="expression" dxfId="15993" priority="24849">
      <formula>$F32="Administratif"</formula>
    </cfRule>
  </conditionalFormatting>
  <conditionalFormatting sqref="D32">
    <cfRule type="expression" dxfId="15992" priority="24840">
      <formula>$H32="non"</formula>
    </cfRule>
  </conditionalFormatting>
  <conditionalFormatting sqref="D31">
    <cfRule type="expression" dxfId="15991" priority="24831">
      <formula>$F31="Formation CCF"</formula>
    </cfRule>
    <cfRule type="expression" dxfId="15990" priority="24832">
      <formula>$F31="Direction"</formula>
    </cfRule>
    <cfRule type="expression" dxfId="15989" priority="24833">
      <formula>$F31="Ventes Sicli"</formula>
    </cfRule>
    <cfRule type="expression" dxfId="15988" priority="24834">
      <formula>$F31="Ventes Chubb"</formula>
    </cfRule>
    <cfRule type="expression" dxfId="15987" priority="24835">
      <formula>$F31="SAV Sicli"</formula>
    </cfRule>
    <cfRule type="expression" dxfId="15986" priority="24836">
      <formula>$F31="SAV Chubb"</formula>
    </cfRule>
    <cfRule type="expression" dxfId="15985" priority="24837">
      <formula>$F31="Réalisation"</formula>
    </cfRule>
    <cfRule type="expression" dxfId="15984" priority="24838">
      <formula>$F31="Désenfumage"</formula>
    </cfRule>
    <cfRule type="expression" dxfId="15983" priority="24839">
      <formula>$F31="Administratif"</formula>
    </cfRule>
  </conditionalFormatting>
  <conditionalFormatting sqref="D31">
    <cfRule type="expression" dxfId="15982" priority="24830">
      <formula>$H31="non"</formula>
    </cfRule>
  </conditionalFormatting>
  <conditionalFormatting sqref="D30">
    <cfRule type="expression" dxfId="15981" priority="24821">
      <formula>$F30="Formation CCF"</formula>
    </cfRule>
    <cfRule type="expression" dxfId="15980" priority="24822">
      <formula>$F30="Direction"</formula>
    </cfRule>
    <cfRule type="expression" dxfId="15979" priority="24823">
      <formula>$F30="Ventes Sicli"</formula>
    </cfRule>
    <cfRule type="expression" dxfId="15978" priority="24824">
      <formula>$F30="Ventes Chubb"</formula>
    </cfRule>
    <cfRule type="expression" dxfId="15977" priority="24825">
      <formula>$F30="SAV Sicli"</formula>
    </cfRule>
    <cfRule type="expression" dxfId="15976" priority="24826">
      <formula>$F30="SAV Chubb"</formula>
    </cfRule>
    <cfRule type="expression" dxfId="15975" priority="24827">
      <formula>$F30="Réalisation"</formula>
    </cfRule>
    <cfRule type="expression" dxfId="15974" priority="24828">
      <formula>$F30="Désenfumage"</formula>
    </cfRule>
    <cfRule type="expression" dxfId="15973" priority="24829">
      <formula>$F30="Administratif"</formula>
    </cfRule>
  </conditionalFormatting>
  <conditionalFormatting sqref="D30">
    <cfRule type="expression" dxfId="15972" priority="24820">
      <formula>$H30="non"</formula>
    </cfRule>
  </conditionalFormatting>
  <conditionalFormatting sqref="D33">
    <cfRule type="expression" dxfId="15971" priority="24811">
      <formula>$F33="Formation CCF"</formula>
    </cfRule>
    <cfRule type="expression" dxfId="15970" priority="24812">
      <formula>$F33="Direction"</formula>
    </cfRule>
    <cfRule type="expression" dxfId="15969" priority="24813">
      <formula>$F33="Ventes Sicli"</formula>
    </cfRule>
    <cfRule type="expression" dxfId="15968" priority="24814">
      <formula>$F33="Ventes Chubb"</formula>
    </cfRule>
    <cfRule type="expression" dxfId="15967" priority="24815">
      <formula>$F33="SAV Sicli"</formula>
    </cfRule>
    <cfRule type="expression" dxfId="15966" priority="24816">
      <formula>$F33="SAV Chubb"</formula>
    </cfRule>
    <cfRule type="expression" dxfId="15965" priority="24817">
      <formula>$F33="Réalisation"</formula>
    </cfRule>
    <cfRule type="expression" dxfId="15964" priority="24818">
      <formula>$F33="Désenfumage"</formula>
    </cfRule>
    <cfRule type="expression" dxfId="15963" priority="24819">
      <formula>$F33="Administratif"</formula>
    </cfRule>
  </conditionalFormatting>
  <conditionalFormatting sqref="D33">
    <cfRule type="expression" dxfId="15962" priority="24810">
      <formula>$H33="non"</formula>
    </cfRule>
  </conditionalFormatting>
  <conditionalFormatting sqref="C29:D29">
    <cfRule type="expression" dxfId="15961" priority="24801">
      <formula>$F29="Formation CCF"</formula>
    </cfRule>
    <cfRule type="expression" dxfId="15960" priority="24802">
      <formula>$F29="Direction"</formula>
    </cfRule>
    <cfRule type="expression" dxfId="15959" priority="24803">
      <formula>$F29="Ventes Sicli"</formula>
    </cfRule>
    <cfRule type="expression" dxfId="15958" priority="24804">
      <formula>$F29="Ventes Chubb"</formula>
    </cfRule>
    <cfRule type="expression" dxfId="15957" priority="24805">
      <formula>$F29="SAV Sicli"</formula>
    </cfRule>
    <cfRule type="expression" dxfId="15956" priority="24806">
      <formula>$F29="SAV Chubb"</formula>
    </cfRule>
    <cfRule type="expression" dxfId="15955" priority="24807">
      <formula>$F29="Réalisation"</formula>
    </cfRule>
    <cfRule type="expression" dxfId="15954" priority="24808">
      <formula>$F29="Désenfumage"</formula>
    </cfRule>
    <cfRule type="expression" dxfId="15953" priority="24809">
      <formula>$F29="Administratif"</formula>
    </cfRule>
  </conditionalFormatting>
  <conditionalFormatting sqref="C29:D29">
    <cfRule type="expression" dxfId="15952" priority="24800">
      <formula>$H29="non"</formula>
    </cfRule>
  </conditionalFormatting>
  <conditionalFormatting sqref="C29:D29">
    <cfRule type="expression" dxfId="15951" priority="24791">
      <formula>$F29="Formation CCF"</formula>
    </cfRule>
    <cfRule type="expression" dxfId="15950" priority="24792">
      <formula>$F29="Direction"</formula>
    </cfRule>
    <cfRule type="expression" dxfId="15949" priority="24793">
      <formula>$F29="Ventes Sicli"</formula>
    </cfRule>
    <cfRule type="expression" dxfId="15948" priority="24794">
      <formula>$F29="Ventes Chubb"</formula>
    </cfRule>
    <cfRule type="expression" dxfId="15947" priority="24795">
      <formula>$F29="SAV Sicli"</formula>
    </cfRule>
    <cfRule type="expression" dxfId="15946" priority="24796">
      <formula>$F29="SAV Chubb"</formula>
    </cfRule>
    <cfRule type="expression" dxfId="15945" priority="24797">
      <formula>$F29="Réalisation"</formula>
    </cfRule>
    <cfRule type="expression" dxfId="15944" priority="24798">
      <formula>$F29="Désenfumage"</formula>
    </cfRule>
    <cfRule type="expression" dxfId="15943" priority="24799">
      <formula>$F29="Administratif"</formula>
    </cfRule>
  </conditionalFormatting>
  <conditionalFormatting sqref="C29:D29">
    <cfRule type="expression" dxfId="15942" priority="24790">
      <formula>$H29="non"</formula>
    </cfRule>
  </conditionalFormatting>
  <conditionalFormatting sqref="C29:D29">
    <cfRule type="expression" dxfId="15941" priority="24781">
      <formula>$F29="Formation CCF"</formula>
    </cfRule>
    <cfRule type="expression" dxfId="15940" priority="24782">
      <formula>$F29="Direction"</formula>
    </cfRule>
    <cfRule type="expression" dxfId="15939" priority="24783">
      <formula>$F29="Ventes Sicli"</formula>
    </cfRule>
    <cfRule type="expression" dxfId="15938" priority="24784">
      <formula>$F29="Ventes Chubb"</formula>
    </cfRule>
    <cfRule type="expression" dxfId="15937" priority="24785">
      <formula>$F29="SAV Sicli"</formula>
    </cfRule>
    <cfRule type="expression" dxfId="15936" priority="24786">
      <formula>$F29="SAV Chubb"</formula>
    </cfRule>
    <cfRule type="expression" dxfId="15935" priority="24787">
      <formula>$F29="Réalisation"</formula>
    </cfRule>
    <cfRule type="expression" dxfId="15934" priority="24788">
      <formula>$F29="Désenfumage"</formula>
    </cfRule>
    <cfRule type="expression" dxfId="15933" priority="24789">
      <formula>$F29="Administratif"</formula>
    </cfRule>
  </conditionalFormatting>
  <conditionalFormatting sqref="C29:D29">
    <cfRule type="expression" dxfId="15932" priority="24780">
      <formula>$H29="non"</formula>
    </cfRule>
  </conditionalFormatting>
  <conditionalFormatting sqref="C29:D29">
    <cfRule type="expression" dxfId="15931" priority="24771">
      <formula>$F29="Formation CCF"</formula>
    </cfRule>
    <cfRule type="expression" dxfId="15930" priority="24772">
      <formula>$F29="Direction"</formula>
    </cfRule>
    <cfRule type="expression" dxfId="15929" priority="24773">
      <formula>$F29="Ventes Sicli"</formula>
    </cfRule>
    <cfRule type="expression" dxfId="15928" priority="24774">
      <formula>$F29="Ventes Chubb"</formula>
    </cfRule>
    <cfRule type="expression" dxfId="15927" priority="24775">
      <formula>$F29="SAV Sicli"</formula>
    </cfRule>
    <cfRule type="expression" dxfId="15926" priority="24776">
      <formula>$F29="SAV Chubb"</formula>
    </cfRule>
    <cfRule type="expression" dxfId="15925" priority="24777">
      <formula>$F29="Réalisation"</formula>
    </cfRule>
    <cfRule type="expression" dxfId="15924" priority="24778">
      <formula>$F29="Désenfumage"</formula>
    </cfRule>
    <cfRule type="expression" dxfId="15923" priority="24779">
      <formula>$F29="Administratif"</formula>
    </cfRule>
  </conditionalFormatting>
  <conditionalFormatting sqref="C29:D29">
    <cfRule type="expression" dxfId="15922" priority="24770">
      <formula>$H29="non"</formula>
    </cfRule>
  </conditionalFormatting>
  <conditionalFormatting sqref="C29:D29">
    <cfRule type="expression" dxfId="15921" priority="24761">
      <formula>$F29="Formation CCF"</formula>
    </cfRule>
    <cfRule type="expression" dxfId="15920" priority="24762">
      <formula>$F29="Direction"</formula>
    </cfRule>
    <cfRule type="expression" dxfId="15919" priority="24763">
      <formula>$F29="Ventes Sicli"</formula>
    </cfRule>
    <cfRule type="expression" dxfId="15918" priority="24764">
      <formula>$F29="Ventes Chubb"</formula>
    </cfRule>
    <cfRule type="expression" dxfId="15917" priority="24765">
      <formula>$F29="SAV Sicli"</formula>
    </cfRule>
    <cfRule type="expression" dxfId="15916" priority="24766">
      <formula>$F29="SAV Chubb"</formula>
    </cfRule>
    <cfRule type="expression" dxfId="15915" priority="24767">
      <formula>$F29="Réalisation"</formula>
    </cfRule>
    <cfRule type="expression" dxfId="15914" priority="24768">
      <formula>$F29="Désenfumage"</formula>
    </cfRule>
    <cfRule type="expression" dxfId="15913" priority="24769">
      <formula>$F29="Administratif"</formula>
    </cfRule>
  </conditionalFormatting>
  <conditionalFormatting sqref="C29:D29">
    <cfRule type="expression" dxfId="15912" priority="24760">
      <formula>$H29="non"</formula>
    </cfRule>
  </conditionalFormatting>
  <conditionalFormatting sqref="C29:D29">
    <cfRule type="expression" dxfId="15911" priority="24751">
      <formula>$F29="Formation CCF"</formula>
    </cfRule>
    <cfRule type="expression" dxfId="15910" priority="24752">
      <formula>$F29="Direction"</formula>
    </cfRule>
    <cfRule type="expression" dxfId="15909" priority="24753">
      <formula>$F29="Ventes Sicli"</formula>
    </cfRule>
    <cfRule type="expression" dxfId="15908" priority="24754">
      <formula>$F29="Ventes Chubb"</formula>
    </cfRule>
    <cfRule type="expression" dxfId="15907" priority="24755">
      <formula>$F29="SAV Sicli"</formula>
    </cfRule>
    <cfRule type="expression" dxfId="15906" priority="24756">
      <formula>$F29="SAV Chubb"</formula>
    </cfRule>
    <cfRule type="expression" dxfId="15905" priority="24757">
      <formula>$F29="Réalisation"</formula>
    </cfRule>
    <cfRule type="expression" dxfId="15904" priority="24758">
      <formula>$F29="Désenfumage"</formula>
    </cfRule>
    <cfRule type="expression" dxfId="15903" priority="24759">
      <formula>$F29="Administratif"</formula>
    </cfRule>
  </conditionalFormatting>
  <conditionalFormatting sqref="C29:D29">
    <cfRule type="expression" dxfId="15902" priority="24750">
      <formula>$H29="non"</formula>
    </cfRule>
  </conditionalFormatting>
  <conditionalFormatting sqref="C29:D29">
    <cfRule type="expression" dxfId="15901" priority="24741">
      <formula>$F29="Formation CCF"</formula>
    </cfRule>
    <cfRule type="expression" dxfId="15900" priority="24742">
      <formula>$F29="Direction"</formula>
    </cfRule>
    <cfRule type="expression" dxfId="15899" priority="24743">
      <formula>$F29="Ventes Sicli"</formula>
    </cfRule>
    <cfRule type="expression" dxfId="15898" priority="24744">
      <formula>$F29="Ventes Chubb"</formula>
    </cfRule>
    <cfRule type="expression" dxfId="15897" priority="24745">
      <formula>$F29="SAV Sicli"</formula>
    </cfRule>
    <cfRule type="expression" dxfId="15896" priority="24746">
      <formula>$F29="SAV Chubb"</formula>
    </cfRule>
    <cfRule type="expression" dxfId="15895" priority="24747">
      <formula>$F29="Réalisation"</formula>
    </cfRule>
    <cfRule type="expression" dxfId="15894" priority="24748">
      <formula>$F29="Désenfumage"</formula>
    </cfRule>
    <cfRule type="expression" dxfId="15893" priority="24749">
      <formula>$F29="Administratif"</formula>
    </cfRule>
  </conditionalFormatting>
  <conditionalFormatting sqref="C29:D29">
    <cfRule type="expression" dxfId="15892" priority="24740">
      <formula>$H29="non"</formula>
    </cfRule>
  </conditionalFormatting>
  <conditionalFormatting sqref="C29:D29">
    <cfRule type="expression" dxfId="15891" priority="24731">
      <formula>$F29="Formation CCF"</formula>
    </cfRule>
    <cfRule type="expression" dxfId="15890" priority="24732">
      <formula>$F29="Direction"</formula>
    </cfRule>
    <cfRule type="expression" dxfId="15889" priority="24733">
      <formula>$F29="Ventes Sicli"</formula>
    </cfRule>
    <cfRule type="expression" dxfId="15888" priority="24734">
      <formula>$F29="Ventes Chubb"</formula>
    </cfRule>
    <cfRule type="expression" dxfId="15887" priority="24735">
      <formula>$F29="SAV Sicli"</formula>
    </cfRule>
    <cfRule type="expression" dxfId="15886" priority="24736">
      <formula>$F29="SAV Chubb"</formula>
    </cfRule>
    <cfRule type="expression" dxfId="15885" priority="24737">
      <formula>$F29="Réalisation"</formula>
    </cfRule>
    <cfRule type="expression" dxfId="15884" priority="24738">
      <formula>$F29="Désenfumage"</formula>
    </cfRule>
    <cfRule type="expression" dxfId="15883" priority="24739">
      <formula>$F29="Administratif"</formula>
    </cfRule>
  </conditionalFormatting>
  <conditionalFormatting sqref="C29:D29">
    <cfRule type="expression" dxfId="15882" priority="24730">
      <formula>$H29="non"</formula>
    </cfRule>
  </conditionalFormatting>
  <conditionalFormatting sqref="C29:D29">
    <cfRule type="expression" dxfId="15881" priority="24721">
      <formula>$F29="Formation CCF"</formula>
    </cfRule>
    <cfRule type="expression" dxfId="15880" priority="24722">
      <formula>$F29="Direction"</formula>
    </cfRule>
    <cfRule type="expression" dxfId="15879" priority="24723">
      <formula>$F29="Ventes Sicli"</formula>
    </cfRule>
    <cfRule type="expression" dxfId="15878" priority="24724">
      <formula>$F29="Ventes Chubb"</formula>
    </cfRule>
    <cfRule type="expression" dxfId="15877" priority="24725">
      <formula>$F29="SAV Sicli"</formula>
    </cfRule>
    <cfRule type="expression" dxfId="15876" priority="24726">
      <formula>$F29="SAV Chubb"</formula>
    </cfRule>
    <cfRule type="expression" dxfId="15875" priority="24727">
      <formula>$F29="Réalisation"</formula>
    </cfRule>
    <cfRule type="expression" dxfId="15874" priority="24728">
      <formula>$F29="Désenfumage"</formula>
    </cfRule>
    <cfRule type="expression" dxfId="15873" priority="24729">
      <formula>$F29="Administratif"</formula>
    </cfRule>
  </conditionalFormatting>
  <conditionalFormatting sqref="C29:D29">
    <cfRule type="expression" dxfId="15872" priority="24720">
      <formula>$H29="non"</formula>
    </cfRule>
  </conditionalFormatting>
  <conditionalFormatting sqref="C29:D29">
    <cfRule type="expression" dxfId="15871" priority="24711">
      <formula>$F29="Formation CCF"</formula>
    </cfRule>
    <cfRule type="expression" dxfId="15870" priority="24712">
      <formula>$F29="Direction"</formula>
    </cfRule>
    <cfRule type="expression" dxfId="15869" priority="24713">
      <formula>$F29="Ventes Sicli"</formula>
    </cfRule>
    <cfRule type="expression" dxfId="15868" priority="24714">
      <formula>$F29="Ventes Chubb"</formula>
    </cfRule>
    <cfRule type="expression" dxfId="15867" priority="24715">
      <formula>$F29="SAV Sicli"</formula>
    </cfRule>
    <cfRule type="expression" dxfId="15866" priority="24716">
      <formula>$F29="SAV Chubb"</formula>
    </cfRule>
    <cfRule type="expression" dxfId="15865" priority="24717">
      <formula>$F29="Réalisation"</formula>
    </cfRule>
    <cfRule type="expression" dxfId="15864" priority="24718">
      <formula>$F29="Désenfumage"</formula>
    </cfRule>
    <cfRule type="expression" dxfId="15863" priority="24719">
      <formula>$F29="Administratif"</formula>
    </cfRule>
  </conditionalFormatting>
  <conditionalFormatting sqref="C29:D29">
    <cfRule type="expression" dxfId="15862" priority="24710">
      <formula>$H29="non"</formula>
    </cfRule>
  </conditionalFormatting>
  <conditionalFormatting sqref="C29:D29">
    <cfRule type="expression" dxfId="15861" priority="24701">
      <formula>$F29="Formation CCF"</formula>
    </cfRule>
    <cfRule type="expression" dxfId="15860" priority="24702">
      <formula>$F29="Direction"</formula>
    </cfRule>
    <cfRule type="expression" dxfId="15859" priority="24703">
      <formula>$F29="Ventes Sicli"</formula>
    </cfRule>
    <cfRule type="expression" dxfId="15858" priority="24704">
      <formula>$F29="Ventes Chubb"</formula>
    </cfRule>
    <cfRule type="expression" dxfId="15857" priority="24705">
      <formula>$F29="SAV Sicli"</formula>
    </cfRule>
    <cfRule type="expression" dxfId="15856" priority="24706">
      <formula>$F29="SAV Chubb"</formula>
    </cfRule>
    <cfRule type="expression" dxfId="15855" priority="24707">
      <formula>$F29="Réalisation"</formula>
    </cfRule>
    <cfRule type="expression" dxfId="15854" priority="24708">
      <formula>$F29="Désenfumage"</formula>
    </cfRule>
    <cfRule type="expression" dxfId="15853" priority="24709">
      <formula>$F29="Administratif"</formula>
    </cfRule>
  </conditionalFormatting>
  <conditionalFormatting sqref="C29:D29">
    <cfRule type="expression" dxfId="15852" priority="24700">
      <formula>$H29="non"</formula>
    </cfRule>
  </conditionalFormatting>
  <conditionalFormatting sqref="C29:D29">
    <cfRule type="expression" dxfId="15851" priority="24691">
      <formula>$F29="Formation CCF"</formula>
    </cfRule>
    <cfRule type="expression" dxfId="15850" priority="24692">
      <formula>$F29="Direction"</formula>
    </cfRule>
    <cfRule type="expression" dxfId="15849" priority="24693">
      <formula>$F29="Ventes Sicli"</formula>
    </cfRule>
    <cfRule type="expression" dxfId="15848" priority="24694">
      <formula>$F29="Ventes Chubb"</formula>
    </cfRule>
    <cfRule type="expression" dxfId="15847" priority="24695">
      <formula>$F29="SAV Sicli"</formula>
    </cfRule>
    <cfRule type="expression" dxfId="15846" priority="24696">
      <formula>$F29="SAV Chubb"</formula>
    </cfRule>
    <cfRule type="expression" dxfId="15845" priority="24697">
      <formula>$F29="Réalisation"</formula>
    </cfRule>
    <cfRule type="expression" dxfId="15844" priority="24698">
      <formula>$F29="Désenfumage"</formula>
    </cfRule>
    <cfRule type="expression" dxfId="15843" priority="24699">
      <formula>$F29="Administratif"</formula>
    </cfRule>
  </conditionalFormatting>
  <conditionalFormatting sqref="C29:D29">
    <cfRule type="expression" dxfId="15842" priority="24690">
      <formula>$H29="non"</formula>
    </cfRule>
  </conditionalFormatting>
  <conditionalFormatting sqref="C29:D29">
    <cfRule type="expression" dxfId="15841" priority="24681">
      <formula>$F29="Formation CCF"</formula>
    </cfRule>
    <cfRule type="expression" dxfId="15840" priority="24682">
      <formula>$F29="Direction"</formula>
    </cfRule>
    <cfRule type="expression" dxfId="15839" priority="24683">
      <formula>$F29="Ventes Sicli"</formula>
    </cfRule>
    <cfRule type="expression" dxfId="15838" priority="24684">
      <formula>$F29="Ventes Chubb"</formula>
    </cfRule>
    <cfRule type="expression" dxfId="15837" priority="24685">
      <formula>$F29="SAV Sicli"</formula>
    </cfRule>
    <cfRule type="expression" dxfId="15836" priority="24686">
      <formula>$F29="SAV Chubb"</formula>
    </cfRule>
    <cfRule type="expression" dxfId="15835" priority="24687">
      <formula>$F29="Réalisation"</formula>
    </cfRule>
    <cfRule type="expression" dxfId="15834" priority="24688">
      <formula>$F29="Désenfumage"</formula>
    </cfRule>
    <cfRule type="expression" dxfId="15833" priority="24689">
      <formula>$F29="Administratif"</formula>
    </cfRule>
  </conditionalFormatting>
  <conditionalFormatting sqref="C29:D29">
    <cfRule type="expression" dxfId="15832" priority="24680">
      <formula>$H29="non"</formula>
    </cfRule>
  </conditionalFormatting>
  <conditionalFormatting sqref="D33">
    <cfRule type="expression" dxfId="15831" priority="24661">
      <formula>$F33="Formation CCF"</formula>
    </cfRule>
    <cfRule type="expression" dxfId="15830" priority="24662">
      <formula>$F33="Direction"</formula>
    </cfRule>
    <cfRule type="expression" dxfId="15829" priority="24663">
      <formula>$F33="Ventes Sicli"</formula>
    </cfRule>
    <cfRule type="expression" dxfId="15828" priority="24664">
      <formula>$F33="Ventes Chubb"</formula>
    </cfRule>
    <cfRule type="expression" dxfId="15827" priority="24665">
      <formula>$F33="SAV Sicli"</formula>
    </cfRule>
    <cfRule type="expression" dxfId="15826" priority="24666">
      <formula>$F33="SAV Chubb"</formula>
    </cfRule>
    <cfRule type="expression" dxfId="15825" priority="24667">
      <formula>$F33="Réalisation"</formula>
    </cfRule>
    <cfRule type="expression" dxfId="15824" priority="24668">
      <formula>$F33="Désenfumage"</formula>
    </cfRule>
    <cfRule type="expression" dxfId="15823" priority="24669">
      <formula>$F33="Administratif"</formula>
    </cfRule>
  </conditionalFormatting>
  <conditionalFormatting sqref="D33">
    <cfRule type="expression" dxfId="15822" priority="24660">
      <formula>$H33="non"</formula>
    </cfRule>
  </conditionalFormatting>
  <conditionalFormatting sqref="D32">
    <cfRule type="expression" dxfId="15821" priority="24651">
      <formula>$F32="Formation CCF"</formula>
    </cfRule>
    <cfRule type="expression" dxfId="15820" priority="24652">
      <formula>$F32="Direction"</formula>
    </cfRule>
    <cfRule type="expression" dxfId="15819" priority="24653">
      <formula>$F32="Ventes Sicli"</formula>
    </cfRule>
    <cfRule type="expression" dxfId="15818" priority="24654">
      <formula>$F32="Ventes Chubb"</formula>
    </cfRule>
    <cfRule type="expression" dxfId="15817" priority="24655">
      <formula>$F32="SAV Sicli"</formula>
    </cfRule>
    <cfRule type="expression" dxfId="15816" priority="24656">
      <formula>$F32="SAV Chubb"</formula>
    </cfRule>
    <cfRule type="expression" dxfId="15815" priority="24657">
      <formula>$F32="Réalisation"</formula>
    </cfRule>
    <cfRule type="expression" dxfId="15814" priority="24658">
      <formula>$F32="Désenfumage"</formula>
    </cfRule>
    <cfRule type="expression" dxfId="15813" priority="24659">
      <formula>$F32="Administratif"</formula>
    </cfRule>
  </conditionalFormatting>
  <conditionalFormatting sqref="D32">
    <cfRule type="expression" dxfId="15812" priority="24650">
      <formula>$H32="non"</formula>
    </cfRule>
  </conditionalFormatting>
  <conditionalFormatting sqref="D31">
    <cfRule type="expression" dxfId="15811" priority="24641">
      <formula>$F31="Formation CCF"</formula>
    </cfRule>
    <cfRule type="expression" dxfId="15810" priority="24642">
      <formula>$F31="Direction"</formula>
    </cfRule>
    <cfRule type="expression" dxfId="15809" priority="24643">
      <formula>$F31="Ventes Sicli"</formula>
    </cfRule>
    <cfRule type="expression" dxfId="15808" priority="24644">
      <formula>$F31="Ventes Chubb"</formula>
    </cfRule>
    <cfRule type="expression" dxfId="15807" priority="24645">
      <formula>$F31="SAV Sicli"</formula>
    </cfRule>
    <cfRule type="expression" dxfId="15806" priority="24646">
      <formula>$F31="SAV Chubb"</formula>
    </cfRule>
    <cfRule type="expression" dxfId="15805" priority="24647">
      <formula>$F31="Réalisation"</formula>
    </cfRule>
    <cfRule type="expression" dxfId="15804" priority="24648">
      <formula>$F31="Désenfumage"</formula>
    </cfRule>
    <cfRule type="expression" dxfId="15803" priority="24649">
      <formula>$F31="Administratif"</formula>
    </cfRule>
  </conditionalFormatting>
  <conditionalFormatting sqref="D31">
    <cfRule type="expression" dxfId="15802" priority="24640">
      <formula>$H31="non"</formula>
    </cfRule>
  </conditionalFormatting>
  <conditionalFormatting sqref="D33">
    <cfRule type="expression" dxfId="15801" priority="24631">
      <formula>$F33="Formation CCF"</formula>
    </cfRule>
    <cfRule type="expression" dxfId="15800" priority="24632">
      <formula>$F33="Direction"</formula>
    </cfRule>
    <cfRule type="expression" dxfId="15799" priority="24633">
      <formula>$F33="Ventes Sicli"</formula>
    </cfRule>
    <cfRule type="expression" dxfId="15798" priority="24634">
      <formula>$F33="Ventes Chubb"</formula>
    </cfRule>
    <cfRule type="expression" dxfId="15797" priority="24635">
      <formula>$F33="SAV Sicli"</formula>
    </cfRule>
    <cfRule type="expression" dxfId="15796" priority="24636">
      <formula>$F33="SAV Chubb"</formula>
    </cfRule>
    <cfRule type="expression" dxfId="15795" priority="24637">
      <formula>$F33="Réalisation"</formula>
    </cfRule>
    <cfRule type="expression" dxfId="15794" priority="24638">
      <formula>$F33="Désenfumage"</formula>
    </cfRule>
    <cfRule type="expression" dxfId="15793" priority="24639">
      <formula>$F33="Administratif"</formula>
    </cfRule>
  </conditionalFormatting>
  <conditionalFormatting sqref="D33">
    <cfRule type="expression" dxfId="15792" priority="24630">
      <formula>$H33="non"</formula>
    </cfRule>
  </conditionalFormatting>
  <conditionalFormatting sqref="D32">
    <cfRule type="expression" dxfId="15791" priority="24621">
      <formula>$F32="Formation CCF"</formula>
    </cfRule>
    <cfRule type="expression" dxfId="15790" priority="24622">
      <formula>$F32="Direction"</formula>
    </cfRule>
    <cfRule type="expression" dxfId="15789" priority="24623">
      <formula>$F32="Ventes Sicli"</formula>
    </cfRule>
    <cfRule type="expression" dxfId="15788" priority="24624">
      <formula>$F32="Ventes Chubb"</formula>
    </cfRule>
    <cfRule type="expression" dxfId="15787" priority="24625">
      <formula>$F32="SAV Sicli"</formula>
    </cfRule>
    <cfRule type="expression" dxfId="15786" priority="24626">
      <formula>$F32="SAV Chubb"</formula>
    </cfRule>
    <cfRule type="expression" dxfId="15785" priority="24627">
      <formula>$F32="Réalisation"</formula>
    </cfRule>
    <cfRule type="expression" dxfId="15784" priority="24628">
      <formula>$F32="Désenfumage"</formula>
    </cfRule>
    <cfRule type="expression" dxfId="15783" priority="24629">
      <formula>$F32="Administratif"</formula>
    </cfRule>
  </conditionalFormatting>
  <conditionalFormatting sqref="D32">
    <cfRule type="expression" dxfId="15782" priority="24620">
      <formula>$H32="non"</formula>
    </cfRule>
  </conditionalFormatting>
  <conditionalFormatting sqref="D33">
    <cfRule type="expression" dxfId="15781" priority="24611">
      <formula>$F33="Formation CCF"</formula>
    </cfRule>
    <cfRule type="expression" dxfId="15780" priority="24612">
      <formula>$F33="Direction"</formula>
    </cfRule>
    <cfRule type="expression" dxfId="15779" priority="24613">
      <formula>$F33="Ventes Sicli"</formula>
    </cfRule>
    <cfRule type="expression" dxfId="15778" priority="24614">
      <formula>$F33="Ventes Chubb"</formula>
    </cfRule>
    <cfRule type="expression" dxfId="15777" priority="24615">
      <formula>$F33="SAV Sicli"</formula>
    </cfRule>
    <cfRule type="expression" dxfId="15776" priority="24616">
      <formula>$F33="SAV Chubb"</formula>
    </cfRule>
    <cfRule type="expression" dxfId="15775" priority="24617">
      <formula>$F33="Réalisation"</formula>
    </cfRule>
    <cfRule type="expression" dxfId="15774" priority="24618">
      <formula>$F33="Désenfumage"</formula>
    </cfRule>
    <cfRule type="expression" dxfId="15773" priority="24619">
      <formula>$F33="Administratif"</formula>
    </cfRule>
  </conditionalFormatting>
  <conditionalFormatting sqref="D33">
    <cfRule type="expression" dxfId="15772" priority="24610">
      <formula>$H33="non"</formula>
    </cfRule>
  </conditionalFormatting>
  <conditionalFormatting sqref="D32">
    <cfRule type="expression" dxfId="15771" priority="24601">
      <formula>$F32="Formation CCF"</formula>
    </cfRule>
    <cfRule type="expression" dxfId="15770" priority="24602">
      <formula>$F32="Direction"</formula>
    </cfRule>
    <cfRule type="expression" dxfId="15769" priority="24603">
      <formula>$F32="Ventes Sicli"</formula>
    </cfRule>
    <cfRule type="expression" dxfId="15768" priority="24604">
      <formula>$F32="Ventes Chubb"</formula>
    </cfRule>
    <cfRule type="expression" dxfId="15767" priority="24605">
      <formula>$F32="SAV Sicli"</formula>
    </cfRule>
    <cfRule type="expression" dxfId="15766" priority="24606">
      <formula>$F32="SAV Chubb"</formula>
    </cfRule>
    <cfRule type="expression" dxfId="15765" priority="24607">
      <formula>$F32="Réalisation"</formula>
    </cfRule>
    <cfRule type="expression" dxfId="15764" priority="24608">
      <formula>$F32="Désenfumage"</formula>
    </cfRule>
    <cfRule type="expression" dxfId="15763" priority="24609">
      <formula>$F32="Administratif"</formula>
    </cfRule>
  </conditionalFormatting>
  <conditionalFormatting sqref="D32">
    <cfRule type="expression" dxfId="15762" priority="24600">
      <formula>$H32="non"</formula>
    </cfRule>
  </conditionalFormatting>
  <conditionalFormatting sqref="D31">
    <cfRule type="expression" dxfId="15761" priority="24591">
      <formula>$F31="Formation CCF"</formula>
    </cfRule>
    <cfRule type="expression" dxfId="15760" priority="24592">
      <formula>$F31="Direction"</formula>
    </cfRule>
    <cfRule type="expression" dxfId="15759" priority="24593">
      <formula>$F31="Ventes Sicli"</formula>
    </cfRule>
    <cfRule type="expression" dxfId="15758" priority="24594">
      <formula>$F31="Ventes Chubb"</formula>
    </cfRule>
    <cfRule type="expression" dxfId="15757" priority="24595">
      <formula>$F31="SAV Sicli"</formula>
    </cfRule>
    <cfRule type="expression" dxfId="15756" priority="24596">
      <formula>$F31="SAV Chubb"</formula>
    </cfRule>
    <cfRule type="expression" dxfId="15755" priority="24597">
      <formula>$F31="Réalisation"</formula>
    </cfRule>
    <cfRule type="expression" dxfId="15754" priority="24598">
      <formula>$F31="Désenfumage"</formula>
    </cfRule>
    <cfRule type="expression" dxfId="15753" priority="24599">
      <formula>$F31="Administratif"</formula>
    </cfRule>
  </conditionalFormatting>
  <conditionalFormatting sqref="D31">
    <cfRule type="expression" dxfId="15752" priority="24590">
      <formula>$H31="non"</formula>
    </cfRule>
  </conditionalFormatting>
  <conditionalFormatting sqref="D33">
    <cfRule type="expression" dxfId="15751" priority="24581">
      <formula>$F33="Formation CCF"</formula>
    </cfRule>
    <cfRule type="expression" dxfId="15750" priority="24582">
      <formula>$F33="Direction"</formula>
    </cfRule>
    <cfRule type="expression" dxfId="15749" priority="24583">
      <formula>$F33="Ventes Sicli"</formula>
    </cfRule>
    <cfRule type="expression" dxfId="15748" priority="24584">
      <formula>$F33="Ventes Chubb"</formula>
    </cfRule>
    <cfRule type="expression" dxfId="15747" priority="24585">
      <formula>$F33="SAV Sicli"</formula>
    </cfRule>
    <cfRule type="expression" dxfId="15746" priority="24586">
      <formula>$F33="SAV Chubb"</formula>
    </cfRule>
    <cfRule type="expression" dxfId="15745" priority="24587">
      <formula>$F33="Réalisation"</formula>
    </cfRule>
    <cfRule type="expression" dxfId="15744" priority="24588">
      <formula>$F33="Désenfumage"</formula>
    </cfRule>
    <cfRule type="expression" dxfId="15743" priority="24589">
      <formula>$F33="Administratif"</formula>
    </cfRule>
  </conditionalFormatting>
  <conditionalFormatting sqref="D33">
    <cfRule type="expression" dxfId="15742" priority="24580">
      <formula>$H33="non"</formula>
    </cfRule>
  </conditionalFormatting>
  <conditionalFormatting sqref="D32">
    <cfRule type="expression" dxfId="15741" priority="24571">
      <formula>$F32="Formation CCF"</formula>
    </cfRule>
    <cfRule type="expression" dxfId="15740" priority="24572">
      <formula>$F32="Direction"</formula>
    </cfRule>
    <cfRule type="expression" dxfId="15739" priority="24573">
      <formula>$F32="Ventes Sicli"</formula>
    </cfRule>
    <cfRule type="expression" dxfId="15738" priority="24574">
      <formula>$F32="Ventes Chubb"</formula>
    </cfRule>
    <cfRule type="expression" dxfId="15737" priority="24575">
      <formula>$F32="SAV Sicli"</formula>
    </cfRule>
    <cfRule type="expression" dxfId="15736" priority="24576">
      <formula>$F32="SAV Chubb"</formula>
    </cfRule>
    <cfRule type="expression" dxfId="15735" priority="24577">
      <formula>$F32="Réalisation"</formula>
    </cfRule>
    <cfRule type="expression" dxfId="15734" priority="24578">
      <formula>$F32="Désenfumage"</formula>
    </cfRule>
    <cfRule type="expression" dxfId="15733" priority="24579">
      <formula>$F32="Administratif"</formula>
    </cfRule>
  </conditionalFormatting>
  <conditionalFormatting sqref="D32">
    <cfRule type="expression" dxfId="15732" priority="24570">
      <formula>$H32="non"</formula>
    </cfRule>
  </conditionalFormatting>
  <conditionalFormatting sqref="D31">
    <cfRule type="expression" dxfId="15731" priority="24561">
      <formula>$F31="Formation CCF"</formula>
    </cfRule>
    <cfRule type="expression" dxfId="15730" priority="24562">
      <formula>$F31="Direction"</formula>
    </cfRule>
    <cfRule type="expression" dxfId="15729" priority="24563">
      <formula>$F31="Ventes Sicli"</formula>
    </cfRule>
    <cfRule type="expression" dxfId="15728" priority="24564">
      <formula>$F31="Ventes Chubb"</formula>
    </cfRule>
    <cfRule type="expression" dxfId="15727" priority="24565">
      <formula>$F31="SAV Sicli"</formula>
    </cfRule>
    <cfRule type="expression" dxfId="15726" priority="24566">
      <formula>$F31="SAV Chubb"</formula>
    </cfRule>
    <cfRule type="expression" dxfId="15725" priority="24567">
      <formula>$F31="Réalisation"</formula>
    </cfRule>
    <cfRule type="expression" dxfId="15724" priority="24568">
      <formula>$F31="Désenfumage"</formula>
    </cfRule>
    <cfRule type="expression" dxfId="15723" priority="24569">
      <formula>$F31="Administratif"</formula>
    </cfRule>
  </conditionalFormatting>
  <conditionalFormatting sqref="D31">
    <cfRule type="expression" dxfId="15722" priority="24560">
      <formula>$H31="non"</formula>
    </cfRule>
  </conditionalFormatting>
  <conditionalFormatting sqref="D31">
    <cfRule type="expression" dxfId="15721" priority="24551">
      <formula>$F31="Formation CCF"</formula>
    </cfRule>
    <cfRule type="expression" dxfId="15720" priority="24552">
      <formula>$F31="Direction"</formula>
    </cfRule>
    <cfRule type="expression" dxfId="15719" priority="24553">
      <formula>$F31="Ventes Sicli"</formula>
    </cfRule>
    <cfRule type="expression" dxfId="15718" priority="24554">
      <formula>$F31="Ventes Chubb"</formula>
    </cfRule>
    <cfRule type="expression" dxfId="15717" priority="24555">
      <formula>$F31="SAV Sicli"</formula>
    </cfRule>
    <cfRule type="expression" dxfId="15716" priority="24556">
      <formula>$F31="SAV Chubb"</formula>
    </cfRule>
    <cfRule type="expression" dxfId="15715" priority="24557">
      <formula>$F31="Réalisation"</formula>
    </cfRule>
    <cfRule type="expression" dxfId="15714" priority="24558">
      <formula>$F31="Désenfumage"</formula>
    </cfRule>
    <cfRule type="expression" dxfId="15713" priority="24559">
      <formula>$F31="Administratif"</formula>
    </cfRule>
  </conditionalFormatting>
  <conditionalFormatting sqref="D31">
    <cfRule type="expression" dxfId="15712" priority="24550">
      <formula>$H31="non"</formula>
    </cfRule>
  </conditionalFormatting>
  <conditionalFormatting sqref="D31">
    <cfRule type="expression" dxfId="15711" priority="24541">
      <formula>$F31="Formation CCF"</formula>
    </cfRule>
    <cfRule type="expression" dxfId="15710" priority="24542">
      <formula>$F31="Direction"</formula>
    </cfRule>
    <cfRule type="expression" dxfId="15709" priority="24543">
      <formula>$F31="Ventes Sicli"</formula>
    </cfRule>
    <cfRule type="expression" dxfId="15708" priority="24544">
      <formula>$F31="Ventes Chubb"</formula>
    </cfRule>
    <cfRule type="expression" dxfId="15707" priority="24545">
      <formula>$F31="SAV Sicli"</formula>
    </cfRule>
    <cfRule type="expression" dxfId="15706" priority="24546">
      <formula>$F31="SAV Chubb"</formula>
    </cfRule>
    <cfRule type="expression" dxfId="15705" priority="24547">
      <formula>$F31="Réalisation"</formula>
    </cfRule>
    <cfRule type="expression" dxfId="15704" priority="24548">
      <formula>$F31="Désenfumage"</formula>
    </cfRule>
    <cfRule type="expression" dxfId="15703" priority="24549">
      <formula>$F31="Administratif"</formula>
    </cfRule>
  </conditionalFormatting>
  <conditionalFormatting sqref="D31">
    <cfRule type="expression" dxfId="15702" priority="24540">
      <formula>$H31="non"</formula>
    </cfRule>
  </conditionalFormatting>
  <conditionalFormatting sqref="C33:D33">
    <cfRule type="expression" dxfId="15701" priority="24531">
      <formula>$F33="Formation CCF"</formula>
    </cfRule>
    <cfRule type="expression" dxfId="15700" priority="24532">
      <formula>$F33="Direction"</formula>
    </cfRule>
    <cfRule type="expression" dxfId="15699" priority="24533">
      <formula>$F33="Ventes Sicli"</formula>
    </cfRule>
    <cfRule type="expression" dxfId="15698" priority="24534">
      <formula>$F33="Ventes Chubb"</formula>
    </cfRule>
    <cfRule type="expression" dxfId="15697" priority="24535">
      <formula>$F33="SAV Sicli"</formula>
    </cfRule>
    <cfRule type="expression" dxfId="15696" priority="24536">
      <formula>$F33="SAV Chubb"</formula>
    </cfRule>
    <cfRule type="expression" dxfId="15695" priority="24537">
      <formula>$F33="Réalisation"</formula>
    </cfRule>
    <cfRule type="expression" dxfId="15694" priority="24538">
      <formula>$F33="Désenfumage"</formula>
    </cfRule>
    <cfRule type="expression" dxfId="15693" priority="24539">
      <formula>$F33="Administratif"</formula>
    </cfRule>
  </conditionalFormatting>
  <conditionalFormatting sqref="C33:D33">
    <cfRule type="expression" dxfId="15692" priority="24530">
      <formula>$H33="non"</formula>
    </cfRule>
  </conditionalFormatting>
  <conditionalFormatting sqref="D31">
    <cfRule type="expression" dxfId="15691" priority="24521">
      <formula>$F31="Formation CCF"</formula>
    </cfRule>
    <cfRule type="expression" dxfId="15690" priority="24522">
      <formula>$F31="Direction"</formula>
    </cfRule>
    <cfRule type="expression" dxfId="15689" priority="24523">
      <formula>$F31="Ventes Sicli"</formula>
    </cfRule>
    <cfRule type="expression" dxfId="15688" priority="24524">
      <formula>$F31="Ventes Chubb"</formula>
    </cfRule>
    <cfRule type="expression" dxfId="15687" priority="24525">
      <formula>$F31="SAV Sicli"</formula>
    </cfRule>
    <cfRule type="expression" dxfId="15686" priority="24526">
      <formula>$F31="SAV Chubb"</formula>
    </cfRule>
    <cfRule type="expression" dxfId="15685" priority="24527">
      <formula>$F31="Réalisation"</formula>
    </cfRule>
    <cfRule type="expression" dxfId="15684" priority="24528">
      <formula>$F31="Désenfumage"</formula>
    </cfRule>
    <cfRule type="expression" dxfId="15683" priority="24529">
      <formula>$F31="Administratif"</formula>
    </cfRule>
  </conditionalFormatting>
  <conditionalFormatting sqref="D31">
    <cfRule type="expression" dxfId="15682" priority="24520">
      <formula>$H31="non"</formula>
    </cfRule>
  </conditionalFormatting>
  <conditionalFormatting sqref="C33:D33">
    <cfRule type="expression" dxfId="15681" priority="24511">
      <formula>$F33="Formation CCF"</formula>
    </cfRule>
    <cfRule type="expression" dxfId="15680" priority="24512">
      <formula>$F33="Direction"</formula>
    </cfRule>
    <cfRule type="expression" dxfId="15679" priority="24513">
      <formula>$F33="Ventes Sicli"</formula>
    </cfRule>
    <cfRule type="expression" dxfId="15678" priority="24514">
      <formula>$F33="Ventes Chubb"</formula>
    </cfRule>
    <cfRule type="expression" dxfId="15677" priority="24515">
      <formula>$F33="SAV Sicli"</formula>
    </cfRule>
    <cfRule type="expression" dxfId="15676" priority="24516">
      <formula>$F33="SAV Chubb"</formula>
    </cfRule>
    <cfRule type="expression" dxfId="15675" priority="24517">
      <formula>$F33="Réalisation"</formula>
    </cfRule>
    <cfRule type="expression" dxfId="15674" priority="24518">
      <formula>$F33="Désenfumage"</formula>
    </cfRule>
    <cfRule type="expression" dxfId="15673" priority="24519">
      <formula>$F33="Administratif"</formula>
    </cfRule>
  </conditionalFormatting>
  <conditionalFormatting sqref="C33:D33">
    <cfRule type="expression" dxfId="15672" priority="24510">
      <formula>$H33="non"</formula>
    </cfRule>
  </conditionalFormatting>
  <conditionalFormatting sqref="C32:D32">
    <cfRule type="expression" dxfId="15671" priority="24501">
      <formula>$F32="Formation CCF"</formula>
    </cfRule>
    <cfRule type="expression" dxfId="15670" priority="24502">
      <formula>$F32="Direction"</formula>
    </cfRule>
    <cfRule type="expression" dxfId="15669" priority="24503">
      <formula>$F32="Ventes Sicli"</formula>
    </cfRule>
    <cfRule type="expression" dxfId="15668" priority="24504">
      <formula>$F32="Ventes Chubb"</formula>
    </cfRule>
    <cfRule type="expression" dxfId="15667" priority="24505">
      <formula>$F32="SAV Sicli"</formula>
    </cfRule>
    <cfRule type="expression" dxfId="15666" priority="24506">
      <formula>$F32="SAV Chubb"</formula>
    </cfRule>
    <cfRule type="expression" dxfId="15665" priority="24507">
      <formula>$F32="Réalisation"</formula>
    </cfRule>
    <cfRule type="expression" dxfId="15664" priority="24508">
      <formula>$F32="Désenfumage"</formula>
    </cfRule>
    <cfRule type="expression" dxfId="15663" priority="24509">
      <formula>$F32="Administratif"</formula>
    </cfRule>
  </conditionalFormatting>
  <conditionalFormatting sqref="C32:D32">
    <cfRule type="expression" dxfId="15662" priority="24500">
      <formula>$H32="non"</formula>
    </cfRule>
  </conditionalFormatting>
  <conditionalFormatting sqref="C33:D33">
    <cfRule type="expression" dxfId="15661" priority="24491">
      <formula>$F33="Formation CCF"</formula>
    </cfRule>
    <cfRule type="expression" dxfId="15660" priority="24492">
      <formula>$F33="Direction"</formula>
    </cfRule>
    <cfRule type="expression" dxfId="15659" priority="24493">
      <formula>$F33="Ventes Sicli"</formula>
    </cfRule>
    <cfRule type="expression" dxfId="15658" priority="24494">
      <formula>$F33="Ventes Chubb"</formula>
    </cfRule>
    <cfRule type="expression" dxfId="15657" priority="24495">
      <formula>$F33="SAV Sicli"</formula>
    </cfRule>
    <cfRule type="expression" dxfId="15656" priority="24496">
      <formula>$F33="SAV Chubb"</formula>
    </cfRule>
    <cfRule type="expression" dxfId="15655" priority="24497">
      <formula>$F33="Réalisation"</formula>
    </cfRule>
    <cfRule type="expression" dxfId="15654" priority="24498">
      <formula>$F33="Désenfumage"</formula>
    </cfRule>
    <cfRule type="expression" dxfId="15653" priority="24499">
      <formula>$F33="Administratif"</formula>
    </cfRule>
  </conditionalFormatting>
  <conditionalFormatting sqref="C33:D33">
    <cfRule type="expression" dxfId="15652" priority="24490">
      <formula>$H33="non"</formula>
    </cfRule>
  </conditionalFormatting>
  <conditionalFormatting sqref="C32:D32">
    <cfRule type="expression" dxfId="15651" priority="24481">
      <formula>$F32="Formation CCF"</formula>
    </cfRule>
    <cfRule type="expression" dxfId="15650" priority="24482">
      <formula>$F32="Direction"</formula>
    </cfRule>
    <cfRule type="expression" dxfId="15649" priority="24483">
      <formula>$F32="Ventes Sicli"</formula>
    </cfRule>
    <cfRule type="expression" dxfId="15648" priority="24484">
      <formula>$F32="Ventes Chubb"</formula>
    </cfRule>
    <cfRule type="expression" dxfId="15647" priority="24485">
      <formula>$F32="SAV Sicli"</formula>
    </cfRule>
    <cfRule type="expression" dxfId="15646" priority="24486">
      <formula>$F32="SAV Chubb"</formula>
    </cfRule>
    <cfRule type="expression" dxfId="15645" priority="24487">
      <formula>$F32="Réalisation"</formula>
    </cfRule>
    <cfRule type="expression" dxfId="15644" priority="24488">
      <formula>$F32="Désenfumage"</formula>
    </cfRule>
    <cfRule type="expression" dxfId="15643" priority="24489">
      <formula>$F32="Administratif"</formula>
    </cfRule>
  </conditionalFormatting>
  <conditionalFormatting sqref="C32:D32">
    <cfRule type="expression" dxfId="15642" priority="24480">
      <formula>$H32="non"</formula>
    </cfRule>
  </conditionalFormatting>
  <conditionalFormatting sqref="C33:D33">
    <cfRule type="expression" dxfId="15641" priority="24471">
      <formula>$F33="Formation CCF"</formula>
    </cfRule>
    <cfRule type="expression" dxfId="15640" priority="24472">
      <formula>$F33="Direction"</formula>
    </cfRule>
    <cfRule type="expression" dxfId="15639" priority="24473">
      <formula>$F33="Ventes Sicli"</formula>
    </cfRule>
    <cfRule type="expression" dxfId="15638" priority="24474">
      <formula>$F33="Ventes Chubb"</formula>
    </cfRule>
    <cfRule type="expression" dxfId="15637" priority="24475">
      <formula>$F33="SAV Sicli"</formula>
    </cfRule>
    <cfRule type="expression" dxfId="15636" priority="24476">
      <formula>$F33="SAV Chubb"</formula>
    </cfRule>
    <cfRule type="expression" dxfId="15635" priority="24477">
      <formula>$F33="Réalisation"</formula>
    </cfRule>
    <cfRule type="expression" dxfId="15634" priority="24478">
      <formula>$F33="Désenfumage"</formula>
    </cfRule>
    <cfRule type="expression" dxfId="15633" priority="24479">
      <formula>$F33="Administratif"</formula>
    </cfRule>
  </conditionalFormatting>
  <conditionalFormatting sqref="C33:D33">
    <cfRule type="expression" dxfId="15632" priority="24470">
      <formula>$H33="non"</formula>
    </cfRule>
  </conditionalFormatting>
  <conditionalFormatting sqref="C32:D32">
    <cfRule type="expression" dxfId="15631" priority="24461">
      <formula>$F32="Formation CCF"</formula>
    </cfRule>
    <cfRule type="expression" dxfId="15630" priority="24462">
      <formula>$F32="Direction"</formula>
    </cfRule>
    <cfRule type="expression" dxfId="15629" priority="24463">
      <formula>$F32="Ventes Sicli"</formula>
    </cfRule>
    <cfRule type="expression" dxfId="15628" priority="24464">
      <formula>$F32="Ventes Chubb"</formula>
    </cfRule>
    <cfRule type="expression" dxfId="15627" priority="24465">
      <formula>$F32="SAV Sicli"</formula>
    </cfRule>
    <cfRule type="expression" dxfId="15626" priority="24466">
      <formula>$F32="SAV Chubb"</formula>
    </cfRule>
    <cfRule type="expression" dxfId="15625" priority="24467">
      <formula>$F32="Réalisation"</formula>
    </cfRule>
    <cfRule type="expression" dxfId="15624" priority="24468">
      <formula>$F32="Désenfumage"</formula>
    </cfRule>
    <cfRule type="expression" dxfId="15623" priority="24469">
      <formula>$F32="Administratif"</formula>
    </cfRule>
  </conditionalFormatting>
  <conditionalFormatting sqref="C32:D32">
    <cfRule type="expression" dxfId="15622" priority="24460">
      <formula>$H32="non"</formula>
    </cfRule>
  </conditionalFormatting>
  <conditionalFormatting sqref="C31:D31">
    <cfRule type="expression" dxfId="15621" priority="24451">
      <formula>$F31="Formation CCF"</formula>
    </cfRule>
    <cfRule type="expression" dxfId="15620" priority="24452">
      <formula>$F31="Direction"</formula>
    </cfRule>
    <cfRule type="expression" dxfId="15619" priority="24453">
      <formula>$F31="Ventes Sicli"</formula>
    </cfRule>
    <cfRule type="expression" dxfId="15618" priority="24454">
      <formula>$F31="Ventes Chubb"</formula>
    </cfRule>
    <cfRule type="expression" dxfId="15617" priority="24455">
      <formula>$F31="SAV Sicli"</formula>
    </cfRule>
    <cfRule type="expression" dxfId="15616" priority="24456">
      <formula>$F31="SAV Chubb"</formula>
    </cfRule>
    <cfRule type="expression" dxfId="15615" priority="24457">
      <formula>$F31="Réalisation"</formula>
    </cfRule>
    <cfRule type="expression" dxfId="15614" priority="24458">
      <formula>$F31="Désenfumage"</formula>
    </cfRule>
    <cfRule type="expression" dxfId="15613" priority="24459">
      <formula>$F31="Administratif"</formula>
    </cfRule>
  </conditionalFormatting>
  <conditionalFormatting sqref="C31:D31">
    <cfRule type="expression" dxfId="15612" priority="24450">
      <formula>$H31="non"</formula>
    </cfRule>
  </conditionalFormatting>
  <conditionalFormatting sqref="D33">
    <cfRule type="expression" dxfId="15611" priority="24441">
      <formula>$F33="Formation CCF"</formula>
    </cfRule>
    <cfRule type="expression" dxfId="15610" priority="24442">
      <formula>$F33="Direction"</formula>
    </cfRule>
    <cfRule type="expression" dxfId="15609" priority="24443">
      <formula>$F33="Ventes Sicli"</formula>
    </cfRule>
    <cfRule type="expression" dxfId="15608" priority="24444">
      <formula>$F33="Ventes Chubb"</formula>
    </cfRule>
    <cfRule type="expression" dxfId="15607" priority="24445">
      <formula>$F33="SAV Sicli"</formula>
    </cfRule>
    <cfRule type="expression" dxfId="15606" priority="24446">
      <formula>$F33="SAV Chubb"</formula>
    </cfRule>
    <cfRule type="expression" dxfId="15605" priority="24447">
      <formula>$F33="Réalisation"</formula>
    </cfRule>
    <cfRule type="expression" dxfId="15604" priority="24448">
      <formula>$F33="Désenfumage"</formula>
    </cfRule>
    <cfRule type="expression" dxfId="15603" priority="24449">
      <formula>$F33="Administratif"</formula>
    </cfRule>
  </conditionalFormatting>
  <conditionalFormatting sqref="D33">
    <cfRule type="expression" dxfId="15602" priority="24440">
      <formula>$H33="non"</formula>
    </cfRule>
  </conditionalFormatting>
  <conditionalFormatting sqref="D32">
    <cfRule type="expression" dxfId="15601" priority="24431">
      <formula>$F32="Formation CCF"</formula>
    </cfRule>
    <cfRule type="expression" dxfId="15600" priority="24432">
      <formula>$F32="Direction"</formula>
    </cfRule>
    <cfRule type="expression" dxfId="15599" priority="24433">
      <formula>$F32="Ventes Sicli"</formula>
    </cfRule>
    <cfRule type="expression" dxfId="15598" priority="24434">
      <formula>$F32="Ventes Chubb"</formula>
    </cfRule>
    <cfRule type="expression" dxfId="15597" priority="24435">
      <formula>$F32="SAV Sicli"</formula>
    </cfRule>
    <cfRule type="expression" dxfId="15596" priority="24436">
      <formula>$F32="SAV Chubb"</formula>
    </cfRule>
    <cfRule type="expression" dxfId="15595" priority="24437">
      <formula>$F32="Réalisation"</formula>
    </cfRule>
    <cfRule type="expression" dxfId="15594" priority="24438">
      <formula>$F32="Désenfumage"</formula>
    </cfRule>
    <cfRule type="expression" dxfId="15593" priority="24439">
      <formula>$F32="Administratif"</formula>
    </cfRule>
  </conditionalFormatting>
  <conditionalFormatting sqref="D32">
    <cfRule type="expression" dxfId="15592" priority="24430">
      <formula>$H32="non"</formula>
    </cfRule>
  </conditionalFormatting>
  <conditionalFormatting sqref="C31">
    <cfRule type="expression" dxfId="15591" priority="24421">
      <formula>$F31="Formation CCF"</formula>
    </cfRule>
    <cfRule type="expression" dxfId="15590" priority="24422">
      <formula>$F31="Direction"</formula>
    </cfRule>
    <cfRule type="expression" dxfId="15589" priority="24423">
      <formula>$F31="Ventes Sicli"</formula>
    </cfRule>
    <cfRule type="expression" dxfId="15588" priority="24424">
      <formula>$F31="Ventes Chubb"</formula>
    </cfRule>
    <cfRule type="expression" dxfId="15587" priority="24425">
      <formula>$F31="SAV Sicli"</formula>
    </cfRule>
    <cfRule type="expression" dxfId="15586" priority="24426">
      <formula>$F31="SAV Chubb"</formula>
    </cfRule>
    <cfRule type="expression" dxfId="15585" priority="24427">
      <formula>$F31="Réalisation"</formula>
    </cfRule>
    <cfRule type="expression" dxfId="15584" priority="24428">
      <formula>$F31="Désenfumage"</formula>
    </cfRule>
    <cfRule type="expression" dxfId="15583" priority="24429">
      <formula>$F31="Administratif"</formula>
    </cfRule>
  </conditionalFormatting>
  <conditionalFormatting sqref="C31">
    <cfRule type="expression" dxfId="15582" priority="24420">
      <formula>$H31="non"</formula>
    </cfRule>
  </conditionalFormatting>
  <conditionalFormatting sqref="D31">
    <cfRule type="expression" dxfId="15581" priority="24411">
      <formula>$F31="Formation CCF"</formula>
    </cfRule>
    <cfRule type="expression" dxfId="15580" priority="24412">
      <formula>$F31="Direction"</formula>
    </cfRule>
    <cfRule type="expression" dxfId="15579" priority="24413">
      <formula>$F31="Ventes Sicli"</formula>
    </cfRule>
    <cfRule type="expression" dxfId="15578" priority="24414">
      <formula>$F31="Ventes Chubb"</formula>
    </cfRule>
    <cfRule type="expression" dxfId="15577" priority="24415">
      <formula>$F31="SAV Sicli"</formula>
    </cfRule>
    <cfRule type="expression" dxfId="15576" priority="24416">
      <formula>$F31="SAV Chubb"</formula>
    </cfRule>
    <cfRule type="expression" dxfId="15575" priority="24417">
      <formula>$F31="Réalisation"</formula>
    </cfRule>
    <cfRule type="expression" dxfId="15574" priority="24418">
      <formula>$F31="Désenfumage"</formula>
    </cfRule>
    <cfRule type="expression" dxfId="15573" priority="24419">
      <formula>$F31="Administratif"</formula>
    </cfRule>
  </conditionalFormatting>
  <conditionalFormatting sqref="D31">
    <cfRule type="expression" dxfId="15572" priority="24410">
      <formula>$H31="non"</formula>
    </cfRule>
  </conditionalFormatting>
  <conditionalFormatting sqref="D33">
    <cfRule type="expression" dxfId="15571" priority="24401">
      <formula>$F33="Formation CCF"</formula>
    </cfRule>
    <cfRule type="expression" dxfId="15570" priority="24402">
      <formula>$F33="Direction"</formula>
    </cfRule>
    <cfRule type="expression" dxfId="15569" priority="24403">
      <formula>$F33="Ventes Sicli"</formula>
    </cfRule>
    <cfRule type="expression" dxfId="15568" priority="24404">
      <formula>$F33="Ventes Chubb"</formula>
    </cfRule>
    <cfRule type="expression" dxfId="15567" priority="24405">
      <formula>$F33="SAV Sicli"</formula>
    </cfRule>
    <cfRule type="expression" dxfId="15566" priority="24406">
      <formula>$F33="SAV Chubb"</formula>
    </cfRule>
    <cfRule type="expression" dxfId="15565" priority="24407">
      <formula>$F33="Réalisation"</formula>
    </cfRule>
    <cfRule type="expression" dxfId="15564" priority="24408">
      <formula>$F33="Désenfumage"</formula>
    </cfRule>
    <cfRule type="expression" dxfId="15563" priority="24409">
      <formula>$F33="Administratif"</formula>
    </cfRule>
  </conditionalFormatting>
  <conditionalFormatting sqref="D33">
    <cfRule type="expression" dxfId="15562" priority="24400">
      <formula>$H33="non"</formula>
    </cfRule>
  </conditionalFormatting>
  <conditionalFormatting sqref="D32">
    <cfRule type="expression" dxfId="15561" priority="24391">
      <formula>$F32="Formation CCF"</formula>
    </cfRule>
    <cfRule type="expression" dxfId="15560" priority="24392">
      <formula>$F32="Direction"</formula>
    </cfRule>
    <cfRule type="expression" dxfId="15559" priority="24393">
      <formula>$F32="Ventes Sicli"</formula>
    </cfRule>
    <cfRule type="expression" dxfId="15558" priority="24394">
      <formula>$F32="Ventes Chubb"</formula>
    </cfRule>
    <cfRule type="expression" dxfId="15557" priority="24395">
      <formula>$F32="SAV Sicli"</formula>
    </cfRule>
    <cfRule type="expression" dxfId="15556" priority="24396">
      <formula>$F32="SAV Chubb"</formula>
    </cfRule>
    <cfRule type="expression" dxfId="15555" priority="24397">
      <formula>$F32="Réalisation"</formula>
    </cfRule>
    <cfRule type="expression" dxfId="15554" priority="24398">
      <formula>$F32="Désenfumage"</formula>
    </cfRule>
    <cfRule type="expression" dxfId="15553" priority="24399">
      <formula>$F32="Administratif"</formula>
    </cfRule>
  </conditionalFormatting>
  <conditionalFormatting sqref="D32">
    <cfRule type="expression" dxfId="15552" priority="24390">
      <formula>$H32="non"</formula>
    </cfRule>
  </conditionalFormatting>
  <conditionalFormatting sqref="D31">
    <cfRule type="expression" dxfId="15551" priority="24381">
      <formula>$F31="Formation CCF"</formula>
    </cfRule>
    <cfRule type="expression" dxfId="15550" priority="24382">
      <formula>$F31="Direction"</formula>
    </cfRule>
    <cfRule type="expression" dxfId="15549" priority="24383">
      <formula>$F31="Ventes Sicli"</formula>
    </cfRule>
    <cfRule type="expression" dxfId="15548" priority="24384">
      <formula>$F31="Ventes Chubb"</formula>
    </cfRule>
    <cfRule type="expression" dxfId="15547" priority="24385">
      <formula>$F31="SAV Sicli"</formula>
    </cfRule>
    <cfRule type="expression" dxfId="15546" priority="24386">
      <formula>$F31="SAV Chubb"</formula>
    </cfRule>
    <cfRule type="expression" dxfId="15545" priority="24387">
      <formula>$F31="Réalisation"</formula>
    </cfRule>
    <cfRule type="expression" dxfId="15544" priority="24388">
      <formula>$F31="Désenfumage"</formula>
    </cfRule>
    <cfRule type="expression" dxfId="15543" priority="24389">
      <formula>$F31="Administratif"</formula>
    </cfRule>
  </conditionalFormatting>
  <conditionalFormatting sqref="D31">
    <cfRule type="expression" dxfId="15542" priority="24380">
      <formula>$H31="non"</formula>
    </cfRule>
  </conditionalFormatting>
  <conditionalFormatting sqref="C30:D30">
    <cfRule type="expression" dxfId="15541" priority="24241">
      <formula>$F30="Formation CCF"</formula>
    </cfRule>
    <cfRule type="expression" dxfId="15540" priority="24242">
      <formula>$F30="Direction"</formula>
    </cfRule>
    <cfRule type="expression" dxfId="15539" priority="24243">
      <formula>$F30="Ventes Sicli"</formula>
    </cfRule>
    <cfRule type="expression" dxfId="15538" priority="24244">
      <formula>$F30="Ventes Chubb"</formula>
    </cfRule>
    <cfRule type="expression" dxfId="15537" priority="24245">
      <formula>$F30="SAV Sicli"</formula>
    </cfRule>
    <cfRule type="expression" dxfId="15536" priority="24246">
      <formula>$F30="SAV Chubb"</formula>
    </cfRule>
    <cfRule type="expression" dxfId="15535" priority="24247">
      <formula>$F30="Réalisation"</formula>
    </cfRule>
    <cfRule type="expression" dxfId="15534" priority="24248">
      <formula>$F30="Désenfumage"</formula>
    </cfRule>
    <cfRule type="expression" dxfId="15533" priority="24249">
      <formula>$F30="Administratif"</formula>
    </cfRule>
  </conditionalFormatting>
  <conditionalFormatting sqref="C30:D30">
    <cfRule type="expression" dxfId="15532" priority="24240">
      <formula>$H30="non"</formula>
    </cfRule>
  </conditionalFormatting>
  <conditionalFormatting sqref="C34:D35">
    <cfRule type="expression" dxfId="15531" priority="24231">
      <formula>$F34="Formation CCF"</formula>
    </cfRule>
    <cfRule type="expression" dxfId="15530" priority="24232">
      <formula>$F34="Direction"</formula>
    </cfRule>
    <cfRule type="expression" dxfId="15529" priority="24233">
      <formula>$F34="Ventes Sicli"</formula>
    </cfRule>
    <cfRule type="expression" dxfId="15528" priority="24234">
      <formula>$F34="Ventes Chubb"</formula>
    </cfRule>
    <cfRule type="expression" dxfId="15527" priority="24235">
      <formula>$F34="SAV Sicli"</formula>
    </cfRule>
    <cfRule type="expression" dxfId="15526" priority="24236">
      <formula>$F34="SAV Chubb"</formula>
    </cfRule>
    <cfRule type="expression" dxfId="15525" priority="24237">
      <formula>$F34="Réalisation"</formula>
    </cfRule>
    <cfRule type="expression" dxfId="15524" priority="24238">
      <formula>$F34="Désenfumage"</formula>
    </cfRule>
    <cfRule type="expression" dxfId="15523" priority="24239">
      <formula>$F34="Administratif"</formula>
    </cfRule>
  </conditionalFormatting>
  <conditionalFormatting sqref="C34:D35">
    <cfRule type="expression" dxfId="15522" priority="24230">
      <formula>$H34="non"</formula>
    </cfRule>
  </conditionalFormatting>
  <conditionalFormatting sqref="C34:D35">
    <cfRule type="expression" dxfId="15521" priority="24221">
      <formula>$F34="Formation CCF"</formula>
    </cfRule>
    <cfRule type="expression" dxfId="15520" priority="24222">
      <formula>$F34="Direction"</formula>
    </cfRule>
    <cfRule type="expression" dxfId="15519" priority="24223">
      <formula>$F34="Ventes Sicli"</formula>
    </cfRule>
    <cfRule type="expression" dxfId="15518" priority="24224">
      <formula>$F34="Ventes Chubb"</formula>
    </cfRule>
    <cfRule type="expression" dxfId="15517" priority="24225">
      <formula>$F34="SAV Sicli"</formula>
    </cfRule>
    <cfRule type="expression" dxfId="15516" priority="24226">
      <formula>$F34="SAV Chubb"</formula>
    </cfRule>
    <cfRule type="expression" dxfId="15515" priority="24227">
      <formula>$F34="Réalisation"</formula>
    </cfRule>
    <cfRule type="expression" dxfId="15514" priority="24228">
      <formula>$F34="Désenfumage"</formula>
    </cfRule>
    <cfRule type="expression" dxfId="15513" priority="24229">
      <formula>$F34="Administratif"</formula>
    </cfRule>
  </conditionalFormatting>
  <conditionalFormatting sqref="C34:D35">
    <cfRule type="expression" dxfId="15512" priority="24220">
      <formula>$H34="non"</formula>
    </cfRule>
  </conditionalFormatting>
  <conditionalFormatting sqref="D34">
    <cfRule type="expression" dxfId="15511" priority="24211">
      <formula>$F34="Formation CCF"</formula>
    </cfRule>
    <cfRule type="expression" dxfId="15510" priority="24212">
      <formula>$F34="Direction"</formula>
    </cfRule>
    <cfRule type="expression" dxfId="15509" priority="24213">
      <formula>$F34="Ventes Sicli"</formula>
    </cfRule>
    <cfRule type="expression" dxfId="15508" priority="24214">
      <formula>$F34="Ventes Chubb"</formula>
    </cfRule>
    <cfRule type="expression" dxfId="15507" priority="24215">
      <formula>$F34="SAV Sicli"</formula>
    </cfRule>
    <cfRule type="expression" dxfId="15506" priority="24216">
      <formula>$F34="SAV Chubb"</formula>
    </cfRule>
    <cfRule type="expression" dxfId="15505" priority="24217">
      <formula>$F34="Réalisation"</formula>
    </cfRule>
    <cfRule type="expression" dxfId="15504" priority="24218">
      <formula>$F34="Désenfumage"</formula>
    </cfRule>
    <cfRule type="expression" dxfId="15503" priority="24219">
      <formula>$F34="Administratif"</formula>
    </cfRule>
  </conditionalFormatting>
  <conditionalFormatting sqref="D34">
    <cfRule type="expression" dxfId="15502" priority="24210">
      <formula>$H34="non"</formula>
    </cfRule>
  </conditionalFormatting>
  <conditionalFormatting sqref="C35:D35">
    <cfRule type="expression" dxfId="15501" priority="24201">
      <formula>$F35="Formation CCF"</formula>
    </cfRule>
    <cfRule type="expression" dxfId="15500" priority="24202">
      <formula>$F35="Direction"</formula>
    </cfRule>
    <cfRule type="expression" dxfId="15499" priority="24203">
      <formula>$F35="Ventes Sicli"</formula>
    </cfRule>
    <cfRule type="expression" dxfId="15498" priority="24204">
      <formula>$F35="Ventes Chubb"</formula>
    </cfRule>
    <cfRule type="expression" dxfId="15497" priority="24205">
      <formula>$F35="SAV Sicli"</formula>
    </cfRule>
    <cfRule type="expression" dxfId="15496" priority="24206">
      <formula>$F35="SAV Chubb"</formula>
    </cfRule>
    <cfRule type="expression" dxfId="15495" priority="24207">
      <formula>$F35="Réalisation"</formula>
    </cfRule>
    <cfRule type="expression" dxfId="15494" priority="24208">
      <formula>$F35="Désenfumage"</formula>
    </cfRule>
    <cfRule type="expression" dxfId="15493" priority="24209">
      <formula>$F35="Administratif"</formula>
    </cfRule>
  </conditionalFormatting>
  <conditionalFormatting sqref="C35:D35">
    <cfRule type="expression" dxfId="15492" priority="24200">
      <formula>$H35="non"</formula>
    </cfRule>
  </conditionalFormatting>
  <conditionalFormatting sqref="C35:D35">
    <cfRule type="expression" dxfId="15491" priority="24191">
      <formula>$F35="Formation CCF"</formula>
    </cfRule>
    <cfRule type="expression" dxfId="15490" priority="24192">
      <formula>$F35="Direction"</formula>
    </cfRule>
    <cfRule type="expression" dxfId="15489" priority="24193">
      <formula>$F35="Ventes Sicli"</formula>
    </cfRule>
    <cfRule type="expression" dxfId="15488" priority="24194">
      <formula>$F35="Ventes Chubb"</formula>
    </cfRule>
    <cfRule type="expression" dxfId="15487" priority="24195">
      <formula>$F35="SAV Sicli"</formula>
    </cfRule>
    <cfRule type="expression" dxfId="15486" priority="24196">
      <formula>$F35="SAV Chubb"</formula>
    </cfRule>
    <cfRule type="expression" dxfId="15485" priority="24197">
      <formula>$F35="Réalisation"</formula>
    </cfRule>
    <cfRule type="expression" dxfId="15484" priority="24198">
      <formula>$F35="Désenfumage"</formula>
    </cfRule>
    <cfRule type="expression" dxfId="15483" priority="24199">
      <formula>$F35="Administratif"</formula>
    </cfRule>
  </conditionalFormatting>
  <conditionalFormatting sqref="C35:D35">
    <cfRule type="expression" dxfId="15482" priority="24190">
      <formula>$H35="non"</formula>
    </cfRule>
  </conditionalFormatting>
  <conditionalFormatting sqref="C35:D35">
    <cfRule type="expression" dxfId="15481" priority="24181">
      <formula>$F35="Formation CCF"</formula>
    </cfRule>
    <cfRule type="expression" dxfId="15480" priority="24182">
      <formula>$F35="Direction"</formula>
    </cfRule>
    <cfRule type="expression" dxfId="15479" priority="24183">
      <formula>$F35="Ventes Sicli"</formula>
    </cfRule>
    <cfRule type="expression" dxfId="15478" priority="24184">
      <formula>$F35="Ventes Chubb"</formula>
    </cfRule>
    <cfRule type="expression" dxfId="15477" priority="24185">
      <formula>$F35="SAV Sicli"</formula>
    </cfRule>
    <cfRule type="expression" dxfId="15476" priority="24186">
      <formula>$F35="SAV Chubb"</formula>
    </cfRule>
    <cfRule type="expression" dxfId="15475" priority="24187">
      <formula>$F35="Réalisation"</formula>
    </cfRule>
    <cfRule type="expression" dxfId="15474" priority="24188">
      <formula>$F35="Désenfumage"</formula>
    </cfRule>
    <cfRule type="expression" dxfId="15473" priority="24189">
      <formula>$F35="Administratif"</formula>
    </cfRule>
  </conditionalFormatting>
  <conditionalFormatting sqref="C35:D35">
    <cfRule type="expression" dxfId="15472" priority="24180">
      <formula>$H35="non"</formula>
    </cfRule>
  </conditionalFormatting>
  <conditionalFormatting sqref="C34:D34">
    <cfRule type="expression" dxfId="15471" priority="24171">
      <formula>$F34="Formation CCF"</formula>
    </cfRule>
    <cfRule type="expression" dxfId="15470" priority="24172">
      <formula>$F34="Direction"</formula>
    </cfRule>
    <cfRule type="expression" dxfId="15469" priority="24173">
      <formula>$F34="Ventes Sicli"</formula>
    </cfRule>
    <cfRule type="expression" dxfId="15468" priority="24174">
      <formula>$F34="Ventes Chubb"</formula>
    </cfRule>
    <cfRule type="expression" dxfId="15467" priority="24175">
      <formula>$F34="SAV Sicli"</formula>
    </cfRule>
    <cfRule type="expression" dxfId="15466" priority="24176">
      <formula>$F34="SAV Chubb"</formula>
    </cfRule>
    <cfRule type="expression" dxfId="15465" priority="24177">
      <formula>$F34="Réalisation"</formula>
    </cfRule>
    <cfRule type="expression" dxfId="15464" priority="24178">
      <formula>$F34="Désenfumage"</formula>
    </cfRule>
    <cfRule type="expression" dxfId="15463" priority="24179">
      <formula>$F34="Administratif"</formula>
    </cfRule>
  </conditionalFormatting>
  <conditionalFormatting sqref="C34:D34">
    <cfRule type="expression" dxfId="15462" priority="24170">
      <formula>$H34="non"</formula>
    </cfRule>
  </conditionalFormatting>
  <conditionalFormatting sqref="D35">
    <cfRule type="expression" dxfId="15461" priority="24161">
      <formula>$F35="Formation CCF"</formula>
    </cfRule>
    <cfRule type="expression" dxfId="15460" priority="24162">
      <formula>$F35="Direction"</formula>
    </cfRule>
    <cfRule type="expression" dxfId="15459" priority="24163">
      <formula>$F35="Ventes Sicli"</formula>
    </cfRule>
    <cfRule type="expression" dxfId="15458" priority="24164">
      <formula>$F35="Ventes Chubb"</formula>
    </cfRule>
    <cfRule type="expression" dxfId="15457" priority="24165">
      <formula>$F35="SAV Sicli"</formula>
    </cfRule>
    <cfRule type="expression" dxfId="15456" priority="24166">
      <formula>$F35="SAV Chubb"</formula>
    </cfRule>
    <cfRule type="expression" dxfId="15455" priority="24167">
      <formula>$F35="Réalisation"</formula>
    </cfRule>
    <cfRule type="expression" dxfId="15454" priority="24168">
      <formula>$F35="Désenfumage"</formula>
    </cfRule>
    <cfRule type="expression" dxfId="15453" priority="24169">
      <formula>$F35="Administratif"</formula>
    </cfRule>
  </conditionalFormatting>
  <conditionalFormatting sqref="D35">
    <cfRule type="expression" dxfId="15452" priority="24160">
      <formula>$H35="non"</formula>
    </cfRule>
  </conditionalFormatting>
  <conditionalFormatting sqref="C34">
    <cfRule type="expression" dxfId="15451" priority="24151">
      <formula>$F34="Formation CCF"</formula>
    </cfRule>
    <cfRule type="expression" dxfId="15450" priority="24152">
      <formula>$F34="Direction"</formula>
    </cfRule>
    <cfRule type="expression" dxfId="15449" priority="24153">
      <formula>$F34="Ventes Sicli"</formula>
    </cfRule>
    <cfRule type="expression" dxfId="15448" priority="24154">
      <formula>$F34="Ventes Chubb"</formula>
    </cfRule>
    <cfRule type="expression" dxfId="15447" priority="24155">
      <formula>$F34="SAV Sicli"</formula>
    </cfRule>
    <cfRule type="expression" dxfId="15446" priority="24156">
      <formula>$F34="SAV Chubb"</formula>
    </cfRule>
    <cfRule type="expression" dxfId="15445" priority="24157">
      <formula>$F34="Réalisation"</formula>
    </cfRule>
    <cfRule type="expression" dxfId="15444" priority="24158">
      <formula>$F34="Désenfumage"</formula>
    </cfRule>
    <cfRule type="expression" dxfId="15443" priority="24159">
      <formula>$F34="Administratif"</formula>
    </cfRule>
  </conditionalFormatting>
  <conditionalFormatting sqref="C34">
    <cfRule type="expression" dxfId="15442" priority="24150">
      <formula>$H34="non"</formula>
    </cfRule>
  </conditionalFormatting>
  <conditionalFormatting sqref="D34">
    <cfRule type="expression" dxfId="15441" priority="24141">
      <formula>$F34="Formation CCF"</formula>
    </cfRule>
    <cfRule type="expression" dxfId="15440" priority="24142">
      <formula>$F34="Direction"</formula>
    </cfRule>
    <cfRule type="expression" dxfId="15439" priority="24143">
      <formula>$F34="Ventes Sicli"</formula>
    </cfRule>
    <cfRule type="expression" dxfId="15438" priority="24144">
      <formula>$F34="Ventes Chubb"</formula>
    </cfRule>
    <cfRule type="expression" dxfId="15437" priority="24145">
      <formula>$F34="SAV Sicli"</formula>
    </cfRule>
    <cfRule type="expression" dxfId="15436" priority="24146">
      <formula>$F34="SAV Chubb"</formula>
    </cfRule>
    <cfRule type="expression" dxfId="15435" priority="24147">
      <formula>$F34="Réalisation"</formula>
    </cfRule>
    <cfRule type="expression" dxfId="15434" priority="24148">
      <formula>$F34="Désenfumage"</formula>
    </cfRule>
    <cfRule type="expression" dxfId="15433" priority="24149">
      <formula>$F34="Administratif"</formula>
    </cfRule>
  </conditionalFormatting>
  <conditionalFormatting sqref="D34">
    <cfRule type="expression" dxfId="15432" priority="24140">
      <formula>$H34="non"</formula>
    </cfRule>
  </conditionalFormatting>
  <conditionalFormatting sqref="D35">
    <cfRule type="expression" dxfId="15431" priority="24131">
      <formula>$F35="Formation CCF"</formula>
    </cfRule>
    <cfRule type="expression" dxfId="15430" priority="24132">
      <formula>$F35="Direction"</formula>
    </cfRule>
    <cfRule type="expression" dxfId="15429" priority="24133">
      <formula>$F35="Ventes Sicli"</formula>
    </cfRule>
    <cfRule type="expression" dxfId="15428" priority="24134">
      <formula>$F35="Ventes Chubb"</formula>
    </cfRule>
    <cfRule type="expression" dxfId="15427" priority="24135">
      <formula>$F35="SAV Sicli"</formula>
    </cfRule>
    <cfRule type="expression" dxfId="15426" priority="24136">
      <formula>$F35="SAV Chubb"</formula>
    </cfRule>
    <cfRule type="expression" dxfId="15425" priority="24137">
      <formula>$F35="Réalisation"</formula>
    </cfRule>
    <cfRule type="expression" dxfId="15424" priority="24138">
      <formula>$F35="Désenfumage"</formula>
    </cfRule>
    <cfRule type="expression" dxfId="15423" priority="24139">
      <formula>$F35="Administratif"</formula>
    </cfRule>
  </conditionalFormatting>
  <conditionalFormatting sqref="D35">
    <cfRule type="expression" dxfId="15422" priority="24130">
      <formula>$H35="non"</formula>
    </cfRule>
  </conditionalFormatting>
  <conditionalFormatting sqref="D34">
    <cfRule type="expression" dxfId="15421" priority="24121">
      <formula>$F34="Formation CCF"</formula>
    </cfRule>
    <cfRule type="expression" dxfId="15420" priority="24122">
      <formula>$F34="Direction"</formula>
    </cfRule>
    <cfRule type="expression" dxfId="15419" priority="24123">
      <formula>$F34="Ventes Sicli"</formula>
    </cfRule>
    <cfRule type="expression" dxfId="15418" priority="24124">
      <formula>$F34="Ventes Chubb"</formula>
    </cfRule>
    <cfRule type="expression" dxfId="15417" priority="24125">
      <formula>$F34="SAV Sicli"</formula>
    </cfRule>
    <cfRule type="expression" dxfId="15416" priority="24126">
      <formula>$F34="SAV Chubb"</formula>
    </cfRule>
    <cfRule type="expression" dxfId="15415" priority="24127">
      <formula>$F34="Réalisation"</formula>
    </cfRule>
    <cfRule type="expression" dxfId="15414" priority="24128">
      <formula>$F34="Désenfumage"</formula>
    </cfRule>
    <cfRule type="expression" dxfId="15413" priority="24129">
      <formula>$F34="Administratif"</formula>
    </cfRule>
  </conditionalFormatting>
  <conditionalFormatting sqref="D34">
    <cfRule type="expression" dxfId="15412" priority="24120">
      <formula>$H34="non"</formula>
    </cfRule>
  </conditionalFormatting>
  <conditionalFormatting sqref="D35">
    <cfRule type="expression" dxfId="15411" priority="24111">
      <formula>$F35="Formation CCF"</formula>
    </cfRule>
    <cfRule type="expression" dxfId="15410" priority="24112">
      <formula>$F35="Direction"</formula>
    </cfRule>
    <cfRule type="expression" dxfId="15409" priority="24113">
      <formula>$F35="Ventes Sicli"</formula>
    </cfRule>
    <cfRule type="expression" dxfId="15408" priority="24114">
      <formula>$F35="Ventes Chubb"</formula>
    </cfRule>
    <cfRule type="expression" dxfId="15407" priority="24115">
      <formula>$F35="SAV Sicli"</formula>
    </cfRule>
    <cfRule type="expression" dxfId="15406" priority="24116">
      <formula>$F35="SAV Chubb"</formula>
    </cfRule>
    <cfRule type="expression" dxfId="15405" priority="24117">
      <formula>$F35="Réalisation"</formula>
    </cfRule>
    <cfRule type="expression" dxfId="15404" priority="24118">
      <formula>$F35="Désenfumage"</formula>
    </cfRule>
    <cfRule type="expression" dxfId="15403" priority="24119">
      <formula>$F35="Administratif"</formula>
    </cfRule>
  </conditionalFormatting>
  <conditionalFormatting sqref="D35">
    <cfRule type="expression" dxfId="15402" priority="24110">
      <formula>$H35="non"</formula>
    </cfRule>
  </conditionalFormatting>
  <conditionalFormatting sqref="D34">
    <cfRule type="expression" dxfId="15401" priority="24101">
      <formula>$F34="Formation CCF"</formula>
    </cfRule>
    <cfRule type="expression" dxfId="15400" priority="24102">
      <formula>$F34="Direction"</formula>
    </cfRule>
    <cfRule type="expression" dxfId="15399" priority="24103">
      <formula>$F34="Ventes Sicli"</formula>
    </cfRule>
    <cfRule type="expression" dxfId="15398" priority="24104">
      <formula>$F34="Ventes Chubb"</formula>
    </cfRule>
    <cfRule type="expression" dxfId="15397" priority="24105">
      <formula>$F34="SAV Sicli"</formula>
    </cfRule>
    <cfRule type="expression" dxfId="15396" priority="24106">
      <formula>$F34="SAV Chubb"</formula>
    </cfRule>
    <cfRule type="expression" dxfId="15395" priority="24107">
      <formula>$F34="Réalisation"</formula>
    </cfRule>
    <cfRule type="expression" dxfId="15394" priority="24108">
      <formula>$F34="Désenfumage"</formula>
    </cfRule>
    <cfRule type="expression" dxfId="15393" priority="24109">
      <formula>$F34="Administratif"</formula>
    </cfRule>
  </conditionalFormatting>
  <conditionalFormatting sqref="D34">
    <cfRule type="expression" dxfId="15392" priority="24100">
      <formula>$H34="non"</formula>
    </cfRule>
  </conditionalFormatting>
  <conditionalFormatting sqref="D35">
    <cfRule type="expression" dxfId="15391" priority="24091">
      <formula>$F35="Formation CCF"</formula>
    </cfRule>
    <cfRule type="expression" dxfId="15390" priority="24092">
      <formula>$F35="Direction"</formula>
    </cfRule>
    <cfRule type="expression" dxfId="15389" priority="24093">
      <formula>$F35="Ventes Sicli"</formula>
    </cfRule>
    <cfRule type="expression" dxfId="15388" priority="24094">
      <formula>$F35="Ventes Chubb"</formula>
    </cfRule>
    <cfRule type="expression" dxfId="15387" priority="24095">
      <formula>$F35="SAV Sicli"</formula>
    </cfRule>
    <cfRule type="expression" dxfId="15386" priority="24096">
      <formula>$F35="SAV Chubb"</formula>
    </cfRule>
    <cfRule type="expression" dxfId="15385" priority="24097">
      <formula>$F35="Réalisation"</formula>
    </cfRule>
    <cfRule type="expression" dxfId="15384" priority="24098">
      <formula>$F35="Désenfumage"</formula>
    </cfRule>
    <cfRule type="expression" dxfId="15383" priority="24099">
      <formula>$F35="Administratif"</formula>
    </cfRule>
  </conditionalFormatting>
  <conditionalFormatting sqref="D35">
    <cfRule type="expression" dxfId="15382" priority="24090">
      <formula>$H35="non"</formula>
    </cfRule>
  </conditionalFormatting>
  <conditionalFormatting sqref="D34">
    <cfRule type="expression" dxfId="15381" priority="24081">
      <formula>$F34="Formation CCF"</formula>
    </cfRule>
    <cfRule type="expression" dxfId="15380" priority="24082">
      <formula>$F34="Direction"</formula>
    </cfRule>
    <cfRule type="expression" dxfId="15379" priority="24083">
      <formula>$F34="Ventes Sicli"</formula>
    </cfRule>
    <cfRule type="expression" dxfId="15378" priority="24084">
      <formula>$F34="Ventes Chubb"</formula>
    </cfRule>
    <cfRule type="expression" dxfId="15377" priority="24085">
      <formula>$F34="SAV Sicli"</formula>
    </cfRule>
    <cfRule type="expression" dxfId="15376" priority="24086">
      <formula>$F34="SAV Chubb"</formula>
    </cfRule>
    <cfRule type="expression" dxfId="15375" priority="24087">
      <formula>$F34="Réalisation"</formula>
    </cfRule>
    <cfRule type="expression" dxfId="15374" priority="24088">
      <formula>$F34="Désenfumage"</formula>
    </cfRule>
    <cfRule type="expression" dxfId="15373" priority="24089">
      <formula>$F34="Administratif"</formula>
    </cfRule>
  </conditionalFormatting>
  <conditionalFormatting sqref="D34">
    <cfRule type="expression" dxfId="15372" priority="24080">
      <formula>$H34="non"</formula>
    </cfRule>
  </conditionalFormatting>
  <conditionalFormatting sqref="D35">
    <cfRule type="expression" dxfId="15371" priority="24071">
      <formula>$F35="Formation CCF"</formula>
    </cfRule>
    <cfRule type="expression" dxfId="15370" priority="24072">
      <formula>$F35="Direction"</formula>
    </cfRule>
    <cfRule type="expression" dxfId="15369" priority="24073">
      <formula>$F35="Ventes Sicli"</formula>
    </cfRule>
    <cfRule type="expression" dxfId="15368" priority="24074">
      <formula>$F35="Ventes Chubb"</formula>
    </cfRule>
    <cfRule type="expression" dxfId="15367" priority="24075">
      <formula>$F35="SAV Sicli"</formula>
    </cfRule>
    <cfRule type="expression" dxfId="15366" priority="24076">
      <formula>$F35="SAV Chubb"</formula>
    </cfRule>
    <cfRule type="expression" dxfId="15365" priority="24077">
      <formula>$F35="Réalisation"</formula>
    </cfRule>
    <cfRule type="expression" dxfId="15364" priority="24078">
      <formula>$F35="Désenfumage"</formula>
    </cfRule>
    <cfRule type="expression" dxfId="15363" priority="24079">
      <formula>$F35="Administratif"</formula>
    </cfRule>
  </conditionalFormatting>
  <conditionalFormatting sqref="D35">
    <cfRule type="expression" dxfId="15362" priority="24070">
      <formula>$H35="non"</formula>
    </cfRule>
  </conditionalFormatting>
  <conditionalFormatting sqref="D34">
    <cfRule type="expression" dxfId="15361" priority="24061">
      <formula>$F34="Formation CCF"</formula>
    </cfRule>
    <cfRule type="expression" dxfId="15360" priority="24062">
      <formula>$F34="Direction"</formula>
    </cfRule>
    <cfRule type="expression" dxfId="15359" priority="24063">
      <formula>$F34="Ventes Sicli"</formula>
    </cfRule>
    <cfRule type="expression" dxfId="15358" priority="24064">
      <formula>$F34="Ventes Chubb"</formula>
    </cfRule>
    <cfRule type="expression" dxfId="15357" priority="24065">
      <formula>$F34="SAV Sicli"</formula>
    </cfRule>
    <cfRule type="expression" dxfId="15356" priority="24066">
      <formula>$F34="SAV Chubb"</formula>
    </cfRule>
    <cfRule type="expression" dxfId="15355" priority="24067">
      <formula>$F34="Réalisation"</formula>
    </cfRule>
    <cfRule type="expression" dxfId="15354" priority="24068">
      <formula>$F34="Désenfumage"</formula>
    </cfRule>
    <cfRule type="expression" dxfId="15353" priority="24069">
      <formula>$F34="Administratif"</formula>
    </cfRule>
  </conditionalFormatting>
  <conditionalFormatting sqref="D34">
    <cfRule type="expression" dxfId="15352" priority="24060">
      <formula>$H34="non"</formula>
    </cfRule>
  </conditionalFormatting>
  <conditionalFormatting sqref="D35">
    <cfRule type="expression" dxfId="15351" priority="24051">
      <formula>$F35="Formation CCF"</formula>
    </cfRule>
    <cfRule type="expression" dxfId="15350" priority="24052">
      <formula>$F35="Direction"</formula>
    </cfRule>
    <cfRule type="expression" dxfId="15349" priority="24053">
      <formula>$F35="Ventes Sicli"</formula>
    </cfRule>
    <cfRule type="expression" dxfId="15348" priority="24054">
      <formula>$F35="Ventes Chubb"</formula>
    </cfRule>
    <cfRule type="expression" dxfId="15347" priority="24055">
      <formula>$F35="SAV Sicli"</formula>
    </cfRule>
    <cfRule type="expression" dxfId="15346" priority="24056">
      <formula>$F35="SAV Chubb"</formula>
    </cfRule>
    <cfRule type="expression" dxfId="15345" priority="24057">
      <formula>$F35="Réalisation"</formula>
    </cfRule>
    <cfRule type="expression" dxfId="15344" priority="24058">
      <formula>$F35="Désenfumage"</formula>
    </cfRule>
    <cfRule type="expression" dxfId="15343" priority="24059">
      <formula>$F35="Administratif"</formula>
    </cfRule>
  </conditionalFormatting>
  <conditionalFormatting sqref="D35">
    <cfRule type="expression" dxfId="15342" priority="24050">
      <formula>$H35="non"</formula>
    </cfRule>
  </conditionalFormatting>
  <conditionalFormatting sqref="D34">
    <cfRule type="expression" dxfId="15341" priority="24041">
      <formula>$F34="Formation CCF"</formula>
    </cfRule>
    <cfRule type="expression" dxfId="15340" priority="24042">
      <formula>$F34="Direction"</formula>
    </cfRule>
    <cfRule type="expression" dxfId="15339" priority="24043">
      <formula>$F34="Ventes Sicli"</formula>
    </cfRule>
    <cfRule type="expression" dxfId="15338" priority="24044">
      <formula>$F34="Ventes Chubb"</formula>
    </cfRule>
    <cfRule type="expression" dxfId="15337" priority="24045">
      <formula>$F34="SAV Sicli"</formula>
    </cfRule>
    <cfRule type="expression" dxfId="15336" priority="24046">
      <formula>$F34="SAV Chubb"</formula>
    </cfRule>
    <cfRule type="expression" dxfId="15335" priority="24047">
      <formula>$F34="Réalisation"</formula>
    </cfRule>
    <cfRule type="expression" dxfId="15334" priority="24048">
      <formula>$F34="Désenfumage"</formula>
    </cfRule>
    <cfRule type="expression" dxfId="15333" priority="24049">
      <formula>$F34="Administratif"</formula>
    </cfRule>
  </conditionalFormatting>
  <conditionalFormatting sqref="D34">
    <cfRule type="expression" dxfId="15332" priority="24040">
      <formula>$H34="non"</formula>
    </cfRule>
  </conditionalFormatting>
  <conditionalFormatting sqref="D35">
    <cfRule type="expression" dxfId="15331" priority="24031">
      <formula>$F35="Formation CCF"</formula>
    </cfRule>
    <cfRule type="expression" dxfId="15330" priority="24032">
      <formula>$F35="Direction"</formula>
    </cfRule>
    <cfRule type="expression" dxfId="15329" priority="24033">
      <formula>$F35="Ventes Sicli"</formula>
    </cfRule>
    <cfRule type="expression" dxfId="15328" priority="24034">
      <formula>$F35="Ventes Chubb"</formula>
    </cfRule>
    <cfRule type="expression" dxfId="15327" priority="24035">
      <formula>$F35="SAV Sicli"</formula>
    </cfRule>
    <cfRule type="expression" dxfId="15326" priority="24036">
      <formula>$F35="SAV Chubb"</formula>
    </cfRule>
    <cfRule type="expression" dxfId="15325" priority="24037">
      <formula>$F35="Réalisation"</formula>
    </cfRule>
    <cfRule type="expression" dxfId="15324" priority="24038">
      <formula>$F35="Désenfumage"</formula>
    </cfRule>
    <cfRule type="expression" dxfId="15323" priority="24039">
      <formula>$F35="Administratif"</formula>
    </cfRule>
  </conditionalFormatting>
  <conditionalFormatting sqref="D35">
    <cfRule type="expression" dxfId="15322" priority="24030">
      <formula>$H35="non"</formula>
    </cfRule>
  </conditionalFormatting>
  <conditionalFormatting sqref="D34">
    <cfRule type="expression" dxfId="15321" priority="24021">
      <formula>$F34="Formation CCF"</formula>
    </cfRule>
    <cfRule type="expression" dxfId="15320" priority="24022">
      <formula>$F34="Direction"</formula>
    </cfRule>
    <cfRule type="expression" dxfId="15319" priority="24023">
      <formula>$F34="Ventes Sicli"</formula>
    </cfRule>
    <cfRule type="expression" dxfId="15318" priority="24024">
      <formula>$F34="Ventes Chubb"</formula>
    </cfRule>
    <cfRule type="expression" dxfId="15317" priority="24025">
      <formula>$F34="SAV Sicli"</formula>
    </cfRule>
    <cfRule type="expression" dxfId="15316" priority="24026">
      <formula>$F34="SAV Chubb"</formula>
    </cfRule>
    <cfRule type="expression" dxfId="15315" priority="24027">
      <formula>$F34="Réalisation"</formula>
    </cfRule>
    <cfRule type="expression" dxfId="15314" priority="24028">
      <formula>$F34="Désenfumage"</formula>
    </cfRule>
    <cfRule type="expression" dxfId="15313" priority="24029">
      <formula>$F34="Administratif"</formula>
    </cfRule>
  </conditionalFormatting>
  <conditionalFormatting sqref="D34">
    <cfRule type="expression" dxfId="15312" priority="24020">
      <formula>$H34="non"</formula>
    </cfRule>
  </conditionalFormatting>
  <conditionalFormatting sqref="D35">
    <cfRule type="expression" dxfId="15311" priority="24011">
      <formula>$F35="Formation CCF"</formula>
    </cfRule>
    <cfRule type="expression" dxfId="15310" priority="24012">
      <formula>$F35="Direction"</formula>
    </cfRule>
    <cfRule type="expression" dxfId="15309" priority="24013">
      <formula>$F35="Ventes Sicli"</formula>
    </cfRule>
    <cfRule type="expression" dxfId="15308" priority="24014">
      <formula>$F35="Ventes Chubb"</formula>
    </cfRule>
    <cfRule type="expression" dxfId="15307" priority="24015">
      <formula>$F35="SAV Sicli"</formula>
    </cfRule>
    <cfRule type="expression" dxfId="15306" priority="24016">
      <formula>$F35="SAV Chubb"</formula>
    </cfRule>
    <cfRule type="expression" dxfId="15305" priority="24017">
      <formula>$F35="Réalisation"</formula>
    </cfRule>
    <cfRule type="expression" dxfId="15304" priority="24018">
      <formula>$F35="Désenfumage"</formula>
    </cfRule>
    <cfRule type="expression" dxfId="15303" priority="24019">
      <formula>$F35="Administratif"</formula>
    </cfRule>
  </conditionalFormatting>
  <conditionalFormatting sqref="D35">
    <cfRule type="expression" dxfId="15302" priority="24010">
      <formula>$H35="non"</formula>
    </cfRule>
  </conditionalFormatting>
  <conditionalFormatting sqref="D34">
    <cfRule type="expression" dxfId="15301" priority="24001">
      <formula>$F34="Formation CCF"</formula>
    </cfRule>
    <cfRule type="expression" dxfId="15300" priority="24002">
      <formula>$F34="Direction"</formula>
    </cfRule>
    <cfRule type="expression" dxfId="15299" priority="24003">
      <formula>$F34="Ventes Sicli"</formula>
    </cfRule>
    <cfRule type="expression" dxfId="15298" priority="24004">
      <formula>$F34="Ventes Chubb"</formula>
    </cfRule>
    <cfRule type="expression" dxfId="15297" priority="24005">
      <formula>$F34="SAV Sicli"</formula>
    </cfRule>
    <cfRule type="expression" dxfId="15296" priority="24006">
      <formula>$F34="SAV Chubb"</formula>
    </cfRule>
    <cfRule type="expression" dxfId="15295" priority="24007">
      <formula>$F34="Réalisation"</formula>
    </cfRule>
    <cfRule type="expression" dxfId="15294" priority="24008">
      <formula>$F34="Désenfumage"</formula>
    </cfRule>
    <cfRule type="expression" dxfId="15293" priority="24009">
      <formula>$F34="Administratif"</formula>
    </cfRule>
  </conditionalFormatting>
  <conditionalFormatting sqref="D34">
    <cfRule type="expression" dxfId="15292" priority="24000">
      <formula>$H34="non"</formula>
    </cfRule>
  </conditionalFormatting>
  <conditionalFormatting sqref="D35">
    <cfRule type="expression" dxfId="15291" priority="23991">
      <formula>$F35="Formation CCF"</formula>
    </cfRule>
    <cfRule type="expression" dxfId="15290" priority="23992">
      <formula>$F35="Direction"</formula>
    </cfRule>
    <cfRule type="expression" dxfId="15289" priority="23993">
      <formula>$F35="Ventes Sicli"</formula>
    </cfRule>
    <cfRule type="expression" dxfId="15288" priority="23994">
      <formula>$F35="Ventes Chubb"</formula>
    </cfRule>
    <cfRule type="expression" dxfId="15287" priority="23995">
      <formula>$F35="SAV Sicli"</formula>
    </cfRule>
    <cfRule type="expression" dxfId="15286" priority="23996">
      <formula>$F35="SAV Chubb"</formula>
    </cfRule>
    <cfRule type="expression" dxfId="15285" priority="23997">
      <formula>$F35="Réalisation"</formula>
    </cfRule>
    <cfRule type="expression" dxfId="15284" priority="23998">
      <formula>$F35="Désenfumage"</formula>
    </cfRule>
    <cfRule type="expression" dxfId="15283" priority="23999">
      <formula>$F35="Administratif"</formula>
    </cfRule>
  </conditionalFormatting>
  <conditionalFormatting sqref="D35">
    <cfRule type="expression" dxfId="15282" priority="23990">
      <formula>$H35="non"</formula>
    </cfRule>
  </conditionalFormatting>
  <conditionalFormatting sqref="D34">
    <cfRule type="expression" dxfId="15281" priority="23981">
      <formula>$F34="Formation CCF"</formula>
    </cfRule>
    <cfRule type="expression" dxfId="15280" priority="23982">
      <formula>$F34="Direction"</formula>
    </cfRule>
    <cfRule type="expression" dxfId="15279" priority="23983">
      <formula>$F34="Ventes Sicli"</formula>
    </cfRule>
    <cfRule type="expression" dxfId="15278" priority="23984">
      <formula>$F34="Ventes Chubb"</formula>
    </cfRule>
    <cfRule type="expression" dxfId="15277" priority="23985">
      <formula>$F34="SAV Sicli"</formula>
    </cfRule>
    <cfRule type="expression" dxfId="15276" priority="23986">
      <formula>$F34="SAV Chubb"</formula>
    </cfRule>
    <cfRule type="expression" dxfId="15275" priority="23987">
      <formula>$F34="Réalisation"</formula>
    </cfRule>
    <cfRule type="expression" dxfId="15274" priority="23988">
      <formula>$F34="Désenfumage"</formula>
    </cfRule>
    <cfRule type="expression" dxfId="15273" priority="23989">
      <formula>$F34="Administratif"</formula>
    </cfRule>
  </conditionalFormatting>
  <conditionalFormatting sqref="D34">
    <cfRule type="expression" dxfId="15272" priority="23980">
      <formula>$H34="non"</formula>
    </cfRule>
  </conditionalFormatting>
  <conditionalFormatting sqref="D34">
    <cfRule type="expression" dxfId="15271" priority="23971">
      <formula>$F34="Formation CCF"</formula>
    </cfRule>
    <cfRule type="expression" dxfId="15270" priority="23972">
      <formula>$F34="Direction"</formula>
    </cfRule>
    <cfRule type="expression" dxfId="15269" priority="23973">
      <formula>$F34="Ventes Sicli"</formula>
    </cfRule>
    <cfRule type="expression" dxfId="15268" priority="23974">
      <formula>$F34="Ventes Chubb"</formula>
    </cfRule>
    <cfRule type="expression" dxfId="15267" priority="23975">
      <formula>$F34="SAV Sicli"</formula>
    </cfRule>
    <cfRule type="expression" dxfId="15266" priority="23976">
      <formula>$F34="SAV Chubb"</formula>
    </cfRule>
    <cfRule type="expression" dxfId="15265" priority="23977">
      <formula>$F34="Réalisation"</formula>
    </cfRule>
    <cfRule type="expression" dxfId="15264" priority="23978">
      <formula>$F34="Désenfumage"</formula>
    </cfRule>
    <cfRule type="expression" dxfId="15263" priority="23979">
      <formula>$F34="Administratif"</formula>
    </cfRule>
  </conditionalFormatting>
  <conditionalFormatting sqref="D34">
    <cfRule type="expression" dxfId="15262" priority="23970">
      <formula>$H34="non"</formula>
    </cfRule>
  </conditionalFormatting>
  <conditionalFormatting sqref="D35">
    <cfRule type="expression" dxfId="15261" priority="23961">
      <formula>$F35="Formation CCF"</formula>
    </cfRule>
    <cfRule type="expression" dxfId="15260" priority="23962">
      <formula>$F35="Direction"</formula>
    </cfRule>
    <cfRule type="expression" dxfId="15259" priority="23963">
      <formula>$F35="Ventes Sicli"</formula>
    </cfRule>
    <cfRule type="expression" dxfId="15258" priority="23964">
      <formula>$F35="Ventes Chubb"</formula>
    </cfRule>
    <cfRule type="expression" dxfId="15257" priority="23965">
      <formula>$F35="SAV Sicli"</formula>
    </cfRule>
    <cfRule type="expression" dxfId="15256" priority="23966">
      <formula>$F35="SAV Chubb"</formula>
    </cfRule>
    <cfRule type="expression" dxfId="15255" priority="23967">
      <formula>$F35="Réalisation"</formula>
    </cfRule>
    <cfRule type="expression" dxfId="15254" priority="23968">
      <formula>$F35="Désenfumage"</formula>
    </cfRule>
    <cfRule type="expression" dxfId="15253" priority="23969">
      <formula>$F35="Administratif"</formula>
    </cfRule>
  </conditionalFormatting>
  <conditionalFormatting sqref="D35">
    <cfRule type="expression" dxfId="15252" priority="23960">
      <formula>$H35="non"</formula>
    </cfRule>
  </conditionalFormatting>
  <conditionalFormatting sqref="D34">
    <cfRule type="expression" dxfId="15251" priority="23951">
      <formula>$F34="Formation CCF"</formula>
    </cfRule>
    <cfRule type="expression" dxfId="15250" priority="23952">
      <formula>$F34="Direction"</formula>
    </cfRule>
    <cfRule type="expression" dxfId="15249" priority="23953">
      <formula>$F34="Ventes Sicli"</formula>
    </cfRule>
    <cfRule type="expression" dxfId="15248" priority="23954">
      <formula>$F34="Ventes Chubb"</formula>
    </cfRule>
    <cfRule type="expression" dxfId="15247" priority="23955">
      <formula>$F34="SAV Sicli"</formula>
    </cfRule>
    <cfRule type="expression" dxfId="15246" priority="23956">
      <formula>$F34="SAV Chubb"</formula>
    </cfRule>
    <cfRule type="expression" dxfId="15245" priority="23957">
      <formula>$F34="Réalisation"</formula>
    </cfRule>
    <cfRule type="expression" dxfId="15244" priority="23958">
      <formula>$F34="Désenfumage"</formula>
    </cfRule>
    <cfRule type="expression" dxfId="15243" priority="23959">
      <formula>$F34="Administratif"</formula>
    </cfRule>
  </conditionalFormatting>
  <conditionalFormatting sqref="D34">
    <cfRule type="expression" dxfId="15242" priority="23950">
      <formula>$H34="non"</formula>
    </cfRule>
  </conditionalFormatting>
  <conditionalFormatting sqref="D34">
    <cfRule type="expression" dxfId="15241" priority="23941">
      <formula>$F34="Formation CCF"</formula>
    </cfRule>
    <cfRule type="expression" dxfId="15240" priority="23942">
      <formula>$F34="Direction"</formula>
    </cfRule>
    <cfRule type="expression" dxfId="15239" priority="23943">
      <formula>$F34="Ventes Sicli"</formula>
    </cfRule>
    <cfRule type="expression" dxfId="15238" priority="23944">
      <formula>$F34="Ventes Chubb"</formula>
    </cfRule>
    <cfRule type="expression" dxfId="15237" priority="23945">
      <formula>$F34="SAV Sicli"</formula>
    </cfRule>
    <cfRule type="expression" dxfId="15236" priority="23946">
      <formula>$F34="SAV Chubb"</formula>
    </cfRule>
    <cfRule type="expression" dxfId="15235" priority="23947">
      <formula>$F34="Réalisation"</formula>
    </cfRule>
    <cfRule type="expression" dxfId="15234" priority="23948">
      <formula>$F34="Désenfumage"</formula>
    </cfRule>
    <cfRule type="expression" dxfId="15233" priority="23949">
      <formula>$F34="Administratif"</formula>
    </cfRule>
  </conditionalFormatting>
  <conditionalFormatting sqref="D34">
    <cfRule type="expression" dxfId="15232" priority="23940">
      <formula>$H34="non"</formula>
    </cfRule>
  </conditionalFormatting>
  <conditionalFormatting sqref="D34">
    <cfRule type="expression" dxfId="15231" priority="23931">
      <formula>$F34="Formation CCF"</formula>
    </cfRule>
    <cfRule type="expression" dxfId="15230" priority="23932">
      <formula>$F34="Direction"</formula>
    </cfRule>
    <cfRule type="expression" dxfId="15229" priority="23933">
      <formula>$F34="Ventes Sicli"</formula>
    </cfRule>
    <cfRule type="expression" dxfId="15228" priority="23934">
      <formula>$F34="Ventes Chubb"</formula>
    </cfRule>
    <cfRule type="expression" dxfId="15227" priority="23935">
      <formula>$F34="SAV Sicli"</formula>
    </cfRule>
    <cfRule type="expression" dxfId="15226" priority="23936">
      <formula>$F34="SAV Chubb"</formula>
    </cfRule>
    <cfRule type="expression" dxfId="15225" priority="23937">
      <formula>$F34="Réalisation"</formula>
    </cfRule>
    <cfRule type="expression" dxfId="15224" priority="23938">
      <formula>$F34="Désenfumage"</formula>
    </cfRule>
    <cfRule type="expression" dxfId="15223" priority="23939">
      <formula>$F34="Administratif"</formula>
    </cfRule>
  </conditionalFormatting>
  <conditionalFormatting sqref="D34">
    <cfRule type="expression" dxfId="15222" priority="23930">
      <formula>$H34="non"</formula>
    </cfRule>
  </conditionalFormatting>
  <conditionalFormatting sqref="D34">
    <cfRule type="expression" dxfId="15221" priority="23921">
      <formula>$F34="Formation CCF"</formula>
    </cfRule>
    <cfRule type="expression" dxfId="15220" priority="23922">
      <formula>$F34="Direction"</formula>
    </cfRule>
    <cfRule type="expression" dxfId="15219" priority="23923">
      <formula>$F34="Ventes Sicli"</formula>
    </cfRule>
    <cfRule type="expression" dxfId="15218" priority="23924">
      <formula>$F34="Ventes Chubb"</formula>
    </cfRule>
    <cfRule type="expression" dxfId="15217" priority="23925">
      <formula>$F34="SAV Sicli"</formula>
    </cfRule>
    <cfRule type="expression" dxfId="15216" priority="23926">
      <formula>$F34="SAV Chubb"</formula>
    </cfRule>
    <cfRule type="expression" dxfId="15215" priority="23927">
      <formula>$F34="Réalisation"</formula>
    </cfRule>
    <cfRule type="expression" dxfId="15214" priority="23928">
      <formula>$F34="Désenfumage"</formula>
    </cfRule>
    <cfRule type="expression" dxfId="15213" priority="23929">
      <formula>$F34="Administratif"</formula>
    </cfRule>
  </conditionalFormatting>
  <conditionalFormatting sqref="D34">
    <cfRule type="expression" dxfId="15212" priority="23920">
      <formula>$H34="non"</formula>
    </cfRule>
  </conditionalFormatting>
  <conditionalFormatting sqref="C35:D35">
    <cfRule type="expression" dxfId="15211" priority="23911">
      <formula>$F35="Formation CCF"</formula>
    </cfRule>
    <cfRule type="expression" dxfId="15210" priority="23912">
      <formula>$F35="Direction"</formula>
    </cfRule>
    <cfRule type="expression" dxfId="15209" priority="23913">
      <formula>$F35="Ventes Sicli"</formula>
    </cfRule>
    <cfRule type="expression" dxfId="15208" priority="23914">
      <formula>$F35="Ventes Chubb"</formula>
    </cfRule>
    <cfRule type="expression" dxfId="15207" priority="23915">
      <formula>$F35="SAV Sicli"</formula>
    </cfRule>
    <cfRule type="expression" dxfId="15206" priority="23916">
      <formula>$F35="SAV Chubb"</formula>
    </cfRule>
    <cfRule type="expression" dxfId="15205" priority="23917">
      <formula>$F35="Réalisation"</formula>
    </cfRule>
    <cfRule type="expression" dxfId="15204" priority="23918">
      <formula>$F35="Désenfumage"</formula>
    </cfRule>
    <cfRule type="expression" dxfId="15203" priority="23919">
      <formula>$F35="Administratif"</formula>
    </cfRule>
  </conditionalFormatting>
  <conditionalFormatting sqref="C35:D35">
    <cfRule type="expression" dxfId="15202" priority="23910">
      <formula>$H35="non"</formula>
    </cfRule>
  </conditionalFormatting>
  <conditionalFormatting sqref="C35">
    <cfRule type="expression" dxfId="15201" priority="23901">
      <formula>$F35="Formation CCF"</formula>
    </cfRule>
    <cfRule type="expression" dxfId="15200" priority="23902">
      <formula>$F35="Direction"</formula>
    </cfRule>
    <cfRule type="expression" dxfId="15199" priority="23903">
      <formula>$F35="Ventes Sicli"</formula>
    </cfRule>
    <cfRule type="expression" dxfId="15198" priority="23904">
      <formula>$F35="Ventes Chubb"</formula>
    </cfRule>
    <cfRule type="expression" dxfId="15197" priority="23905">
      <formula>$F35="SAV Sicli"</formula>
    </cfRule>
    <cfRule type="expression" dxfId="15196" priority="23906">
      <formula>$F35="SAV Chubb"</formula>
    </cfRule>
    <cfRule type="expression" dxfId="15195" priority="23907">
      <formula>$F35="Réalisation"</formula>
    </cfRule>
    <cfRule type="expression" dxfId="15194" priority="23908">
      <formula>$F35="Désenfumage"</formula>
    </cfRule>
    <cfRule type="expression" dxfId="15193" priority="23909">
      <formula>$F35="Administratif"</formula>
    </cfRule>
  </conditionalFormatting>
  <conditionalFormatting sqref="C35">
    <cfRule type="expression" dxfId="15192" priority="23900">
      <formula>$H35="non"</formula>
    </cfRule>
  </conditionalFormatting>
  <conditionalFormatting sqref="D35">
    <cfRule type="expression" dxfId="15191" priority="23891">
      <formula>$F35="Formation CCF"</formula>
    </cfRule>
    <cfRule type="expression" dxfId="15190" priority="23892">
      <formula>$F35="Direction"</formula>
    </cfRule>
    <cfRule type="expression" dxfId="15189" priority="23893">
      <formula>$F35="Ventes Sicli"</formula>
    </cfRule>
    <cfRule type="expression" dxfId="15188" priority="23894">
      <formula>$F35="Ventes Chubb"</formula>
    </cfRule>
    <cfRule type="expression" dxfId="15187" priority="23895">
      <formula>$F35="SAV Sicli"</formula>
    </cfRule>
    <cfRule type="expression" dxfId="15186" priority="23896">
      <formula>$F35="SAV Chubb"</formula>
    </cfRule>
    <cfRule type="expression" dxfId="15185" priority="23897">
      <formula>$F35="Réalisation"</formula>
    </cfRule>
    <cfRule type="expression" dxfId="15184" priority="23898">
      <formula>$F35="Désenfumage"</formula>
    </cfRule>
    <cfRule type="expression" dxfId="15183" priority="23899">
      <formula>$F35="Administratif"</formula>
    </cfRule>
  </conditionalFormatting>
  <conditionalFormatting sqref="D35">
    <cfRule type="expression" dxfId="15182" priority="23890">
      <formula>$H35="non"</formula>
    </cfRule>
  </conditionalFormatting>
  <conditionalFormatting sqref="D35">
    <cfRule type="expression" dxfId="15181" priority="23881">
      <formula>$F35="Formation CCF"</formula>
    </cfRule>
    <cfRule type="expression" dxfId="15180" priority="23882">
      <formula>$F35="Direction"</formula>
    </cfRule>
    <cfRule type="expression" dxfId="15179" priority="23883">
      <formula>$F35="Ventes Sicli"</formula>
    </cfRule>
    <cfRule type="expression" dxfId="15178" priority="23884">
      <formula>$F35="Ventes Chubb"</formula>
    </cfRule>
    <cfRule type="expression" dxfId="15177" priority="23885">
      <formula>$F35="SAV Sicli"</formula>
    </cfRule>
    <cfRule type="expression" dxfId="15176" priority="23886">
      <formula>$F35="SAV Chubb"</formula>
    </cfRule>
    <cfRule type="expression" dxfId="15175" priority="23887">
      <formula>$F35="Réalisation"</formula>
    </cfRule>
    <cfRule type="expression" dxfId="15174" priority="23888">
      <formula>$F35="Désenfumage"</formula>
    </cfRule>
    <cfRule type="expression" dxfId="15173" priority="23889">
      <formula>$F35="Administratif"</formula>
    </cfRule>
  </conditionalFormatting>
  <conditionalFormatting sqref="D35">
    <cfRule type="expression" dxfId="15172" priority="23880">
      <formula>$H35="non"</formula>
    </cfRule>
  </conditionalFormatting>
  <conditionalFormatting sqref="D35">
    <cfRule type="expression" dxfId="15171" priority="23871">
      <formula>$F35="Formation CCF"</formula>
    </cfRule>
    <cfRule type="expression" dxfId="15170" priority="23872">
      <formula>$F35="Direction"</formula>
    </cfRule>
    <cfRule type="expression" dxfId="15169" priority="23873">
      <formula>$F35="Ventes Sicli"</formula>
    </cfRule>
    <cfRule type="expression" dxfId="15168" priority="23874">
      <formula>$F35="Ventes Chubb"</formula>
    </cfRule>
    <cfRule type="expression" dxfId="15167" priority="23875">
      <formula>$F35="SAV Sicli"</formula>
    </cfRule>
    <cfRule type="expression" dxfId="15166" priority="23876">
      <formula>$F35="SAV Chubb"</formula>
    </cfRule>
    <cfRule type="expression" dxfId="15165" priority="23877">
      <formula>$F35="Réalisation"</formula>
    </cfRule>
    <cfRule type="expression" dxfId="15164" priority="23878">
      <formula>$F35="Désenfumage"</formula>
    </cfRule>
    <cfRule type="expression" dxfId="15163" priority="23879">
      <formula>$F35="Administratif"</formula>
    </cfRule>
  </conditionalFormatting>
  <conditionalFormatting sqref="D35">
    <cfRule type="expression" dxfId="15162" priority="23870">
      <formula>$H35="non"</formula>
    </cfRule>
  </conditionalFormatting>
  <conditionalFormatting sqref="D34">
    <cfRule type="expression" dxfId="15161" priority="23861">
      <formula>$F34="Formation CCF"</formula>
    </cfRule>
    <cfRule type="expression" dxfId="15160" priority="23862">
      <formula>$F34="Direction"</formula>
    </cfRule>
    <cfRule type="expression" dxfId="15159" priority="23863">
      <formula>$F34="Ventes Sicli"</formula>
    </cfRule>
    <cfRule type="expression" dxfId="15158" priority="23864">
      <formula>$F34="Ventes Chubb"</formula>
    </cfRule>
    <cfRule type="expression" dxfId="15157" priority="23865">
      <formula>$F34="SAV Sicli"</formula>
    </cfRule>
    <cfRule type="expression" dxfId="15156" priority="23866">
      <formula>$F34="SAV Chubb"</formula>
    </cfRule>
    <cfRule type="expression" dxfId="15155" priority="23867">
      <formula>$F34="Réalisation"</formula>
    </cfRule>
    <cfRule type="expression" dxfId="15154" priority="23868">
      <formula>$F34="Désenfumage"</formula>
    </cfRule>
    <cfRule type="expression" dxfId="15153" priority="23869">
      <formula>$F34="Administratif"</formula>
    </cfRule>
  </conditionalFormatting>
  <conditionalFormatting sqref="D34">
    <cfRule type="expression" dxfId="15152" priority="23860">
      <formula>$H34="non"</formula>
    </cfRule>
  </conditionalFormatting>
  <conditionalFormatting sqref="D35">
    <cfRule type="expression" dxfId="15151" priority="23851">
      <formula>$F35="Formation CCF"</formula>
    </cfRule>
    <cfRule type="expression" dxfId="15150" priority="23852">
      <formula>$F35="Direction"</formula>
    </cfRule>
    <cfRule type="expression" dxfId="15149" priority="23853">
      <formula>$F35="Ventes Sicli"</formula>
    </cfRule>
    <cfRule type="expression" dxfId="15148" priority="23854">
      <formula>$F35="Ventes Chubb"</formula>
    </cfRule>
    <cfRule type="expression" dxfId="15147" priority="23855">
      <formula>$F35="SAV Sicli"</formula>
    </cfRule>
    <cfRule type="expression" dxfId="15146" priority="23856">
      <formula>$F35="SAV Chubb"</formula>
    </cfRule>
    <cfRule type="expression" dxfId="15145" priority="23857">
      <formula>$F35="Réalisation"</formula>
    </cfRule>
    <cfRule type="expression" dxfId="15144" priority="23858">
      <formula>$F35="Désenfumage"</formula>
    </cfRule>
    <cfRule type="expression" dxfId="15143" priority="23859">
      <formula>$F35="Administratif"</formula>
    </cfRule>
  </conditionalFormatting>
  <conditionalFormatting sqref="D35">
    <cfRule type="expression" dxfId="15142" priority="23850">
      <formula>$H35="non"</formula>
    </cfRule>
  </conditionalFormatting>
  <conditionalFormatting sqref="D34">
    <cfRule type="expression" dxfId="15141" priority="23841">
      <formula>$F34="Formation CCF"</formula>
    </cfRule>
    <cfRule type="expression" dxfId="15140" priority="23842">
      <formula>$F34="Direction"</formula>
    </cfRule>
    <cfRule type="expression" dxfId="15139" priority="23843">
      <formula>$F34="Ventes Sicli"</formula>
    </cfRule>
    <cfRule type="expression" dxfId="15138" priority="23844">
      <formula>$F34="Ventes Chubb"</formula>
    </cfRule>
    <cfRule type="expression" dxfId="15137" priority="23845">
      <formula>$F34="SAV Sicli"</formula>
    </cfRule>
    <cfRule type="expression" dxfId="15136" priority="23846">
      <formula>$F34="SAV Chubb"</formula>
    </cfRule>
    <cfRule type="expression" dxfId="15135" priority="23847">
      <formula>$F34="Réalisation"</formula>
    </cfRule>
    <cfRule type="expression" dxfId="15134" priority="23848">
      <formula>$F34="Désenfumage"</formula>
    </cfRule>
    <cfRule type="expression" dxfId="15133" priority="23849">
      <formula>$F34="Administratif"</formula>
    </cfRule>
  </conditionalFormatting>
  <conditionalFormatting sqref="D34">
    <cfRule type="expression" dxfId="15132" priority="23840">
      <formula>$H34="non"</formula>
    </cfRule>
  </conditionalFormatting>
  <conditionalFormatting sqref="D35">
    <cfRule type="expression" dxfId="15131" priority="23831">
      <formula>$F35="Formation CCF"</formula>
    </cfRule>
    <cfRule type="expression" dxfId="15130" priority="23832">
      <formula>$F35="Direction"</formula>
    </cfRule>
    <cfRule type="expression" dxfId="15129" priority="23833">
      <formula>$F35="Ventes Sicli"</formula>
    </cfRule>
    <cfRule type="expression" dxfId="15128" priority="23834">
      <formula>$F35="Ventes Chubb"</formula>
    </cfRule>
    <cfRule type="expression" dxfId="15127" priority="23835">
      <formula>$F35="SAV Sicli"</formula>
    </cfRule>
    <cfRule type="expression" dxfId="15126" priority="23836">
      <formula>$F35="SAV Chubb"</formula>
    </cfRule>
    <cfRule type="expression" dxfId="15125" priority="23837">
      <formula>$F35="Réalisation"</formula>
    </cfRule>
    <cfRule type="expression" dxfId="15124" priority="23838">
      <formula>$F35="Désenfumage"</formula>
    </cfRule>
    <cfRule type="expression" dxfId="15123" priority="23839">
      <formula>$F35="Administratif"</formula>
    </cfRule>
  </conditionalFormatting>
  <conditionalFormatting sqref="D35">
    <cfRule type="expression" dxfId="15122" priority="23830">
      <formula>$H35="non"</formula>
    </cfRule>
  </conditionalFormatting>
  <conditionalFormatting sqref="D34">
    <cfRule type="expression" dxfId="15121" priority="23821">
      <formula>$F34="Formation CCF"</formula>
    </cfRule>
    <cfRule type="expression" dxfId="15120" priority="23822">
      <formula>$F34="Direction"</formula>
    </cfRule>
    <cfRule type="expression" dxfId="15119" priority="23823">
      <formula>$F34="Ventes Sicli"</formula>
    </cfRule>
    <cfRule type="expression" dxfId="15118" priority="23824">
      <formula>$F34="Ventes Chubb"</formula>
    </cfRule>
    <cfRule type="expression" dxfId="15117" priority="23825">
      <formula>$F34="SAV Sicli"</formula>
    </cfRule>
    <cfRule type="expression" dxfId="15116" priority="23826">
      <formula>$F34="SAV Chubb"</formula>
    </cfRule>
    <cfRule type="expression" dxfId="15115" priority="23827">
      <formula>$F34="Réalisation"</formula>
    </cfRule>
    <cfRule type="expression" dxfId="15114" priority="23828">
      <formula>$F34="Désenfumage"</formula>
    </cfRule>
    <cfRule type="expression" dxfId="15113" priority="23829">
      <formula>$F34="Administratif"</formula>
    </cfRule>
  </conditionalFormatting>
  <conditionalFormatting sqref="D34">
    <cfRule type="expression" dxfId="15112" priority="23820">
      <formula>$H34="non"</formula>
    </cfRule>
  </conditionalFormatting>
  <conditionalFormatting sqref="D35">
    <cfRule type="expression" dxfId="15111" priority="23811">
      <formula>$F35="Formation CCF"</formula>
    </cfRule>
    <cfRule type="expression" dxfId="15110" priority="23812">
      <formula>$F35="Direction"</formula>
    </cfRule>
    <cfRule type="expression" dxfId="15109" priority="23813">
      <formula>$F35="Ventes Sicli"</formula>
    </cfRule>
    <cfRule type="expression" dxfId="15108" priority="23814">
      <formula>$F35="Ventes Chubb"</formula>
    </cfRule>
    <cfRule type="expression" dxfId="15107" priority="23815">
      <formula>$F35="SAV Sicli"</formula>
    </cfRule>
    <cfRule type="expression" dxfId="15106" priority="23816">
      <formula>$F35="SAV Chubb"</formula>
    </cfRule>
    <cfRule type="expression" dxfId="15105" priority="23817">
      <formula>$F35="Réalisation"</formula>
    </cfRule>
    <cfRule type="expression" dxfId="15104" priority="23818">
      <formula>$F35="Désenfumage"</formula>
    </cfRule>
    <cfRule type="expression" dxfId="15103" priority="23819">
      <formula>$F35="Administratif"</formula>
    </cfRule>
  </conditionalFormatting>
  <conditionalFormatting sqref="D35">
    <cfRule type="expression" dxfId="15102" priority="23810">
      <formula>$H35="non"</formula>
    </cfRule>
  </conditionalFormatting>
  <conditionalFormatting sqref="D34">
    <cfRule type="expression" dxfId="15101" priority="23801">
      <formula>$F34="Formation CCF"</formula>
    </cfRule>
    <cfRule type="expression" dxfId="15100" priority="23802">
      <formula>$F34="Direction"</formula>
    </cfRule>
    <cfRule type="expression" dxfId="15099" priority="23803">
      <formula>$F34="Ventes Sicli"</formula>
    </cfRule>
    <cfRule type="expression" dxfId="15098" priority="23804">
      <formula>$F34="Ventes Chubb"</formula>
    </cfRule>
    <cfRule type="expression" dxfId="15097" priority="23805">
      <formula>$F34="SAV Sicli"</formula>
    </cfRule>
    <cfRule type="expression" dxfId="15096" priority="23806">
      <formula>$F34="SAV Chubb"</formula>
    </cfRule>
    <cfRule type="expression" dxfId="15095" priority="23807">
      <formula>$F34="Réalisation"</formula>
    </cfRule>
    <cfRule type="expression" dxfId="15094" priority="23808">
      <formula>$F34="Désenfumage"</formula>
    </cfRule>
    <cfRule type="expression" dxfId="15093" priority="23809">
      <formula>$F34="Administratif"</formula>
    </cfRule>
  </conditionalFormatting>
  <conditionalFormatting sqref="D34">
    <cfRule type="expression" dxfId="15092" priority="23800">
      <formula>$H34="non"</formula>
    </cfRule>
  </conditionalFormatting>
  <conditionalFormatting sqref="D35">
    <cfRule type="expression" dxfId="15091" priority="23791">
      <formula>$F35="Formation CCF"</formula>
    </cfRule>
    <cfRule type="expression" dxfId="15090" priority="23792">
      <formula>$F35="Direction"</formula>
    </cfRule>
    <cfRule type="expression" dxfId="15089" priority="23793">
      <formula>$F35="Ventes Sicli"</formula>
    </cfRule>
    <cfRule type="expression" dxfId="15088" priority="23794">
      <formula>$F35="Ventes Chubb"</formula>
    </cfRule>
    <cfRule type="expression" dxfId="15087" priority="23795">
      <formula>$F35="SAV Sicli"</formula>
    </cfRule>
    <cfRule type="expression" dxfId="15086" priority="23796">
      <formula>$F35="SAV Chubb"</formula>
    </cfRule>
    <cfRule type="expression" dxfId="15085" priority="23797">
      <formula>$F35="Réalisation"</formula>
    </cfRule>
    <cfRule type="expression" dxfId="15084" priority="23798">
      <formula>$F35="Désenfumage"</formula>
    </cfRule>
    <cfRule type="expression" dxfId="15083" priority="23799">
      <formula>$F35="Administratif"</formula>
    </cfRule>
  </conditionalFormatting>
  <conditionalFormatting sqref="D35">
    <cfRule type="expression" dxfId="15082" priority="23790">
      <formula>$H35="non"</formula>
    </cfRule>
  </conditionalFormatting>
  <conditionalFormatting sqref="D34">
    <cfRule type="expression" dxfId="15081" priority="23781">
      <formula>$F34="Formation CCF"</formula>
    </cfRule>
    <cfRule type="expression" dxfId="15080" priority="23782">
      <formula>$F34="Direction"</formula>
    </cfRule>
    <cfRule type="expression" dxfId="15079" priority="23783">
      <formula>$F34="Ventes Sicli"</formula>
    </cfRule>
    <cfRule type="expression" dxfId="15078" priority="23784">
      <formula>$F34="Ventes Chubb"</formula>
    </cfRule>
    <cfRule type="expression" dxfId="15077" priority="23785">
      <formula>$F34="SAV Sicli"</formula>
    </cfRule>
    <cfRule type="expression" dxfId="15076" priority="23786">
      <formula>$F34="SAV Chubb"</formula>
    </cfRule>
    <cfRule type="expression" dxfId="15075" priority="23787">
      <formula>$F34="Réalisation"</formula>
    </cfRule>
    <cfRule type="expression" dxfId="15074" priority="23788">
      <formula>$F34="Désenfumage"</formula>
    </cfRule>
    <cfRule type="expression" dxfId="15073" priority="23789">
      <formula>$F34="Administratif"</formula>
    </cfRule>
  </conditionalFormatting>
  <conditionalFormatting sqref="D34">
    <cfRule type="expression" dxfId="15072" priority="23780">
      <formula>$H34="non"</formula>
    </cfRule>
  </conditionalFormatting>
  <conditionalFormatting sqref="D35">
    <cfRule type="expression" dxfId="15071" priority="23771">
      <formula>$F35="Formation CCF"</formula>
    </cfRule>
    <cfRule type="expression" dxfId="15070" priority="23772">
      <formula>$F35="Direction"</formula>
    </cfRule>
    <cfRule type="expression" dxfId="15069" priority="23773">
      <formula>$F35="Ventes Sicli"</formula>
    </cfRule>
    <cfRule type="expression" dxfId="15068" priority="23774">
      <formula>$F35="Ventes Chubb"</formula>
    </cfRule>
    <cfRule type="expression" dxfId="15067" priority="23775">
      <formula>$F35="SAV Sicli"</formula>
    </cfRule>
    <cfRule type="expression" dxfId="15066" priority="23776">
      <formula>$F35="SAV Chubb"</formula>
    </cfRule>
    <cfRule type="expression" dxfId="15065" priority="23777">
      <formula>$F35="Réalisation"</formula>
    </cfRule>
    <cfRule type="expression" dxfId="15064" priority="23778">
      <formula>$F35="Désenfumage"</formula>
    </cfRule>
    <cfRule type="expression" dxfId="15063" priority="23779">
      <formula>$F35="Administratif"</formula>
    </cfRule>
  </conditionalFormatting>
  <conditionalFormatting sqref="D35">
    <cfRule type="expression" dxfId="15062" priority="23770">
      <formula>$H35="non"</formula>
    </cfRule>
  </conditionalFormatting>
  <conditionalFormatting sqref="D34">
    <cfRule type="expression" dxfId="15061" priority="23761">
      <formula>$F34="Formation CCF"</formula>
    </cfRule>
    <cfRule type="expression" dxfId="15060" priority="23762">
      <formula>$F34="Direction"</formula>
    </cfRule>
    <cfRule type="expression" dxfId="15059" priority="23763">
      <formula>$F34="Ventes Sicli"</formula>
    </cfRule>
    <cfRule type="expression" dxfId="15058" priority="23764">
      <formula>$F34="Ventes Chubb"</formula>
    </cfRule>
    <cfRule type="expression" dxfId="15057" priority="23765">
      <formula>$F34="SAV Sicli"</formula>
    </cfRule>
    <cfRule type="expression" dxfId="15056" priority="23766">
      <formula>$F34="SAV Chubb"</formula>
    </cfRule>
    <cfRule type="expression" dxfId="15055" priority="23767">
      <formula>$F34="Réalisation"</formula>
    </cfRule>
    <cfRule type="expression" dxfId="15054" priority="23768">
      <formula>$F34="Désenfumage"</formula>
    </cfRule>
    <cfRule type="expression" dxfId="15053" priority="23769">
      <formula>$F34="Administratif"</formula>
    </cfRule>
  </conditionalFormatting>
  <conditionalFormatting sqref="D34">
    <cfRule type="expression" dxfId="15052" priority="23760">
      <formula>$H34="non"</formula>
    </cfRule>
  </conditionalFormatting>
  <conditionalFormatting sqref="D35">
    <cfRule type="expression" dxfId="15051" priority="23751">
      <formula>$F35="Formation CCF"</formula>
    </cfRule>
    <cfRule type="expression" dxfId="15050" priority="23752">
      <formula>$F35="Direction"</formula>
    </cfRule>
    <cfRule type="expression" dxfId="15049" priority="23753">
      <formula>$F35="Ventes Sicli"</formula>
    </cfRule>
    <cfRule type="expression" dxfId="15048" priority="23754">
      <formula>$F35="Ventes Chubb"</formula>
    </cfRule>
    <cfRule type="expression" dxfId="15047" priority="23755">
      <formula>$F35="SAV Sicli"</formula>
    </cfRule>
    <cfRule type="expression" dxfId="15046" priority="23756">
      <formula>$F35="SAV Chubb"</formula>
    </cfRule>
    <cfRule type="expression" dxfId="15045" priority="23757">
      <formula>$F35="Réalisation"</formula>
    </cfRule>
    <cfRule type="expression" dxfId="15044" priority="23758">
      <formula>$F35="Désenfumage"</formula>
    </cfRule>
    <cfRule type="expression" dxfId="15043" priority="23759">
      <formula>$F35="Administratif"</formula>
    </cfRule>
  </conditionalFormatting>
  <conditionalFormatting sqref="D35">
    <cfRule type="expression" dxfId="15042" priority="23750">
      <formula>$H35="non"</formula>
    </cfRule>
  </conditionalFormatting>
  <conditionalFormatting sqref="D34">
    <cfRule type="expression" dxfId="15041" priority="23741">
      <formula>$F34="Formation CCF"</formula>
    </cfRule>
    <cfRule type="expression" dxfId="15040" priority="23742">
      <formula>$F34="Direction"</formula>
    </cfRule>
    <cfRule type="expression" dxfId="15039" priority="23743">
      <formula>$F34="Ventes Sicli"</formula>
    </cfRule>
    <cfRule type="expression" dxfId="15038" priority="23744">
      <formula>$F34="Ventes Chubb"</formula>
    </cfRule>
    <cfRule type="expression" dxfId="15037" priority="23745">
      <formula>$F34="SAV Sicli"</formula>
    </cfRule>
    <cfRule type="expression" dxfId="15036" priority="23746">
      <formula>$F34="SAV Chubb"</formula>
    </cfRule>
    <cfRule type="expression" dxfId="15035" priority="23747">
      <formula>$F34="Réalisation"</formula>
    </cfRule>
    <cfRule type="expression" dxfId="15034" priority="23748">
      <formula>$F34="Désenfumage"</formula>
    </cfRule>
    <cfRule type="expression" dxfId="15033" priority="23749">
      <formula>$F34="Administratif"</formula>
    </cfRule>
  </conditionalFormatting>
  <conditionalFormatting sqref="D34">
    <cfRule type="expression" dxfId="15032" priority="23740">
      <formula>$H34="non"</formula>
    </cfRule>
  </conditionalFormatting>
  <conditionalFormatting sqref="D35">
    <cfRule type="expression" dxfId="15031" priority="23731">
      <formula>$F35="Formation CCF"</formula>
    </cfRule>
    <cfRule type="expression" dxfId="15030" priority="23732">
      <formula>$F35="Direction"</formula>
    </cfRule>
    <cfRule type="expression" dxfId="15029" priority="23733">
      <formula>$F35="Ventes Sicli"</formula>
    </cfRule>
    <cfRule type="expression" dxfId="15028" priority="23734">
      <formula>$F35="Ventes Chubb"</formula>
    </cfRule>
    <cfRule type="expression" dxfId="15027" priority="23735">
      <formula>$F35="SAV Sicli"</formula>
    </cfRule>
    <cfRule type="expression" dxfId="15026" priority="23736">
      <formula>$F35="SAV Chubb"</formula>
    </cfRule>
    <cfRule type="expression" dxfId="15025" priority="23737">
      <formula>$F35="Réalisation"</formula>
    </cfRule>
    <cfRule type="expression" dxfId="15024" priority="23738">
      <formula>$F35="Désenfumage"</formula>
    </cfRule>
    <cfRule type="expression" dxfId="15023" priority="23739">
      <formula>$F35="Administratif"</formula>
    </cfRule>
  </conditionalFormatting>
  <conditionalFormatting sqref="D35">
    <cfRule type="expression" dxfId="15022" priority="23730">
      <formula>$H35="non"</formula>
    </cfRule>
  </conditionalFormatting>
  <conditionalFormatting sqref="D34">
    <cfRule type="expression" dxfId="15021" priority="23721">
      <formula>$F34="Formation CCF"</formula>
    </cfRule>
    <cfRule type="expression" dxfId="15020" priority="23722">
      <formula>$F34="Direction"</formula>
    </cfRule>
    <cfRule type="expression" dxfId="15019" priority="23723">
      <formula>$F34="Ventes Sicli"</formula>
    </cfRule>
    <cfRule type="expression" dxfId="15018" priority="23724">
      <formula>$F34="Ventes Chubb"</formula>
    </cfRule>
    <cfRule type="expression" dxfId="15017" priority="23725">
      <formula>$F34="SAV Sicli"</formula>
    </cfRule>
    <cfRule type="expression" dxfId="15016" priority="23726">
      <formula>$F34="SAV Chubb"</formula>
    </cfRule>
    <cfRule type="expression" dxfId="15015" priority="23727">
      <formula>$F34="Réalisation"</formula>
    </cfRule>
    <cfRule type="expression" dxfId="15014" priority="23728">
      <formula>$F34="Désenfumage"</formula>
    </cfRule>
    <cfRule type="expression" dxfId="15013" priority="23729">
      <formula>$F34="Administratif"</formula>
    </cfRule>
  </conditionalFormatting>
  <conditionalFormatting sqref="D34">
    <cfRule type="expression" dxfId="15012" priority="23720">
      <formula>$H34="non"</formula>
    </cfRule>
  </conditionalFormatting>
  <conditionalFormatting sqref="C36:D36">
    <cfRule type="expression" dxfId="15011" priority="16761">
      <formula>$F36="Formation CCF"</formula>
    </cfRule>
    <cfRule type="expression" dxfId="15010" priority="16762">
      <formula>$F36="Direction"</formula>
    </cfRule>
    <cfRule type="expression" dxfId="15009" priority="16763">
      <formula>$F36="Ventes Sicli"</formula>
    </cfRule>
    <cfRule type="expression" dxfId="15008" priority="16764">
      <formula>$F36="Ventes Chubb"</formula>
    </cfRule>
    <cfRule type="expression" dxfId="15007" priority="16765">
      <formula>$F36="SAV Sicli"</formula>
    </cfRule>
    <cfRule type="expression" dxfId="15006" priority="16766">
      <formula>$F36="SAV Chubb"</formula>
    </cfRule>
    <cfRule type="expression" dxfId="15005" priority="16767">
      <formula>$F36="Réalisation"</formula>
    </cfRule>
    <cfRule type="expression" dxfId="15004" priority="16768">
      <formula>$F36="Désenfumage"</formula>
    </cfRule>
    <cfRule type="expression" dxfId="15003" priority="16769">
      <formula>$F36="Administratif"</formula>
    </cfRule>
  </conditionalFormatting>
  <conditionalFormatting sqref="C36:D36">
    <cfRule type="expression" dxfId="15002" priority="16760">
      <formula>$H36="non"</formula>
    </cfRule>
  </conditionalFormatting>
  <conditionalFormatting sqref="C36:D36">
    <cfRule type="expression" dxfId="15001" priority="16751">
      <formula>$F36="Formation CCF"</formula>
    </cfRule>
    <cfRule type="expression" dxfId="15000" priority="16752">
      <formula>$F36="Direction"</formula>
    </cfRule>
    <cfRule type="expression" dxfId="14999" priority="16753">
      <formula>$F36="Ventes Sicli"</formula>
    </cfRule>
    <cfRule type="expression" dxfId="14998" priority="16754">
      <formula>$F36="Ventes Chubb"</formula>
    </cfRule>
    <cfRule type="expression" dxfId="14997" priority="16755">
      <formula>$F36="SAV Sicli"</formula>
    </cfRule>
    <cfRule type="expression" dxfId="14996" priority="16756">
      <formula>$F36="SAV Chubb"</formula>
    </cfRule>
    <cfRule type="expression" dxfId="14995" priority="16757">
      <formula>$F36="Réalisation"</formula>
    </cfRule>
    <cfRule type="expression" dxfId="14994" priority="16758">
      <formula>$F36="Désenfumage"</formula>
    </cfRule>
    <cfRule type="expression" dxfId="14993" priority="16759">
      <formula>$F36="Administratif"</formula>
    </cfRule>
  </conditionalFormatting>
  <conditionalFormatting sqref="C36:D36">
    <cfRule type="expression" dxfId="14992" priority="16750">
      <formula>$H36="non"</formula>
    </cfRule>
  </conditionalFormatting>
  <conditionalFormatting sqref="D36">
    <cfRule type="expression" dxfId="14991" priority="16741">
      <formula>$F36="Formation CCF"</formula>
    </cfRule>
    <cfRule type="expression" dxfId="14990" priority="16742">
      <formula>$F36="Direction"</formula>
    </cfRule>
    <cfRule type="expression" dxfId="14989" priority="16743">
      <formula>$F36="Ventes Sicli"</formula>
    </cfRule>
    <cfRule type="expression" dxfId="14988" priority="16744">
      <formula>$F36="Ventes Chubb"</formula>
    </cfRule>
    <cfRule type="expression" dxfId="14987" priority="16745">
      <formula>$F36="SAV Sicli"</formula>
    </cfRule>
    <cfRule type="expression" dxfId="14986" priority="16746">
      <formula>$F36="SAV Chubb"</formula>
    </cfRule>
    <cfRule type="expression" dxfId="14985" priority="16747">
      <formula>$F36="Réalisation"</formula>
    </cfRule>
    <cfRule type="expression" dxfId="14984" priority="16748">
      <formula>$F36="Désenfumage"</formula>
    </cfRule>
    <cfRule type="expression" dxfId="14983" priority="16749">
      <formula>$F36="Administratif"</formula>
    </cfRule>
  </conditionalFormatting>
  <conditionalFormatting sqref="D36">
    <cfRule type="expression" dxfId="14982" priority="16740">
      <formula>$H36="non"</formula>
    </cfRule>
  </conditionalFormatting>
  <conditionalFormatting sqref="D36">
    <cfRule type="expression" dxfId="14981" priority="16731">
      <formula>$F36="Formation CCF"</formula>
    </cfRule>
    <cfRule type="expression" dxfId="14980" priority="16732">
      <formula>$F36="Direction"</formula>
    </cfRule>
    <cfRule type="expression" dxfId="14979" priority="16733">
      <formula>$F36="Ventes Sicli"</formula>
    </cfRule>
    <cfRule type="expression" dxfId="14978" priority="16734">
      <formula>$F36="Ventes Chubb"</formula>
    </cfRule>
    <cfRule type="expression" dxfId="14977" priority="16735">
      <formula>$F36="SAV Sicli"</formula>
    </cfRule>
    <cfRule type="expression" dxfId="14976" priority="16736">
      <formula>$F36="SAV Chubb"</formula>
    </cfRule>
    <cfRule type="expression" dxfId="14975" priority="16737">
      <formula>$F36="Réalisation"</formula>
    </cfRule>
    <cfRule type="expression" dxfId="14974" priority="16738">
      <formula>$F36="Désenfumage"</formula>
    </cfRule>
    <cfRule type="expression" dxfId="14973" priority="16739">
      <formula>$F36="Administratif"</formula>
    </cfRule>
  </conditionalFormatting>
  <conditionalFormatting sqref="D36">
    <cfRule type="expression" dxfId="14972" priority="16730">
      <formula>$H36="non"</formula>
    </cfRule>
  </conditionalFormatting>
  <conditionalFormatting sqref="D36">
    <cfRule type="expression" dxfId="14971" priority="16721">
      <formula>$F36="Formation CCF"</formula>
    </cfRule>
    <cfRule type="expression" dxfId="14970" priority="16722">
      <formula>$F36="Direction"</formula>
    </cfRule>
    <cfRule type="expression" dxfId="14969" priority="16723">
      <formula>$F36="Ventes Sicli"</formula>
    </cfRule>
    <cfRule type="expression" dxfId="14968" priority="16724">
      <formula>$F36="Ventes Chubb"</formula>
    </cfRule>
    <cfRule type="expression" dxfId="14967" priority="16725">
      <formula>$F36="SAV Sicli"</formula>
    </cfRule>
    <cfRule type="expression" dxfId="14966" priority="16726">
      <formula>$F36="SAV Chubb"</formula>
    </cfRule>
    <cfRule type="expression" dxfId="14965" priority="16727">
      <formula>$F36="Réalisation"</formula>
    </cfRule>
    <cfRule type="expression" dxfId="14964" priority="16728">
      <formula>$F36="Désenfumage"</formula>
    </cfRule>
    <cfRule type="expression" dxfId="14963" priority="16729">
      <formula>$F36="Administratif"</formula>
    </cfRule>
  </conditionalFormatting>
  <conditionalFormatting sqref="D36">
    <cfRule type="expression" dxfId="14962" priority="16720">
      <formula>$H36="non"</formula>
    </cfRule>
  </conditionalFormatting>
  <conditionalFormatting sqref="D36">
    <cfRule type="expression" dxfId="14961" priority="16711">
      <formula>$F36="Formation CCF"</formula>
    </cfRule>
    <cfRule type="expression" dxfId="14960" priority="16712">
      <formula>$F36="Direction"</formula>
    </cfRule>
    <cfRule type="expression" dxfId="14959" priority="16713">
      <formula>$F36="Ventes Sicli"</formula>
    </cfRule>
    <cfRule type="expression" dxfId="14958" priority="16714">
      <formula>$F36="Ventes Chubb"</formula>
    </cfRule>
    <cfRule type="expression" dxfId="14957" priority="16715">
      <formula>$F36="SAV Sicli"</formula>
    </cfRule>
    <cfRule type="expression" dxfId="14956" priority="16716">
      <formula>$F36="SAV Chubb"</formula>
    </cfRule>
    <cfRule type="expression" dxfId="14955" priority="16717">
      <formula>$F36="Réalisation"</formula>
    </cfRule>
    <cfRule type="expression" dxfId="14954" priority="16718">
      <formula>$F36="Désenfumage"</formula>
    </cfRule>
    <cfRule type="expression" dxfId="14953" priority="16719">
      <formula>$F36="Administratif"</formula>
    </cfRule>
  </conditionalFormatting>
  <conditionalFormatting sqref="D36">
    <cfRule type="expression" dxfId="14952" priority="16710">
      <formula>$H36="non"</formula>
    </cfRule>
  </conditionalFormatting>
  <conditionalFormatting sqref="D36">
    <cfRule type="expression" dxfId="14951" priority="16701">
      <formula>$F36="Formation CCF"</formula>
    </cfRule>
    <cfRule type="expression" dxfId="14950" priority="16702">
      <formula>$F36="Direction"</formula>
    </cfRule>
    <cfRule type="expression" dxfId="14949" priority="16703">
      <formula>$F36="Ventes Sicli"</formula>
    </cfRule>
    <cfRule type="expression" dxfId="14948" priority="16704">
      <formula>$F36="Ventes Chubb"</formula>
    </cfRule>
    <cfRule type="expression" dxfId="14947" priority="16705">
      <formula>$F36="SAV Sicli"</formula>
    </cfRule>
    <cfRule type="expression" dxfId="14946" priority="16706">
      <formula>$F36="SAV Chubb"</formula>
    </cfRule>
    <cfRule type="expression" dxfId="14945" priority="16707">
      <formula>$F36="Réalisation"</formula>
    </cfRule>
    <cfRule type="expression" dxfId="14944" priority="16708">
      <formula>$F36="Désenfumage"</formula>
    </cfRule>
    <cfRule type="expression" dxfId="14943" priority="16709">
      <formula>$F36="Administratif"</formula>
    </cfRule>
  </conditionalFormatting>
  <conditionalFormatting sqref="D36">
    <cfRule type="expression" dxfId="14942" priority="16700">
      <formula>$H36="non"</formula>
    </cfRule>
  </conditionalFormatting>
  <conditionalFormatting sqref="D36">
    <cfRule type="expression" dxfId="14941" priority="16691">
      <formula>$F36="Formation CCF"</formula>
    </cfRule>
    <cfRule type="expression" dxfId="14940" priority="16692">
      <formula>$F36="Direction"</formula>
    </cfRule>
    <cfRule type="expression" dxfId="14939" priority="16693">
      <formula>$F36="Ventes Sicli"</formula>
    </cfRule>
    <cfRule type="expression" dxfId="14938" priority="16694">
      <formula>$F36="Ventes Chubb"</formula>
    </cfRule>
    <cfRule type="expression" dxfId="14937" priority="16695">
      <formula>$F36="SAV Sicli"</formula>
    </cfRule>
    <cfRule type="expression" dxfId="14936" priority="16696">
      <formula>$F36="SAV Chubb"</formula>
    </cfRule>
    <cfRule type="expression" dxfId="14935" priority="16697">
      <formula>$F36="Réalisation"</formula>
    </cfRule>
    <cfRule type="expression" dxfId="14934" priority="16698">
      <formula>$F36="Désenfumage"</formula>
    </cfRule>
    <cfRule type="expression" dxfId="14933" priority="16699">
      <formula>$F36="Administratif"</formula>
    </cfRule>
  </conditionalFormatting>
  <conditionalFormatting sqref="D36">
    <cfRule type="expression" dxfId="14932" priority="16690">
      <formula>$H36="non"</formula>
    </cfRule>
  </conditionalFormatting>
  <conditionalFormatting sqref="D36">
    <cfRule type="expression" dxfId="14931" priority="16681">
      <formula>$F36="Formation CCF"</formula>
    </cfRule>
    <cfRule type="expression" dxfId="14930" priority="16682">
      <formula>$F36="Direction"</formula>
    </cfRule>
    <cfRule type="expression" dxfId="14929" priority="16683">
      <formula>$F36="Ventes Sicli"</formula>
    </cfRule>
    <cfRule type="expression" dxfId="14928" priority="16684">
      <formula>$F36="Ventes Chubb"</formula>
    </cfRule>
    <cfRule type="expression" dxfId="14927" priority="16685">
      <formula>$F36="SAV Sicli"</formula>
    </cfRule>
    <cfRule type="expression" dxfId="14926" priority="16686">
      <formula>$F36="SAV Chubb"</formula>
    </cfRule>
    <cfRule type="expression" dxfId="14925" priority="16687">
      <formula>$F36="Réalisation"</formula>
    </cfRule>
    <cfRule type="expression" dxfId="14924" priority="16688">
      <formula>$F36="Désenfumage"</formula>
    </cfRule>
    <cfRule type="expression" dxfId="14923" priority="16689">
      <formula>$F36="Administratif"</formula>
    </cfRule>
  </conditionalFormatting>
  <conditionalFormatting sqref="D36">
    <cfRule type="expression" dxfId="14922" priority="16680">
      <formula>$H36="non"</formula>
    </cfRule>
  </conditionalFormatting>
  <conditionalFormatting sqref="D36">
    <cfRule type="expression" dxfId="14921" priority="16671">
      <formula>$F36="Formation CCF"</formula>
    </cfRule>
    <cfRule type="expression" dxfId="14920" priority="16672">
      <formula>$F36="Direction"</formula>
    </cfRule>
    <cfRule type="expression" dxfId="14919" priority="16673">
      <formula>$F36="Ventes Sicli"</formula>
    </cfRule>
    <cfRule type="expression" dxfId="14918" priority="16674">
      <formula>$F36="Ventes Chubb"</formula>
    </cfRule>
    <cfRule type="expression" dxfId="14917" priority="16675">
      <formula>$F36="SAV Sicli"</formula>
    </cfRule>
    <cfRule type="expression" dxfId="14916" priority="16676">
      <formula>$F36="SAV Chubb"</formula>
    </cfRule>
    <cfRule type="expression" dxfId="14915" priority="16677">
      <formula>$F36="Réalisation"</formula>
    </cfRule>
    <cfRule type="expression" dxfId="14914" priority="16678">
      <formula>$F36="Désenfumage"</formula>
    </cfRule>
    <cfRule type="expression" dxfId="14913" priority="16679">
      <formula>$F36="Administratif"</formula>
    </cfRule>
  </conditionalFormatting>
  <conditionalFormatting sqref="D36">
    <cfRule type="expression" dxfId="14912" priority="16670">
      <formula>$H36="non"</formula>
    </cfRule>
  </conditionalFormatting>
  <conditionalFormatting sqref="D36">
    <cfRule type="expression" dxfId="14911" priority="16661">
      <formula>$F36="Formation CCF"</formula>
    </cfRule>
    <cfRule type="expression" dxfId="14910" priority="16662">
      <formula>$F36="Direction"</formula>
    </cfRule>
    <cfRule type="expression" dxfId="14909" priority="16663">
      <formula>$F36="Ventes Sicli"</formula>
    </cfRule>
    <cfRule type="expression" dxfId="14908" priority="16664">
      <formula>$F36="Ventes Chubb"</formula>
    </cfRule>
    <cfRule type="expression" dxfId="14907" priority="16665">
      <formula>$F36="SAV Sicli"</formula>
    </cfRule>
    <cfRule type="expression" dxfId="14906" priority="16666">
      <formula>$F36="SAV Chubb"</formula>
    </cfRule>
    <cfRule type="expression" dxfId="14905" priority="16667">
      <formula>$F36="Réalisation"</formula>
    </cfRule>
    <cfRule type="expression" dxfId="14904" priority="16668">
      <formula>$F36="Désenfumage"</formula>
    </cfRule>
    <cfRule type="expression" dxfId="14903" priority="16669">
      <formula>$F36="Administratif"</formula>
    </cfRule>
  </conditionalFormatting>
  <conditionalFormatting sqref="D36">
    <cfRule type="expression" dxfId="14902" priority="16660">
      <formula>$H36="non"</formula>
    </cfRule>
  </conditionalFormatting>
  <conditionalFormatting sqref="D36">
    <cfRule type="expression" dxfId="14901" priority="16651">
      <formula>$F36="Formation CCF"</formula>
    </cfRule>
    <cfRule type="expression" dxfId="14900" priority="16652">
      <formula>$F36="Direction"</formula>
    </cfRule>
    <cfRule type="expression" dxfId="14899" priority="16653">
      <formula>$F36="Ventes Sicli"</formula>
    </cfRule>
    <cfRule type="expression" dxfId="14898" priority="16654">
      <formula>$F36="Ventes Chubb"</formula>
    </cfRule>
    <cfRule type="expression" dxfId="14897" priority="16655">
      <formula>$F36="SAV Sicli"</formula>
    </cfRule>
    <cfRule type="expression" dxfId="14896" priority="16656">
      <formula>$F36="SAV Chubb"</formula>
    </cfRule>
    <cfRule type="expression" dxfId="14895" priority="16657">
      <formula>$F36="Réalisation"</formula>
    </cfRule>
    <cfRule type="expression" dxfId="14894" priority="16658">
      <formula>$F36="Désenfumage"</formula>
    </cfRule>
    <cfRule type="expression" dxfId="14893" priority="16659">
      <formula>$F36="Administratif"</formula>
    </cfRule>
  </conditionalFormatting>
  <conditionalFormatting sqref="D36">
    <cfRule type="expression" dxfId="14892" priority="16650">
      <formula>$H36="non"</formula>
    </cfRule>
  </conditionalFormatting>
  <conditionalFormatting sqref="D36">
    <cfRule type="expression" dxfId="14891" priority="16641">
      <formula>$F36="Formation CCF"</formula>
    </cfRule>
    <cfRule type="expression" dxfId="14890" priority="16642">
      <formula>$F36="Direction"</formula>
    </cfRule>
    <cfRule type="expression" dxfId="14889" priority="16643">
      <formula>$F36="Ventes Sicli"</formula>
    </cfRule>
    <cfRule type="expression" dxfId="14888" priority="16644">
      <formula>$F36="Ventes Chubb"</formula>
    </cfRule>
    <cfRule type="expression" dxfId="14887" priority="16645">
      <formula>$F36="SAV Sicli"</formula>
    </cfRule>
    <cfRule type="expression" dxfId="14886" priority="16646">
      <formula>$F36="SAV Chubb"</formula>
    </cfRule>
    <cfRule type="expression" dxfId="14885" priority="16647">
      <formula>$F36="Réalisation"</formula>
    </cfRule>
    <cfRule type="expression" dxfId="14884" priority="16648">
      <formula>$F36="Désenfumage"</formula>
    </cfRule>
    <cfRule type="expression" dxfId="14883" priority="16649">
      <formula>$F36="Administratif"</formula>
    </cfRule>
  </conditionalFormatting>
  <conditionalFormatting sqref="D36">
    <cfRule type="expression" dxfId="14882" priority="16640">
      <formula>$H36="non"</formula>
    </cfRule>
  </conditionalFormatting>
  <conditionalFormatting sqref="D36">
    <cfRule type="expression" dxfId="14881" priority="16631">
      <formula>$F36="Formation CCF"</formula>
    </cfRule>
    <cfRule type="expression" dxfId="14880" priority="16632">
      <formula>$F36="Direction"</formula>
    </cfRule>
    <cfRule type="expression" dxfId="14879" priority="16633">
      <formula>$F36="Ventes Sicli"</formula>
    </cfRule>
    <cfRule type="expression" dxfId="14878" priority="16634">
      <formula>$F36="Ventes Chubb"</formula>
    </cfRule>
    <cfRule type="expression" dxfId="14877" priority="16635">
      <formula>$F36="SAV Sicli"</formula>
    </cfRule>
    <cfRule type="expression" dxfId="14876" priority="16636">
      <formula>$F36="SAV Chubb"</formula>
    </cfRule>
    <cfRule type="expression" dxfId="14875" priority="16637">
      <formula>$F36="Réalisation"</formula>
    </cfRule>
    <cfRule type="expression" dxfId="14874" priority="16638">
      <formula>$F36="Désenfumage"</formula>
    </cfRule>
    <cfRule type="expression" dxfId="14873" priority="16639">
      <formula>$F36="Administratif"</formula>
    </cfRule>
  </conditionalFormatting>
  <conditionalFormatting sqref="D36">
    <cfRule type="expression" dxfId="14872" priority="16630">
      <formula>$H36="non"</formula>
    </cfRule>
  </conditionalFormatting>
  <conditionalFormatting sqref="D36">
    <cfRule type="expression" dxfId="14871" priority="16621">
      <formula>$F36="Formation CCF"</formula>
    </cfRule>
    <cfRule type="expression" dxfId="14870" priority="16622">
      <formula>$F36="Direction"</formula>
    </cfRule>
    <cfRule type="expression" dxfId="14869" priority="16623">
      <formula>$F36="Ventes Sicli"</formula>
    </cfRule>
    <cfRule type="expression" dxfId="14868" priority="16624">
      <formula>$F36="Ventes Chubb"</formula>
    </cfRule>
    <cfRule type="expression" dxfId="14867" priority="16625">
      <formula>$F36="SAV Sicli"</formula>
    </cfRule>
    <cfRule type="expression" dxfId="14866" priority="16626">
      <formula>$F36="SAV Chubb"</formula>
    </cfRule>
    <cfRule type="expression" dxfId="14865" priority="16627">
      <formula>$F36="Réalisation"</formula>
    </cfRule>
    <cfRule type="expression" dxfId="14864" priority="16628">
      <formula>$F36="Désenfumage"</formula>
    </cfRule>
    <cfRule type="expression" dxfId="14863" priority="16629">
      <formula>$F36="Administratif"</formula>
    </cfRule>
  </conditionalFormatting>
  <conditionalFormatting sqref="D36">
    <cfRule type="expression" dxfId="14862" priority="16620">
      <formula>$H36="non"</formula>
    </cfRule>
  </conditionalFormatting>
  <conditionalFormatting sqref="D36">
    <cfRule type="expression" dxfId="14861" priority="16611">
      <formula>$F36="Formation CCF"</formula>
    </cfRule>
    <cfRule type="expression" dxfId="14860" priority="16612">
      <formula>$F36="Direction"</formula>
    </cfRule>
    <cfRule type="expression" dxfId="14859" priority="16613">
      <formula>$F36="Ventes Sicli"</formula>
    </cfRule>
    <cfRule type="expression" dxfId="14858" priority="16614">
      <formula>$F36="Ventes Chubb"</formula>
    </cfRule>
    <cfRule type="expression" dxfId="14857" priority="16615">
      <formula>$F36="SAV Sicli"</formula>
    </cfRule>
    <cfRule type="expression" dxfId="14856" priority="16616">
      <formula>$F36="SAV Chubb"</formula>
    </cfRule>
    <cfRule type="expression" dxfId="14855" priority="16617">
      <formula>$F36="Réalisation"</formula>
    </cfRule>
    <cfRule type="expression" dxfId="14854" priority="16618">
      <formula>$F36="Désenfumage"</formula>
    </cfRule>
    <cfRule type="expression" dxfId="14853" priority="16619">
      <formula>$F36="Administratif"</formula>
    </cfRule>
  </conditionalFormatting>
  <conditionalFormatting sqref="D36">
    <cfRule type="expression" dxfId="14852" priority="16610">
      <formula>$H36="non"</formula>
    </cfRule>
  </conditionalFormatting>
  <conditionalFormatting sqref="D36">
    <cfRule type="expression" dxfId="14851" priority="16601">
      <formula>$F36="Formation CCF"</formula>
    </cfRule>
    <cfRule type="expression" dxfId="14850" priority="16602">
      <formula>$F36="Direction"</formula>
    </cfRule>
    <cfRule type="expression" dxfId="14849" priority="16603">
      <formula>$F36="Ventes Sicli"</formula>
    </cfRule>
    <cfRule type="expression" dxfId="14848" priority="16604">
      <formula>$F36="Ventes Chubb"</formula>
    </cfRule>
    <cfRule type="expression" dxfId="14847" priority="16605">
      <formula>$F36="SAV Sicli"</formula>
    </cfRule>
    <cfRule type="expression" dxfId="14846" priority="16606">
      <formula>$F36="SAV Chubb"</formula>
    </cfRule>
    <cfRule type="expression" dxfId="14845" priority="16607">
      <formula>$F36="Réalisation"</formula>
    </cfRule>
    <cfRule type="expression" dxfId="14844" priority="16608">
      <formula>$F36="Désenfumage"</formula>
    </cfRule>
    <cfRule type="expression" dxfId="14843" priority="16609">
      <formula>$F36="Administratif"</formula>
    </cfRule>
  </conditionalFormatting>
  <conditionalFormatting sqref="D36">
    <cfRule type="expression" dxfId="14842" priority="16600">
      <formula>$H36="non"</formula>
    </cfRule>
  </conditionalFormatting>
  <conditionalFormatting sqref="D36">
    <cfRule type="expression" dxfId="14841" priority="16591">
      <formula>$F36="Formation CCF"</formula>
    </cfRule>
    <cfRule type="expression" dxfId="14840" priority="16592">
      <formula>$F36="Direction"</formula>
    </cfRule>
    <cfRule type="expression" dxfId="14839" priority="16593">
      <formula>$F36="Ventes Sicli"</formula>
    </cfRule>
    <cfRule type="expression" dxfId="14838" priority="16594">
      <formula>$F36="Ventes Chubb"</formula>
    </cfRule>
    <cfRule type="expression" dxfId="14837" priority="16595">
      <formula>$F36="SAV Sicli"</formula>
    </cfRule>
    <cfRule type="expression" dxfId="14836" priority="16596">
      <formula>$F36="SAV Chubb"</formula>
    </cfRule>
    <cfRule type="expression" dxfId="14835" priority="16597">
      <formula>$F36="Réalisation"</formula>
    </cfRule>
    <cfRule type="expression" dxfId="14834" priority="16598">
      <formula>$F36="Désenfumage"</formula>
    </cfRule>
    <cfRule type="expression" dxfId="14833" priority="16599">
      <formula>$F36="Administratif"</formula>
    </cfRule>
  </conditionalFormatting>
  <conditionalFormatting sqref="D36">
    <cfRule type="expression" dxfId="14832" priority="16590">
      <formula>$H36="non"</formula>
    </cfRule>
  </conditionalFormatting>
  <conditionalFormatting sqref="D36">
    <cfRule type="expression" dxfId="14831" priority="16581">
      <formula>$F36="Formation CCF"</formula>
    </cfRule>
    <cfRule type="expression" dxfId="14830" priority="16582">
      <formula>$F36="Direction"</formula>
    </cfRule>
    <cfRule type="expression" dxfId="14829" priority="16583">
      <formula>$F36="Ventes Sicli"</formula>
    </cfRule>
    <cfRule type="expression" dxfId="14828" priority="16584">
      <formula>$F36="Ventes Chubb"</formula>
    </cfRule>
    <cfRule type="expression" dxfId="14827" priority="16585">
      <formula>$F36="SAV Sicli"</formula>
    </cfRule>
    <cfRule type="expression" dxfId="14826" priority="16586">
      <formula>$F36="SAV Chubb"</formula>
    </cfRule>
    <cfRule type="expression" dxfId="14825" priority="16587">
      <formula>$F36="Réalisation"</formula>
    </cfRule>
    <cfRule type="expression" dxfId="14824" priority="16588">
      <formula>$F36="Désenfumage"</formula>
    </cfRule>
    <cfRule type="expression" dxfId="14823" priority="16589">
      <formula>$F36="Administratif"</formula>
    </cfRule>
  </conditionalFormatting>
  <conditionalFormatting sqref="D36">
    <cfRule type="expression" dxfId="14822" priority="16580">
      <formula>$H36="non"</formula>
    </cfRule>
  </conditionalFormatting>
  <conditionalFormatting sqref="D36">
    <cfRule type="expression" dxfId="14821" priority="16571">
      <formula>$F36="Formation CCF"</formula>
    </cfRule>
    <cfRule type="expression" dxfId="14820" priority="16572">
      <formula>$F36="Direction"</formula>
    </cfRule>
    <cfRule type="expression" dxfId="14819" priority="16573">
      <formula>$F36="Ventes Sicli"</formula>
    </cfRule>
    <cfRule type="expression" dxfId="14818" priority="16574">
      <formula>$F36="Ventes Chubb"</formula>
    </cfRule>
    <cfRule type="expression" dxfId="14817" priority="16575">
      <formula>$F36="SAV Sicli"</formula>
    </cfRule>
    <cfRule type="expression" dxfId="14816" priority="16576">
      <formula>$F36="SAV Chubb"</formula>
    </cfRule>
    <cfRule type="expression" dxfId="14815" priority="16577">
      <formula>$F36="Réalisation"</formula>
    </cfRule>
    <cfRule type="expression" dxfId="14814" priority="16578">
      <formula>$F36="Désenfumage"</formula>
    </cfRule>
    <cfRule type="expression" dxfId="14813" priority="16579">
      <formula>$F36="Administratif"</formula>
    </cfRule>
  </conditionalFormatting>
  <conditionalFormatting sqref="D36">
    <cfRule type="expression" dxfId="14812" priority="16570">
      <formula>$H36="non"</formula>
    </cfRule>
  </conditionalFormatting>
  <conditionalFormatting sqref="D36">
    <cfRule type="expression" dxfId="14811" priority="16561">
      <formula>$F36="Formation CCF"</formula>
    </cfRule>
    <cfRule type="expression" dxfId="14810" priority="16562">
      <formula>$F36="Direction"</formula>
    </cfRule>
    <cfRule type="expression" dxfId="14809" priority="16563">
      <formula>$F36="Ventes Sicli"</formula>
    </cfRule>
    <cfRule type="expression" dxfId="14808" priority="16564">
      <formula>$F36="Ventes Chubb"</formula>
    </cfRule>
    <cfRule type="expression" dxfId="14807" priority="16565">
      <formula>$F36="SAV Sicli"</formula>
    </cfRule>
    <cfRule type="expression" dxfId="14806" priority="16566">
      <formula>$F36="SAV Chubb"</formula>
    </cfRule>
    <cfRule type="expression" dxfId="14805" priority="16567">
      <formula>$F36="Réalisation"</formula>
    </cfRule>
    <cfRule type="expression" dxfId="14804" priority="16568">
      <formula>$F36="Désenfumage"</formula>
    </cfRule>
    <cfRule type="expression" dxfId="14803" priority="16569">
      <formula>$F36="Administratif"</formula>
    </cfRule>
  </conditionalFormatting>
  <conditionalFormatting sqref="D36">
    <cfRule type="expression" dxfId="14802" priority="16560">
      <formula>$H36="non"</formula>
    </cfRule>
  </conditionalFormatting>
  <conditionalFormatting sqref="D36">
    <cfRule type="expression" dxfId="14801" priority="16551">
      <formula>$F36="Formation CCF"</formula>
    </cfRule>
    <cfRule type="expression" dxfId="14800" priority="16552">
      <formula>$F36="Direction"</formula>
    </cfRule>
    <cfRule type="expression" dxfId="14799" priority="16553">
      <formula>$F36="Ventes Sicli"</formula>
    </cfRule>
    <cfRule type="expression" dxfId="14798" priority="16554">
      <formula>$F36="Ventes Chubb"</formula>
    </cfRule>
    <cfRule type="expression" dxfId="14797" priority="16555">
      <formula>$F36="SAV Sicli"</formula>
    </cfRule>
    <cfRule type="expression" dxfId="14796" priority="16556">
      <formula>$F36="SAV Chubb"</formula>
    </cfRule>
    <cfRule type="expression" dxfId="14795" priority="16557">
      <formula>$F36="Réalisation"</formula>
    </cfRule>
    <cfRule type="expression" dxfId="14794" priority="16558">
      <formula>$F36="Désenfumage"</formula>
    </cfRule>
    <cfRule type="expression" dxfId="14793" priority="16559">
      <formula>$F36="Administratif"</formula>
    </cfRule>
  </conditionalFormatting>
  <conditionalFormatting sqref="D36">
    <cfRule type="expression" dxfId="14792" priority="16550">
      <formula>$H36="non"</formula>
    </cfRule>
  </conditionalFormatting>
  <conditionalFormatting sqref="D36">
    <cfRule type="expression" dxfId="14791" priority="16541">
      <formula>$F36="Formation CCF"</formula>
    </cfRule>
    <cfRule type="expression" dxfId="14790" priority="16542">
      <formula>$F36="Direction"</formula>
    </cfRule>
    <cfRule type="expression" dxfId="14789" priority="16543">
      <formula>$F36="Ventes Sicli"</formula>
    </cfRule>
    <cfRule type="expression" dxfId="14788" priority="16544">
      <formula>$F36="Ventes Chubb"</formula>
    </cfRule>
    <cfRule type="expression" dxfId="14787" priority="16545">
      <formula>$F36="SAV Sicli"</formula>
    </cfRule>
    <cfRule type="expression" dxfId="14786" priority="16546">
      <formula>$F36="SAV Chubb"</formula>
    </cfRule>
    <cfRule type="expression" dxfId="14785" priority="16547">
      <formula>$F36="Réalisation"</formula>
    </cfRule>
    <cfRule type="expression" dxfId="14784" priority="16548">
      <formula>$F36="Désenfumage"</formula>
    </cfRule>
    <cfRule type="expression" dxfId="14783" priority="16549">
      <formula>$F36="Administratif"</formula>
    </cfRule>
  </conditionalFormatting>
  <conditionalFormatting sqref="D36">
    <cfRule type="expression" dxfId="14782" priority="16540">
      <formula>$H36="non"</formula>
    </cfRule>
  </conditionalFormatting>
  <conditionalFormatting sqref="D36">
    <cfRule type="expression" dxfId="14781" priority="16531">
      <formula>$F36="Formation CCF"</formula>
    </cfRule>
    <cfRule type="expression" dxfId="14780" priority="16532">
      <formula>$F36="Direction"</formula>
    </cfRule>
    <cfRule type="expression" dxfId="14779" priority="16533">
      <formula>$F36="Ventes Sicli"</formula>
    </cfRule>
    <cfRule type="expression" dxfId="14778" priority="16534">
      <formula>$F36="Ventes Chubb"</formula>
    </cfRule>
    <cfRule type="expression" dxfId="14777" priority="16535">
      <formula>$F36="SAV Sicli"</formula>
    </cfRule>
    <cfRule type="expression" dxfId="14776" priority="16536">
      <formula>$F36="SAV Chubb"</formula>
    </cfRule>
    <cfRule type="expression" dxfId="14775" priority="16537">
      <formula>$F36="Réalisation"</formula>
    </cfRule>
    <cfRule type="expression" dxfId="14774" priority="16538">
      <formula>$F36="Désenfumage"</formula>
    </cfRule>
    <cfRule type="expression" dxfId="14773" priority="16539">
      <formula>$F36="Administratif"</formula>
    </cfRule>
  </conditionalFormatting>
  <conditionalFormatting sqref="D36">
    <cfRule type="expression" dxfId="14772" priority="16530">
      <formula>$H36="non"</formula>
    </cfRule>
  </conditionalFormatting>
  <conditionalFormatting sqref="D36">
    <cfRule type="expression" dxfId="14771" priority="16521">
      <formula>$F36="Formation CCF"</formula>
    </cfRule>
    <cfRule type="expression" dxfId="14770" priority="16522">
      <formula>$F36="Direction"</formula>
    </cfRule>
    <cfRule type="expression" dxfId="14769" priority="16523">
      <formula>$F36="Ventes Sicli"</formula>
    </cfRule>
    <cfRule type="expression" dxfId="14768" priority="16524">
      <formula>$F36="Ventes Chubb"</formula>
    </cfRule>
    <cfRule type="expression" dxfId="14767" priority="16525">
      <formula>$F36="SAV Sicli"</formula>
    </cfRule>
    <cfRule type="expression" dxfId="14766" priority="16526">
      <formula>$F36="SAV Chubb"</formula>
    </cfRule>
    <cfRule type="expression" dxfId="14765" priority="16527">
      <formula>$F36="Réalisation"</formula>
    </cfRule>
    <cfRule type="expression" dxfId="14764" priority="16528">
      <formula>$F36="Désenfumage"</formula>
    </cfRule>
    <cfRule type="expression" dxfId="14763" priority="16529">
      <formula>$F36="Administratif"</formula>
    </cfRule>
  </conditionalFormatting>
  <conditionalFormatting sqref="D36">
    <cfRule type="expression" dxfId="14762" priority="16520">
      <formula>$H36="non"</formula>
    </cfRule>
  </conditionalFormatting>
  <conditionalFormatting sqref="D36">
    <cfRule type="expression" dxfId="14761" priority="16511">
      <formula>$F36="Formation CCF"</formula>
    </cfRule>
    <cfRule type="expression" dxfId="14760" priority="16512">
      <formula>$F36="Direction"</formula>
    </cfRule>
    <cfRule type="expression" dxfId="14759" priority="16513">
      <formula>$F36="Ventes Sicli"</formula>
    </cfRule>
    <cfRule type="expression" dxfId="14758" priority="16514">
      <formula>$F36="Ventes Chubb"</formula>
    </cfRule>
    <cfRule type="expression" dxfId="14757" priority="16515">
      <formula>$F36="SAV Sicli"</formula>
    </cfRule>
    <cfRule type="expression" dxfId="14756" priority="16516">
      <formula>$F36="SAV Chubb"</formula>
    </cfRule>
    <cfRule type="expression" dxfId="14755" priority="16517">
      <formula>$F36="Réalisation"</formula>
    </cfRule>
    <cfRule type="expression" dxfId="14754" priority="16518">
      <formula>$F36="Désenfumage"</formula>
    </cfRule>
    <cfRule type="expression" dxfId="14753" priority="16519">
      <formula>$F36="Administratif"</formula>
    </cfRule>
  </conditionalFormatting>
  <conditionalFormatting sqref="D36">
    <cfRule type="expression" dxfId="14752" priority="16510">
      <formula>$H36="non"</formula>
    </cfRule>
  </conditionalFormatting>
  <conditionalFormatting sqref="D36">
    <cfRule type="expression" dxfId="14751" priority="16501">
      <formula>$F36="Formation CCF"</formula>
    </cfRule>
    <cfRule type="expression" dxfId="14750" priority="16502">
      <formula>$F36="Direction"</formula>
    </cfRule>
    <cfRule type="expression" dxfId="14749" priority="16503">
      <formula>$F36="Ventes Sicli"</formula>
    </cfRule>
    <cfRule type="expression" dxfId="14748" priority="16504">
      <formula>$F36="Ventes Chubb"</formula>
    </cfRule>
    <cfRule type="expression" dxfId="14747" priority="16505">
      <formula>$F36="SAV Sicli"</formula>
    </cfRule>
    <cfRule type="expression" dxfId="14746" priority="16506">
      <formula>$F36="SAV Chubb"</formula>
    </cfRule>
    <cfRule type="expression" dxfId="14745" priority="16507">
      <formula>$F36="Réalisation"</formula>
    </cfRule>
    <cfRule type="expression" dxfId="14744" priority="16508">
      <formula>$F36="Désenfumage"</formula>
    </cfRule>
    <cfRule type="expression" dxfId="14743" priority="16509">
      <formula>$F36="Administratif"</formula>
    </cfRule>
  </conditionalFormatting>
  <conditionalFormatting sqref="D36">
    <cfRule type="expression" dxfId="14742" priority="16500">
      <formula>$H36="non"</formula>
    </cfRule>
  </conditionalFormatting>
  <conditionalFormatting sqref="D36">
    <cfRule type="expression" dxfId="14741" priority="16491">
      <formula>$F36="Formation CCF"</formula>
    </cfRule>
    <cfRule type="expression" dxfId="14740" priority="16492">
      <formula>$F36="Direction"</formula>
    </cfRule>
    <cfRule type="expression" dxfId="14739" priority="16493">
      <formula>$F36="Ventes Sicli"</formula>
    </cfRule>
    <cfRule type="expression" dxfId="14738" priority="16494">
      <formula>$F36="Ventes Chubb"</formula>
    </cfRule>
    <cfRule type="expression" dxfId="14737" priority="16495">
      <formula>$F36="SAV Sicli"</formula>
    </cfRule>
    <cfRule type="expression" dxfId="14736" priority="16496">
      <formula>$F36="SAV Chubb"</formula>
    </cfRule>
    <cfRule type="expression" dxfId="14735" priority="16497">
      <formula>$F36="Réalisation"</formula>
    </cfRule>
    <cfRule type="expression" dxfId="14734" priority="16498">
      <formula>$F36="Désenfumage"</formula>
    </cfRule>
    <cfRule type="expression" dxfId="14733" priority="16499">
      <formula>$F36="Administratif"</formula>
    </cfRule>
  </conditionalFormatting>
  <conditionalFormatting sqref="D36">
    <cfRule type="expression" dxfId="14732" priority="16490">
      <formula>$H36="non"</formula>
    </cfRule>
  </conditionalFormatting>
  <conditionalFormatting sqref="D36">
    <cfRule type="expression" dxfId="14731" priority="16481">
      <formula>$F36="Formation CCF"</formula>
    </cfRule>
    <cfRule type="expression" dxfId="14730" priority="16482">
      <formula>$F36="Direction"</formula>
    </cfRule>
    <cfRule type="expression" dxfId="14729" priority="16483">
      <formula>$F36="Ventes Sicli"</formula>
    </cfRule>
    <cfRule type="expression" dxfId="14728" priority="16484">
      <formula>$F36="Ventes Chubb"</formula>
    </cfRule>
    <cfRule type="expression" dxfId="14727" priority="16485">
      <formula>$F36="SAV Sicli"</formula>
    </cfRule>
    <cfRule type="expression" dxfId="14726" priority="16486">
      <formula>$F36="SAV Chubb"</formula>
    </cfRule>
    <cfRule type="expression" dxfId="14725" priority="16487">
      <formula>$F36="Réalisation"</formula>
    </cfRule>
    <cfRule type="expression" dxfId="14724" priority="16488">
      <formula>$F36="Désenfumage"</formula>
    </cfRule>
    <cfRule type="expression" dxfId="14723" priority="16489">
      <formula>$F36="Administratif"</formula>
    </cfRule>
  </conditionalFormatting>
  <conditionalFormatting sqref="D36">
    <cfRule type="expression" dxfId="14722" priority="16480">
      <formula>$H36="non"</formula>
    </cfRule>
  </conditionalFormatting>
  <conditionalFormatting sqref="C38:D38">
    <cfRule type="expression" dxfId="14721" priority="16471">
      <formula>$F38="Formation CCF"</formula>
    </cfRule>
    <cfRule type="expression" dxfId="14720" priority="16472">
      <formula>$F38="Direction"</formula>
    </cfRule>
    <cfRule type="expression" dxfId="14719" priority="16473">
      <formula>$F38="Ventes Sicli"</formula>
    </cfRule>
    <cfRule type="expression" dxfId="14718" priority="16474">
      <formula>$F38="Ventes Chubb"</formula>
    </cfRule>
    <cfRule type="expression" dxfId="14717" priority="16475">
      <formula>$F38="SAV Sicli"</formula>
    </cfRule>
    <cfRule type="expression" dxfId="14716" priority="16476">
      <formula>$F38="SAV Chubb"</formula>
    </cfRule>
    <cfRule type="expression" dxfId="14715" priority="16477">
      <formula>$F38="Réalisation"</formula>
    </cfRule>
    <cfRule type="expression" dxfId="14714" priority="16478">
      <formula>$F38="Désenfumage"</formula>
    </cfRule>
    <cfRule type="expression" dxfId="14713" priority="16479">
      <formula>$F38="Administratif"</formula>
    </cfRule>
  </conditionalFormatting>
  <conditionalFormatting sqref="C38:D38">
    <cfRule type="expression" dxfId="14712" priority="16470">
      <formula>$H38="non"</formula>
    </cfRule>
  </conditionalFormatting>
  <conditionalFormatting sqref="C43:D43">
    <cfRule type="expression" dxfId="14711" priority="16451">
      <formula>$F43="Formation CCF"</formula>
    </cfRule>
    <cfRule type="expression" dxfId="14710" priority="16452">
      <formula>$F43="Direction"</formula>
    </cfRule>
    <cfRule type="expression" dxfId="14709" priority="16453">
      <formula>$F43="Ventes Sicli"</formula>
    </cfRule>
    <cfRule type="expression" dxfId="14708" priority="16454">
      <formula>$F43="Ventes Chubb"</formula>
    </cfRule>
    <cfRule type="expression" dxfId="14707" priority="16455">
      <formula>$F43="SAV Sicli"</formula>
    </cfRule>
    <cfRule type="expression" dxfId="14706" priority="16456">
      <formula>$F43="SAV Chubb"</formula>
    </cfRule>
    <cfRule type="expression" dxfId="14705" priority="16457">
      <formula>$F43="Réalisation"</formula>
    </cfRule>
    <cfRule type="expression" dxfId="14704" priority="16458">
      <formula>$F43="Désenfumage"</formula>
    </cfRule>
    <cfRule type="expression" dxfId="14703" priority="16459">
      <formula>$F43="Administratif"</formula>
    </cfRule>
  </conditionalFormatting>
  <conditionalFormatting sqref="C43:D43">
    <cfRule type="expression" dxfId="14702" priority="16450">
      <formula>$H43="non"</formula>
    </cfRule>
  </conditionalFormatting>
  <conditionalFormatting sqref="C42:D42">
    <cfRule type="expression" dxfId="14701" priority="16421">
      <formula>$F42="Formation CCF"</formula>
    </cfRule>
    <cfRule type="expression" dxfId="14700" priority="16422">
      <formula>$F42="Direction"</formula>
    </cfRule>
    <cfRule type="expression" dxfId="14699" priority="16423">
      <formula>$F42="Ventes Sicli"</formula>
    </cfRule>
    <cfRule type="expression" dxfId="14698" priority="16424">
      <formula>$F42="Ventes Chubb"</formula>
    </cfRule>
    <cfRule type="expression" dxfId="14697" priority="16425">
      <formula>$F42="SAV Sicli"</formula>
    </cfRule>
    <cfRule type="expression" dxfId="14696" priority="16426">
      <formula>$F42="SAV Chubb"</formula>
    </cfRule>
    <cfRule type="expression" dxfId="14695" priority="16427">
      <formula>$F42="Réalisation"</formula>
    </cfRule>
    <cfRule type="expression" dxfId="14694" priority="16428">
      <formula>$F42="Désenfumage"</formula>
    </cfRule>
    <cfRule type="expression" dxfId="14693" priority="16429">
      <formula>$F42="Administratif"</formula>
    </cfRule>
  </conditionalFormatting>
  <conditionalFormatting sqref="C42:D42">
    <cfRule type="expression" dxfId="14692" priority="16420">
      <formula>$H42="non"</formula>
    </cfRule>
  </conditionalFormatting>
  <conditionalFormatting sqref="C41:D41">
    <cfRule type="expression" dxfId="14691" priority="16411">
      <formula>$F41="Formation CCF"</formula>
    </cfRule>
    <cfRule type="expression" dxfId="14690" priority="16412">
      <formula>$F41="Direction"</formula>
    </cfRule>
    <cfRule type="expression" dxfId="14689" priority="16413">
      <formula>$F41="Ventes Sicli"</formula>
    </cfRule>
    <cfRule type="expression" dxfId="14688" priority="16414">
      <formula>$F41="Ventes Chubb"</formula>
    </cfRule>
    <cfRule type="expression" dxfId="14687" priority="16415">
      <formula>$F41="SAV Sicli"</formula>
    </cfRule>
    <cfRule type="expression" dxfId="14686" priority="16416">
      <formula>$F41="SAV Chubb"</formula>
    </cfRule>
    <cfRule type="expression" dxfId="14685" priority="16417">
      <formula>$F41="Réalisation"</formula>
    </cfRule>
    <cfRule type="expression" dxfId="14684" priority="16418">
      <formula>$F41="Désenfumage"</formula>
    </cfRule>
    <cfRule type="expression" dxfId="14683" priority="16419">
      <formula>$F41="Administratif"</formula>
    </cfRule>
  </conditionalFormatting>
  <conditionalFormatting sqref="C41:D41">
    <cfRule type="expression" dxfId="14682" priority="16410">
      <formula>$H41="non"</formula>
    </cfRule>
  </conditionalFormatting>
  <conditionalFormatting sqref="C40:D40">
    <cfRule type="expression" dxfId="14681" priority="16401">
      <formula>$F40="Formation CCF"</formula>
    </cfRule>
    <cfRule type="expression" dxfId="14680" priority="16402">
      <formula>$F40="Direction"</formula>
    </cfRule>
    <cfRule type="expression" dxfId="14679" priority="16403">
      <formula>$F40="Ventes Sicli"</formula>
    </cfRule>
    <cfRule type="expression" dxfId="14678" priority="16404">
      <formula>$F40="Ventes Chubb"</formula>
    </cfRule>
    <cfRule type="expression" dxfId="14677" priority="16405">
      <formula>$F40="SAV Sicli"</formula>
    </cfRule>
    <cfRule type="expression" dxfId="14676" priority="16406">
      <formula>$F40="SAV Chubb"</formula>
    </cfRule>
    <cfRule type="expression" dxfId="14675" priority="16407">
      <formula>$F40="Réalisation"</formula>
    </cfRule>
    <cfRule type="expression" dxfId="14674" priority="16408">
      <formula>$F40="Désenfumage"</formula>
    </cfRule>
    <cfRule type="expression" dxfId="14673" priority="16409">
      <formula>$F40="Administratif"</formula>
    </cfRule>
  </conditionalFormatting>
  <conditionalFormatting sqref="C40:D40">
    <cfRule type="expression" dxfId="14672" priority="16400">
      <formula>$H40="non"</formula>
    </cfRule>
  </conditionalFormatting>
  <conditionalFormatting sqref="C38:D38">
    <cfRule type="expression" dxfId="14671" priority="16391">
      <formula>$F38="Formation CCF"</formula>
    </cfRule>
    <cfRule type="expression" dxfId="14670" priority="16392">
      <formula>$F38="Direction"</formula>
    </cfRule>
    <cfRule type="expression" dxfId="14669" priority="16393">
      <formula>$F38="Ventes Sicli"</formula>
    </cfRule>
    <cfRule type="expression" dxfId="14668" priority="16394">
      <formula>$F38="Ventes Chubb"</formula>
    </cfRule>
    <cfRule type="expression" dxfId="14667" priority="16395">
      <formula>$F38="SAV Sicli"</formula>
    </cfRule>
    <cfRule type="expression" dxfId="14666" priority="16396">
      <formula>$F38="SAV Chubb"</formula>
    </cfRule>
    <cfRule type="expression" dxfId="14665" priority="16397">
      <formula>$F38="Réalisation"</formula>
    </cfRule>
    <cfRule type="expression" dxfId="14664" priority="16398">
      <formula>$F38="Désenfumage"</formula>
    </cfRule>
    <cfRule type="expression" dxfId="14663" priority="16399">
      <formula>$F38="Administratif"</formula>
    </cfRule>
  </conditionalFormatting>
  <conditionalFormatting sqref="C38:D38">
    <cfRule type="expression" dxfId="14662" priority="16390">
      <formula>$H38="non"</formula>
    </cfRule>
  </conditionalFormatting>
  <conditionalFormatting sqref="C50:D54 C38:D38">
    <cfRule type="expression" dxfId="14661" priority="16381">
      <formula>$F38="Formation CCF"</formula>
    </cfRule>
    <cfRule type="expression" dxfId="14660" priority="16382">
      <formula>$F38="Direction"</formula>
    </cfRule>
    <cfRule type="expression" dxfId="14659" priority="16383">
      <formula>$F38="Ventes Sicli"</formula>
    </cfRule>
    <cfRule type="expression" dxfId="14658" priority="16384">
      <formula>$F38="Ventes Chubb"</formula>
    </cfRule>
    <cfRule type="expression" dxfId="14657" priority="16385">
      <formula>$F38="SAV Sicli"</formula>
    </cfRule>
    <cfRule type="expression" dxfId="14656" priority="16386">
      <formula>$F38="SAV Chubb"</formula>
    </cfRule>
    <cfRule type="expression" dxfId="14655" priority="16387">
      <formula>$F38="Réalisation"</formula>
    </cfRule>
    <cfRule type="expression" dxfId="14654" priority="16388">
      <formula>$F38="Désenfumage"</formula>
    </cfRule>
    <cfRule type="expression" dxfId="14653" priority="16389">
      <formula>$F38="Administratif"</formula>
    </cfRule>
  </conditionalFormatting>
  <conditionalFormatting sqref="C50:D54 C38:D38">
    <cfRule type="expression" dxfId="14652" priority="16380">
      <formula>$H38="non"</formula>
    </cfRule>
  </conditionalFormatting>
  <conditionalFormatting sqref="D47">
    <cfRule type="expression" dxfId="14651" priority="15751">
      <formula>$F47="Formation CCF"</formula>
    </cfRule>
    <cfRule type="expression" dxfId="14650" priority="15752">
      <formula>$F47="Direction"</formula>
    </cfRule>
    <cfRule type="expression" dxfId="14649" priority="15753">
      <formula>$F47="Ventes Sicli"</formula>
    </cfRule>
    <cfRule type="expression" dxfId="14648" priority="15754">
      <formula>$F47="Ventes Chubb"</formula>
    </cfRule>
    <cfRule type="expression" dxfId="14647" priority="15755">
      <formula>$F47="SAV Sicli"</formula>
    </cfRule>
    <cfRule type="expression" dxfId="14646" priority="15756">
      <formula>$F47="SAV Chubb"</formula>
    </cfRule>
    <cfRule type="expression" dxfId="14645" priority="15757">
      <formula>$F47="Réalisation"</formula>
    </cfRule>
    <cfRule type="expression" dxfId="14644" priority="15758">
      <formula>$F47="Désenfumage"</formula>
    </cfRule>
    <cfRule type="expression" dxfId="14643" priority="15759">
      <formula>$F47="Administratif"</formula>
    </cfRule>
  </conditionalFormatting>
  <conditionalFormatting sqref="D47">
    <cfRule type="expression" dxfId="14642" priority="15750">
      <formula>$H47="non"</formula>
    </cfRule>
  </conditionalFormatting>
  <conditionalFormatting sqref="C42:D42">
    <cfRule type="expression" dxfId="14641" priority="16371">
      <formula>$F42="Formation CCF"</formula>
    </cfRule>
    <cfRule type="expression" dxfId="14640" priority="16372">
      <formula>$F42="Direction"</formula>
    </cfRule>
    <cfRule type="expression" dxfId="14639" priority="16373">
      <formula>$F42="Ventes Sicli"</formula>
    </cfRule>
    <cfRule type="expression" dxfId="14638" priority="16374">
      <formula>$F42="Ventes Chubb"</formula>
    </cfRule>
    <cfRule type="expression" dxfId="14637" priority="16375">
      <formula>$F42="SAV Sicli"</formula>
    </cfRule>
    <cfRule type="expression" dxfId="14636" priority="16376">
      <formula>$F42="SAV Chubb"</formula>
    </cfRule>
    <cfRule type="expression" dxfId="14635" priority="16377">
      <formula>$F42="Réalisation"</formula>
    </cfRule>
    <cfRule type="expression" dxfId="14634" priority="16378">
      <formula>$F42="Désenfumage"</formula>
    </cfRule>
    <cfRule type="expression" dxfId="14633" priority="16379">
      <formula>$F42="Administratif"</formula>
    </cfRule>
  </conditionalFormatting>
  <conditionalFormatting sqref="C42:D42">
    <cfRule type="expression" dxfId="14632" priority="16370">
      <formula>$H42="non"</formula>
    </cfRule>
  </conditionalFormatting>
  <conditionalFormatting sqref="C41:D41">
    <cfRule type="expression" dxfId="14631" priority="16361">
      <formula>$F41="Formation CCF"</formula>
    </cfRule>
    <cfRule type="expression" dxfId="14630" priority="16362">
      <formula>$F41="Direction"</formula>
    </cfRule>
    <cfRule type="expression" dxfId="14629" priority="16363">
      <formula>$F41="Ventes Sicli"</formula>
    </cfRule>
    <cfRule type="expression" dxfId="14628" priority="16364">
      <formula>$F41="Ventes Chubb"</formula>
    </cfRule>
    <cfRule type="expression" dxfId="14627" priority="16365">
      <formula>$F41="SAV Sicli"</formula>
    </cfRule>
    <cfRule type="expression" dxfId="14626" priority="16366">
      <formula>$F41="SAV Chubb"</formula>
    </cfRule>
    <cfRule type="expression" dxfId="14625" priority="16367">
      <formula>$F41="Réalisation"</formula>
    </cfRule>
    <cfRule type="expression" dxfId="14624" priority="16368">
      <formula>$F41="Désenfumage"</formula>
    </cfRule>
    <cfRule type="expression" dxfId="14623" priority="16369">
      <formula>$F41="Administratif"</formula>
    </cfRule>
  </conditionalFormatting>
  <conditionalFormatting sqref="C41:D41">
    <cfRule type="expression" dxfId="14622" priority="16360">
      <formula>$H41="non"</formula>
    </cfRule>
  </conditionalFormatting>
  <conditionalFormatting sqref="C40:D40">
    <cfRule type="expression" dxfId="14621" priority="16351">
      <formula>$F40="Formation CCF"</formula>
    </cfRule>
    <cfRule type="expression" dxfId="14620" priority="16352">
      <formula>$F40="Direction"</formula>
    </cfRule>
    <cfRule type="expression" dxfId="14619" priority="16353">
      <formula>$F40="Ventes Sicli"</formula>
    </cfRule>
    <cfRule type="expression" dxfId="14618" priority="16354">
      <formula>$F40="Ventes Chubb"</formula>
    </cfRule>
    <cfRule type="expression" dxfId="14617" priority="16355">
      <formula>$F40="SAV Sicli"</formula>
    </cfRule>
    <cfRule type="expression" dxfId="14616" priority="16356">
      <formula>$F40="SAV Chubb"</formula>
    </cfRule>
    <cfRule type="expression" dxfId="14615" priority="16357">
      <formula>$F40="Réalisation"</formula>
    </cfRule>
    <cfRule type="expression" dxfId="14614" priority="16358">
      <formula>$F40="Désenfumage"</formula>
    </cfRule>
    <cfRule type="expression" dxfId="14613" priority="16359">
      <formula>$F40="Administratif"</formula>
    </cfRule>
  </conditionalFormatting>
  <conditionalFormatting sqref="C40:D40">
    <cfRule type="expression" dxfId="14612" priority="16350">
      <formula>$H40="non"</formula>
    </cfRule>
  </conditionalFormatting>
  <conditionalFormatting sqref="C38:D38">
    <cfRule type="expression" dxfId="14611" priority="16341">
      <formula>$F38="Formation CCF"</formula>
    </cfRule>
    <cfRule type="expression" dxfId="14610" priority="16342">
      <formula>$F38="Direction"</formula>
    </cfRule>
    <cfRule type="expression" dxfId="14609" priority="16343">
      <formula>$F38="Ventes Sicli"</formula>
    </cfRule>
    <cfRule type="expression" dxfId="14608" priority="16344">
      <formula>$F38="Ventes Chubb"</formula>
    </cfRule>
    <cfRule type="expression" dxfId="14607" priority="16345">
      <formula>$F38="SAV Sicli"</formula>
    </cfRule>
    <cfRule type="expression" dxfId="14606" priority="16346">
      <formula>$F38="SAV Chubb"</formula>
    </cfRule>
    <cfRule type="expression" dxfId="14605" priority="16347">
      <formula>$F38="Réalisation"</formula>
    </cfRule>
    <cfRule type="expression" dxfId="14604" priority="16348">
      <formula>$F38="Désenfumage"</formula>
    </cfRule>
    <cfRule type="expression" dxfId="14603" priority="16349">
      <formula>$F38="Administratif"</formula>
    </cfRule>
  </conditionalFormatting>
  <conditionalFormatting sqref="C38:D38">
    <cfRule type="expression" dxfId="14602" priority="16340">
      <formula>$H38="non"</formula>
    </cfRule>
  </conditionalFormatting>
  <conditionalFormatting sqref="C42:D42">
    <cfRule type="expression" dxfId="14601" priority="16331">
      <formula>$F42="Formation CCF"</formula>
    </cfRule>
    <cfRule type="expression" dxfId="14600" priority="16332">
      <formula>$F42="Direction"</formula>
    </cfRule>
    <cfRule type="expression" dxfId="14599" priority="16333">
      <formula>$F42="Ventes Sicli"</formula>
    </cfRule>
    <cfRule type="expression" dxfId="14598" priority="16334">
      <formula>$F42="Ventes Chubb"</formula>
    </cfRule>
    <cfRule type="expression" dxfId="14597" priority="16335">
      <formula>$F42="SAV Sicli"</formula>
    </cfRule>
    <cfRule type="expression" dxfId="14596" priority="16336">
      <formula>$F42="SAV Chubb"</formula>
    </cfRule>
    <cfRule type="expression" dxfId="14595" priority="16337">
      <formula>$F42="Réalisation"</formula>
    </cfRule>
    <cfRule type="expression" dxfId="14594" priority="16338">
      <formula>$F42="Désenfumage"</formula>
    </cfRule>
    <cfRule type="expression" dxfId="14593" priority="16339">
      <formula>$F42="Administratif"</formula>
    </cfRule>
  </conditionalFormatting>
  <conditionalFormatting sqref="C42:D42">
    <cfRule type="expression" dxfId="14592" priority="16330">
      <formula>$H42="non"</formula>
    </cfRule>
  </conditionalFormatting>
  <conditionalFormatting sqref="C41:D41">
    <cfRule type="expression" dxfId="14591" priority="16321">
      <formula>$F41="Formation CCF"</formula>
    </cfRule>
    <cfRule type="expression" dxfId="14590" priority="16322">
      <formula>$F41="Direction"</formula>
    </cfRule>
    <cfRule type="expression" dxfId="14589" priority="16323">
      <formula>$F41="Ventes Sicli"</formula>
    </cfRule>
    <cfRule type="expression" dxfId="14588" priority="16324">
      <formula>$F41="Ventes Chubb"</formula>
    </cfRule>
    <cfRule type="expression" dxfId="14587" priority="16325">
      <formula>$F41="SAV Sicli"</formula>
    </cfRule>
    <cfRule type="expression" dxfId="14586" priority="16326">
      <formula>$F41="SAV Chubb"</formula>
    </cfRule>
    <cfRule type="expression" dxfId="14585" priority="16327">
      <formula>$F41="Réalisation"</formula>
    </cfRule>
    <cfRule type="expression" dxfId="14584" priority="16328">
      <formula>$F41="Désenfumage"</formula>
    </cfRule>
    <cfRule type="expression" dxfId="14583" priority="16329">
      <formula>$F41="Administratif"</formula>
    </cfRule>
  </conditionalFormatting>
  <conditionalFormatting sqref="C41:D41">
    <cfRule type="expression" dxfId="14582" priority="16320">
      <formula>$H41="non"</formula>
    </cfRule>
  </conditionalFormatting>
  <conditionalFormatting sqref="C40:D40">
    <cfRule type="expression" dxfId="14581" priority="16311">
      <formula>$F40="Formation CCF"</formula>
    </cfRule>
    <cfRule type="expression" dxfId="14580" priority="16312">
      <formula>$F40="Direction"</formula>
    </cfRule>
    <cfRule type="expression" dxfId="14579" priority="16313">
      <formula>$F40="Ventes Sicli"</formula>
    </cfRule>
    <cfRule type="expression" dxfId="14578" priority="16314">
      <formula>$F40="Ventes Chubb"</formula>
    </cfRule>
    <cfRule type="expression" dxfId="14577" priority="16315">
      <formula>$F40="SAV Sicli"</formula>
    </cfRule>
    <cfRule type="expression" dxfId="14576" priority="16316">
      <formula>$F40="SAV Chubb"</formula>
    </cfRule>
    <cfRule type="expression" dxfId="14575" priority="16317">
      <formula>$F40="Réalisation"</formula>
    </cfRule>
    <cfRule type="expression" dxfId="14574" priority="16318">
      <formula>$F40="Désenfumage"</formula>
    </cfRule>
    <cfRule type="expression" dxfId="14573" priority="16319">
      <formula>$F40="Administratif"</formula>
    </cfRule>
  </conditionalFormatting>
  <conditionalFormatting sqref="C40:D40">
    <cfRule type="expression" dxfId="14572" priority="16310">
      <formula>$H40="non"</formula>
    </cfRule>
  </conditionalFormatting>
  <conditionalFormatting sqref="C38:D38">
    <cfRule type="expression" dxfId="14571" priority="16301">
      <formula>$F38="Formation CCF"</formula>
    </cfRule>
    <cfRule type="expression" dxfId="14570" priority="16302">
      <formula>$F38="Direction"</formula>
    </cfRule>
    <cfRule type="expression" dxfId="14569" priority="16303">
      <formula>$F38="Ventes Sicli"</formula>
    </cfRule>
    <cfRule type="expression" dxfId="14568" priority="16304">
      <formula>$F38="Ventes Chubb"</formula>
    </cfRule>
    <cfRule type="expression" dxfId="14567" priority="16305">
      <formula>$F38="SAV Sicli"</formula>
    </cfRule>
    <cfRule type="expression" dxfId="14566" priority="16306">
      <formula>$F38="SAV Chubb"</formula>
    </cfRule>
    <cfRule type="expression" dxfId="14565" priority="16307">
      <formula>$F38="Réalisation"</formula>
    </cfRule>
    <cfRule type="expression" dxfId="14564" priority="16308">
      <formula>$F38="Désenfumage"</formula>
    </cfRule>
    <cfRule type="expression" dxfId="14563" priority="16309">
      <formula>$F38="Administratif"</formula>
    </cfRule>
  </conditionalFormatting>
  <conditionalFormatting sqref="C38:D38">
    <cfRule type="expression" dxfId="14562" priority="16300">
      <formula>$H38="non"</formula>
    </cfRule>
  </conditionalFormatting>
  <conditionalFormatting sqref="C41:D41">
    <cfRule type="expression" dxfId="14561" priority="16291">
      <formula>$F41="Formation CCF"</formula>
    </cfRule>
    <cfRule type="expression" dxfId="14560" priority="16292">
      <formula>$F41="Direction"</formula>
    </cfRule>
    <cfRule type="expression" dxfId="14559" priority="16293">
      <formula>$F41="Ventes Sicli"</formula>
    </cfRule>
    <cfRule type="expression" dxfId="14558" priority="16294">
      <formula>$F41="Ventes Chubb"</formula>
    </cfRule>
    <cfRule type="expression" dxfId="14557" priority="16295">
      <formula>$F41="SAV Sicli"</formula>
    </cfRule>
    <cfRule type="expression" dxfId="14556" priority="16296">
      <formula>$F41="SAV Chubb"</formula>
    </cfRule>
    <cfRule type="expression" dxfId="14555" priority="16297">
      <formula>$F41="Réalisation"</formula>
    </cfRule>
    <cfRule type="expression" dxfId="14554" priority="16298">
      <formula>$F41="Désenfumage"</formula>
    </cfRule>
    <cfRule type="expression" dxfId="14553" priority="16299">
      <formula>$F41="Administratif"</formula>
    </cfRule>
  </conditionalFormatting>
  <conditionalFormatting sqref="C41:D41">
    <cfRule type="expression" dxfId="14552" priority="16290">
      <formula>$H41="non"</formula>
    </cfRule>
  </conditionalFormatting>
  <conditionalFormatting sqref="C40:D40">
    <cfRule type="expression" dxfId="14551" priority="16281">
      <formula>$F40="Formation CCF"</formula>
    </cfRule>
    <cfRule type="expression" dxfId="14550" priority="16282">
      <formula>$F40="Direction"</formula>
    </cfRule>
    <cfRule type="expression" dxfId="14549" priority="16283">
      <formula>$F40="Ventes Sicli"</formula>
    </cfRule>
    <cfRule type="expression" dxfId="14548" priority="16284">
      <formula>$F40="Ventes Chubb"</formula>
    </cfRule>
    <cfRule type="expression" dxfId="14547" priority="16285">
      <formula>$F40="SAV Sicli"</formula>
    </cfRule>
    <cfRule type="expression" dxfId="14546" priority="16286">
      <formula>$F40="SAV Chubb"</formula>
    </cfRule>
    <cfRule type="expression" dxfId="14545" priority="16287">
      <formula>$F40="Réalisation"</formula>
    </cfRule>
    <cfRule type="expression" dxfId="14544" priority="16288">
      <formula>$F40="Désenfumage"</formula>
    </cfRule>
    <cfRule type="expression" dxfId="14543" priority="16289">
      <formula>$F40="Administratif"</formula>
    </cfRule>
  </conditionalFormatting>
  <conditionalFormatting sqref="C40:D40">
    <cfRule type="expression" dxfId="14542" priority="16280">
      <formula>$H40="non"</formula>
    </cfRule>
  </conditionalFormatting>
  <conditionalFormatting sqref="C38:D38">
    <cfRule type="expression" dxfId="14541" priority="16271">
      <formula>$F38="Formation CCF"</formula>
    </cfRule>
    <cfRule type="expression" dxfId="14540" priority="16272">
      <formula>$F38="Direction"</formula>
    </cfRule>
    <cfRule type="expression" dxfId="14539" priority="16273">
      <formula>$F38="Ventes Sicli"</formula>
    </cfRule>
    <cfRule type="expression" dxfId="14538" priority="16274">
      <formula>$F38="Ventes Chubb"</formula>
    </cfRule>
    <cfRule type="expression" dxfId="14537" priority="16275">
      <formula>$F38="SAV Sicli"</formula>
    </cfRule>
    <cfRule type="expression" dxfId="14536" priority="16276">
      <formula>$F38="SAV Chubb"</formula>
    </cfRule>
    <cfRule type="expression" dxfId="14535" priority="16277">
      <formula>$F38="Réalisation"</formula>
    </cfRule>
    <cfRule type="expression" dxfId="14534" priority="16278">
      <formula>$F38="Désenfumage"</formula>
    </cfRule>
    <cfRule type="expression" dxfId="14533" priority="16279">
      <formula>$F38="Administratif"</formula>
    </cfRule>
  </conditionalFormatting>
  <conditionalFormatting sqref="C38:D38">
    <cfRule type="expression" dxfId="14532" priority="16270">
      <formula>$H38="non"</formula>
    </cfRule>
  </conditionalFormatting>
  <conditionalFormatting sqref="C60:D60">
    <cfRule type="expression" dxfId="14531" priority="16261">
      <formula>$F60="Formation CCF"</formula>
    </cfRule>
    <cfRule type="expression" dxfId="14530" priority="16262">
      <formula>$F60="Direction"</formula>
    </cfRule>
    <cfRule type="expression" dxfId="14529" priority="16263">
      <formula>$F60="Ventes Sicli"</formula>
    </cfRule>
    <cfRule type="expression" dxfId="14528" priority="16264">
      <formula>$F60="Ventes Chubb"</formula>
    </cfRule>
    <cfRule type="expression" dxfId="14527" priority="16265">
      <formula>$F60="SAV Sicli"</formula>
    </cfRule>
    <cfRule type="expression" dxfId="14526" priority="16266">
      <formula>$F60="SAV Chubb"</formula>
    </cfRule>
    <cfRule type="expression" dxfId="14525" priority="16267">
      <formula>$F60="Réalisation"</formula>
    </cfRule>
    <cfRule type="expression" dxfId="14524" priority="16268">
      <formula>$F60="Désenfumage"</formula>
    </cfRule>
    <cfRule type="expression" dxfId="14523" priority="16269">
      <formula>$F60="Administratif"</formula>
    </cfRule>
  </conditionalFormatting>
  <conditionalFormatting sqref="C60:D60">
    <cfRule type="expression" dxfId="14522" priority="16260">
      <formula>$H60="non"</formula>
    </cfRule>
  </conditionalFormatting>
  <conditionalFormatting sqref="C59:D59">
    <cfRule type="expression" dxfId="14521" priority="16251">
      <formula>$F59="Formation CCF"</formula>
    </cfRule>
    <cfRule type="expression" dxfId="14520" priority="16252">
      <formula>$F59="Direction"</formula>
    </cfRule>
    <cfRule type="expression" dxfId="14519" priority="16253">
      <formula>$F59="Ventes Sicli"</formula>
    </cfRule>
    <cfRule type="expression" dxfId="14518" priority="16254">
      <formula>$F59="Ventes Chubb"</formula>
    </cfRule>
    <cfRule type="expression" dxfId="14517" priority="16255">
      <formula>$F59="SAV Sicli"</formula>
    </cfRule>
    <cfRule type="expression" dxfId="14516" priority="16256">
      <formula>$F59="SAV Chubb"</formula>
    </cfRule>
    <cfRule type="expression" dxfId="14515" priority="16257">
      <formula>$F59="Réalisation"</formula>
    </cfRule>
    <cfRule type="expression" dxfId="14514" priority="16258">
      <formula>$F59="Désenfumage"</formula>
    </cfRule>
    <cfRule type="expression" dxfId="14513" priority="16259">
      <formula>$F59="Administratif"</formula>
    </cfRule>
  </conditionalFormatting>
  <conditionalFormatting sqref="C59:D59">
    <cfRule type="expression" dxfId="14512" priority="16250">
      <formula>$H59="non"</formula>
    </cfRule>
  </conditionalFormatting>
  <conditionalFormatting sqref="C58:D58">
    <cfRule type="expression" dxfId="14511" priority="16241">
      <formula>$F58="Formation CCF"</formula>
    </cfRule>
    <cfRule type="expression" dxfId="14510" priority="16242">
      <formula>$F58="Direction"</formula>
    </cfRule>
    <cfRule type="expression" dxfId="14509" priority="16243">
      <formula>$F58="Ventes Sicli"</formula>
    </cfRule>
    <cfRule type="expression" dxfId="14508" priority="16244">
      <formula>$F58="Ventes Chubb"</formula>
    </cfRule>
    <cfRule type="expression" dxfId="14507" priority="16245">
      <formula>$F58="SAV Sicli"</formula>
    </cfRule>
    <cfRule type="expression" dxfId="14506" priority="16246">
      <formula>$F58="SAV Chubb"</formula>
    </cfRule>
    <cfRule type="expression" dxfId="14505" priority="16247">
      <formula>$F58="Réalisation"</formula>
    </cfRule>
    <cfRule type="expression" dxfId="14504" priority="16248">
      <formula>$F58="Désenfumage"</formula>
    </cfRule>
    <cfRule type="expression" dxfId="14503" priority="16249">
      <formula>$F58="Administratif"</formula>
    </cfRule>
  </conditionalFormatting>
  <conditionalFormatting sqref="C58:D58">
    <cfRule type="expression" dxfId="14502" priority="16240">
      <formula>$H58="non"</formula>
    </cfRule>
  </conditionalFormatting>
  <conditionalFormatting sqref="C57:D57">
    <cfRule type="expression" dxfId="14501" priority="16231">
      <formula>$F57="Formation CCF"</formula>
    </cfRule>
    <cfRule type="expression" dxfId="14500" priority="16232">
      <formula>$F57="Direction"</formula>
    </cfRule>
    <cfRule type="expression" dxfId="14499" priority="16233">
      <formula>$F57="Ventes Sicli"</formula>
    </cfRule>
    <cfRule type="expression" dxfId="14498" priority="16234">
      <formula>$F57="Ventes Chubb"</formula>
    </cfRule>
    <cfRule type="expression" dxfId="14497" priority="16235">
      <formula>$F57="SAV Sicli"</formula>
    </cfRule>
    <cfRule type="expression" dxfId="14496" priority="16236">
      <formula>$F57="SAV Chubb"</formula>
    </cfRule>
    <cfRule type="expression" dxfId="14495" priority="16237">
      <formula>$F57="Réalisation"</formula>
    </cfRule>
    <cfRule type="expression" dxfId="14494" priority="16238">
      <formula>$F57="Désenfumage"</formula>
    </cfRule>
    <cfRule type="expression" dxfId="14493" priority="16239">
      <formula>$F57="Administratif"</formula>
    </cfRule>
  </conditionalFormatting>
  <conditionalFormatting sqref="C57:D57">
    <cfRule type="expression" dxfId="14492" priority="16230">
      <formula>$H57="non"</formula>
    </cfRule>
  </conditionalFormatting>
  <conditionalFormatting sqref="C56:D56">
    <cfRule type="expression" dxfId="14491" priority="16221">
      <formula>$F56="Formation CCF"</formula>
    </cfRule>
    <cfRule type="expression" dxfId="14490" priority="16222">
      <formula>$F56="Direction"</formula>
    </cfRule>
    <cfRule type="expression" dxfId="14489" priority="16223">
      <formula>$F56="Ventes Sicli"</formula>
    </cfRule>
    <cfRule type="expression" dxfId="14488" priority="16224">
      <formula>$F56="Ventes Chubb"</formula>
    </cfRule>
    <cfRule type="expression" dxfId="14487" priority="16225">
      <formula>$F56="SAV Sicli"</formula>
    </cfRule>
    <cfRule type="expression" dxfId="14486" priority="16226">
      <formula>$F56="SAV Chubb"</formula>
    </cfRule>
    <cfRule type="expression" dxfId="14485" priority="16227">
      <formula>$F56="Réalisation"</formula>
    </cfRule>
    <cfRule type="expression" dxfId="14484" priority="16228">
      <formula>$F56="Désenfumage"</formula>
    </cfRule>
    <cfRule type="expression" dxfId="14483" priority="16229">
      <formula>$F56="Administratif"</formula>
    </cfRule>
  </conditionalFormatting>
  <conditionalFormatting sqref="C56:D56">
    <cfRule type="expression" dxfId="14482" priority="16220">
      <formula>$H56="non"</formula>
    </cfRule>
  </conditionalFormatting>
  <conditionalFormatting sqref="C55:D55">
    <cfRule type="expression" dxfId="14481" priority="16211">
      <formula>$F55="Formation CCF"</formula>
    </cfRule>
    <cfRule type="expression" dxfId="14480" priority="16212">
      <formula>$F55="Direction"</formula>
    </cfRule>
    <cfRule type="expression" dxfId="14479" priority="16213">
      <formula>$F55="Ventes Sicli"</formula>
    </cfRule>
    <cfRule type="expression" dxfId="14478" priority="16214">
      <formula>$F55="Ventes Chubb"</formula>
    </cfRule>
    <cfRule type="expression" dxfId="14477" priority="16215">
      <formula>$F55="SAV Sicli"</formula>
    </cfRule>
    <cfRule type="expression" dxfId="14476" priority="16216">
      <formula>$F55="SAV Chubb"</formula>
    </cfRule>
    <cfRule type="expression" dxfId="14475" priority="16217">
      <formula>$F55="Réalisation"</formula>
    </cfRule>
    <cfRule type="expression" dxfId="14474" priority="16218">
      <formula>$F55="Désenfumage"</formula>
    </cfRule>
    <cfRule type="expression" dxfId="14473" priority="16219">
      <formula>$F55="Administratif"</formula>
    </cfRule>
  </conditionalFormatting>
  <conditionalFormatting sqref="C55:D55">
    <cfRule type="expression" dxfId="14472" priority="16210">
      <formula>$H55="non"</formula>
    </cfRule>
  </conditionalFormatting>
  <conditionalFormatting sqref="C54:D54">
    <cfRule type="expression" dxfId="14471" priority="16201">
      <formula>$F54="Formation CCF"</formula>
    </cfRule>
    <cfRule type="expression" dxfId="14470" priority="16202">
      <formula>$F54="Direction"</formula>
    </cfRule>
    <cfRule type="expression" dxfId="14469" priority="16203">
      <formula>$F54="Ventes Sicli"</formula>
    </cfRule>
    <cfRule type="expression" dxfId="14468" priority="16204">
      <formula>$F54="Ventes Chubb"</formula>
    </cfRule>
    <cfRule type="expression" dxfId="14467" priority="16205">
      <formula>$F54="SAV Sicli"</formula>
    </cfRule>
    <cfRule type="expression" dxfId="14466" priority="16206">
      <formula>$F54="SAV Chubb"</formula>
    </cfRule>
    <cfRule type="expression" dxfId="14465" priority="16207">
      <formula>$F54="Réalisation"</formula>
    </cfRule>
    <cfRule type="expression" dxfId="14464" priority="16208">
      <formula>$F54="Désenfumage"</formula>
    </cfRule>
    <cfRule type="expression" dxfId="14463" priority="16209">
      <formula>$F54="Administratif"</formula>
    </cfRule>
  </conditionalFormatting>
  <conditionalFormatting sqref="C54:D54">
    <cfRule type="expression" dxfId="14462" priority="16200">
      <formula>$H54="non"</formula>
    </cfRule>
  </conditionalFormatting>
  <conditionalFormatting sqref="C53:D53">
    <cfRule type="expression" dxfId="14461" priority="16191">
      <formula>$F53="Formation CCF"</formula>
    </cfRule>
    <cfRule type="expression" dxfId="14460" priority="16192">
      <formula>$F53="Direction"</formula>
    </cfRule>
    <cfRule type="expression" dxfId="14459" priority="16193">
      <formula>$F53="Ventes Sicli"</formula>
    </cfRule>
    <cfRule type="expression" dxfId="14458" priority="16194">
      <formula>$F53="Ventes Chubb"</formula>
    </cfRule>
    <cfRule type="expression" dxfId="14457" priority="16195">
      <formula>$F53="SAV Sicli"</formula>
    </cfRule>
    <cfRule type="expression" dxfId="14456" priority="16196">
      <formula>$F53="SAV Chubb"</formula>
    </cfRule>
    <cfRule type="expression" dxfId="14455" priority="16197">
      <formula>$F53="Réalisation"</formula>
    </cfRule>
    <cfRule type="expression" dxfId="14454" priority="16198">
      <formula>$F53="Désenfumage"</formula>
    </cfRule>
    <cfRule type="expression" dxfId="14453" priority="16199">
      <formula>$F53="Administratif"</formula>
    </cfRule>
  </conditionalFormatting>
  <conditionalFormatting sqref="C53:D53">
    <cfRule type="expression" dxfId="14452" priority="16190">
      <formula>$H53="non"</formula>
    </cfRule>
  </conditionalFormatting>
  <conditionalFormatting sqref="D51">
    <cfRule type="expression" dxfId="14451" priority="16181">
      <formula>$F51="Formation CCF"</formula>
    </cfRule>
    <cfRule type="expression" dxfId="14450" priority="16182">
      <formula>$F51="Direction"</formula>
    </cfRule>
    <cfRule type="expression" dxfId="14449" priority="16183">
      <formula>$F51="Ventes Sicli"</formula>
    </cfRule>
    <cfRule type="expression" dxfId="14448" priority="16184">
      <formula>$F51="Ventes Chubb"</formula>
    </cfRule>
    <cfRule type="expression" dxfId="14447" priority="16185">
      <formula>$F51="SAV Sicli"</formula>
    </cfRule>
    <cfRule type="expression" dxfId="14446" priority="16186">
      <formula>$F51="SAV Chubb"</formula>
    </cfRule>
    <cfRule type="expression" dxfId="14445" priority="16187">
      <formula>$F51="Réalisation"</formula>
    </cfRule>
    <cfRule type="expression" dxfId="14444" priority="16188">
      <formula>$F51="Désenfumage"</formula>
    </cfRule>
    <cfRule type="expression" dxfId="14443" priority="16189">
      <formula>$F51="Administratif"</formula>
    </cfRule>
  </conditionalFormatting>
  <conditionalFormatting sqref="D51">
    <cfRule type="expression" dxfId="14442" priority="16180">
      <formula>$H51="non"</formula>
    </cfRule>
  </conditionalFormatting>
  <conditionalFormatting sqref="D50">
    <cfRule type="expression" dxfId="14441" priority="16171">
      <formula>$F50="Formation CCF"</formula>
    </cfRule>
    <cfRule type="expression" dxfId="14440" priority="16172">
      <formula>$F50="Direction"</formula>
    </cfRule>
    <cfRule type="expression" dxfId="14439" priority="16173">
      <formula>$F50="Ventes Sicli"</formula>
    </cfRule>
    <cfRule type="expression" dxfId="14438" priority="16174">
      <formula>$F50="Ventes Chubb"</formula>
    </cfRule>
    <cfRule type="expression" dxfId="14437" priority="16175">
      <formula>$F50="SAV Sicli"</formula>
    </cfRule>
    <cfRule type="expression" dxfId="14436" priority="16176">
      <formula>$F50="SAV Chubb"</formula>
    </cfRule>
    <cfRule type="expression" dxfId="14435" priority="16177">
      <formula>$F50="Réalisation"</formula>
    </cfRule>
    <cfRule type="expression" dxfId="14434" priority="16178">
      <formula>$F50="Désenfumage"</formula>
    </cfRule>
    <cfRule type="expression" dxfId="14433" priority="16179">
      <formula>$F50="Administratif"</formula>
    </cfRule>
  </conditionalFormatting>
  <conditionalFormatting sqref="D50">
    <cfRule type="expression" dxfId="14432" priority="16170">
      <formula>$H50="non"</formula>
    </cfRule>
  </conditionalFormatting>
  <conditionalFormatting sqref="D49">
    <cfRule type="expression" dxfId="14431" priority="16151">
      <formula>$F49="Formation CCF"</formula>
    </cfRule>
    <cfRule type="expression" dxfId="14430" priority="16152">
      <formula>$F49="Direction"</formula>
    </cfRule>
    <cfRule type="expression" dxfId="14429" priority="16153">
      <formula>$F49="Ventes Sicli"</formula>
    </cfRule>
    <cfRule type="expression" dxfId="14428" priority="16154">
      <formula>$F49="Ventes Chubb"</formula>
    </cfRule>
    <cfRule type="expression" dxfId="14427" priority="16155">
      <formula>$F49="SAV Sicli"</formula>
    </cfRule>
    <cfRule type="expression" dxfId="14426" priority="16156">
      <formula>$F49="SAV Chubb"</formula>
    </cfRule>
    <cfRule type="expression" dxfId="14425" priority="16157">
      <formula>$F49="Réalisation"</formula>
    </cfRule>
    <cfRule type="expression" dxfId="14424" priority="16158">
      <formula>$F49="Désenfumage"</formula>
    </cfRule>
    <cfRule type="expression" dxfId="14423" priority="16159">
      <formula>$F49="Administratif"</formula>
    </cfRule>
  </conditionalFormatting>
  <conditionalFormatting sqref="D49">
    <cfRule type="expression" dxfId="14422" priority="16150">
      <formula>$H49="non"</formula>
    </cfRule>
  </conditionalFormatting>
  <conditionalFormatting sqref="D48">
    <cfRule type="expression" dxfId="14421" priority="16141">
      <formula>$F48="Formation CCF"</formula>
    </cfRule>
    <cfRule type="expression" dxfId="14420" priority="16142">
      <formula>$F48="Direction"</formula>
    </cfRule>
    <cfRule type="expression" dxfId="14419" priority="16143">
      <formula>$F48="Ventes Sicli"</formula>
    </cfRule>
    <cfRule type="expression" dxfId="14418" priority="16144">
      <formula>$F48="Ventes Chubb"</formula>
    </cfRule>
    <cfRule type="expression" dxfId="14417" priority="16145">
      <formula>$F48="SAV Sicli"</formula>
    </cfRule>
    <cfRule type="expression" dxfId="14416" priority="16146">
      <formula>$F48="SAV Chubb"</formula>
    </cfRule>
    <cfRule type="expression" dxfId="14415" priority="16147">
      <formula>$F48="Réalisation"</formula>
    </cfRule>
    <cfRule type="expression" dxfId="14414" priority="16148">
      <formula>$F48="Désenfumage"</formula>
    </cfRule>
    <cfRule type="expression" dxfId="14413" priority="16149">
      <formula>$F48="Administratif"</formula>
    </cfRule>
  </conditionalFormatting>
  <conditionalFormatting sqref="D48">
    <cfRule type="expression" dxfId="14412" priority="16140">
      <formula>$H48="non"</formula>
    </cfRule>
  </conditionalFormatting>
  <conditionalFormatting sqref="D47">
    <cfRule type="expression" dxfId="14411" priority="16131">
      <formula>$F47="Formation CCF"</formula>
    </cfRule>
    <cfRule type="expression" dxfId="14410" priority="16132">
      <formula>$F47="Direction"</formula>
    </cfRule>
    <cfRule type="expression" dxfId="14409" priority="16133">
      <formula>$F47="Ventes Sicli"</formula>
    </cfRule>
    <cfRule type="expression" dxfId="14408" priority="16134">
      <formula>$F47="Ventes Chubb"</formula>
    </cfRule>
    <cfRule type="expression" dxfId="14407" priority="16135">
      <formula>$F47="SAV Sicli"</formula>
    </cfRule>
    <cfRule type="expression" dxfId="14406" priority="16136">
      <formula>$F47="SAV Chubb"</formula>
    </cfRule>
    <cfRule type="expression" dxfId="14405" priority="16137">
      <formula>$F47="Réalisation"</formula>
    </cfRule>
    <cfRule type="expression" dxfId="14404" priority="16138">
      <formula>$F47="Désenfumage"</formula>
    </cfRule>
    <cfRule type="expression" dxfId="14403" priority="16139">
      <formula>$F47="Administratif"</formula>
    </cfRule>
  </conditionalFormatting>
  <conditionalFormatting sqref="D47">
    <cfRule type="expression" dxfId="14402" priority="16130">
      <formula>$H47="non"</formula>
    </cfRule>
  </conditionalFormatting>
  <conditionalFormatting sqref="D44">
    <cfRule type="expression" dxfId="14401" priority="16121">
      <formula>$F44="Formation CCF"</formula>
    </cfRule>
    <cfRule type="expression" dxfId="14400" priority="16122">
      <formula>$F44="Direction"</formula>
    </cfRule>
    <cfRule type="expression" dxfId="14399" priority="16123">
      <formula>$F44="Ventes Sicli"</formula>
    </cfRule>
    <cfRule type="expression" dxfId="14398" priority="16124">
      <formula>$F44="Ventes Chubb"</formula>
    </cfRule>
    <cfRule type="expression" dxfId="14397" priority="16125">
      <formula>$F44="SAV Sicli"</formula>
    </cfRule>
    <cfRule type="expression" dxfId="14396" priority="16126">
      <formula>$F44="SAV Chubb"</formula>
    </cfRule>
    <cfRule type="expression" dxfId="14395" priority="16127">
      <formula>$F44="Réalisation"</formula>
    </cfRule>
    <cfRule type="expression" dxfId="14394" priority="16128">
      <formula>$F44="Désenfumage"</formula>
    </cfRule>
    <cfRule type="expression" dxfId="14393" priority="16129">
      <formula>$F44="Administratif"</formula>
    </cfRule>
  </conditionalFormatting>
  <conditionalFormatting sqref="D44">
    <cfRule type="expression" dxfId="14392" priority="16120">
      <formula>$H44="non"</formula>
    </cfRule>
  </conditionalFormatting>
  <conditionalFormatting sqref="D43">
    <cfRule type="expression" dxfId="14391" priority="16101">
      <formula>$F43="Formation CCF"</formula>
    </cfRule>
    <cfRule type="expression" dxfId="14390" priority="16102">
      <formula>$F43="Direction"</formula>
    </cfRule>
    <cfRule type="expression" dxfId="14389" priority="16103">
      <formula>$F43="Ventes Sicli"</formula>
    </cfRule>
    <cfRule type="expression" dxfId="14388" priority="16104">
      <formula>$F43="Ventes Chubb"</formula>
    </cfRule>
    <cfRule type="expression" dxfId="14387" priority="16105">
      <formula>$F43="SAV Sicli"</formula>
    </cfRule>
    <cfRule type="expression" dxfId="14386" priority="16106">
      <formula>$F43="SAV Chubb"</formula>
    </cfRule>
    <cfRule type="expression" dxfId="14385" priority="16107">
      <formula>$F43="Réalisation"</formula>
    </cfRule>
    <cfRule type="expression" dxfId="14384" priority="16108">
      <formula>$F43="Désenfumage"</formula>
    </cfRule>
    <cfRule type="expression" dxfId="14383" priority="16109">
      <formula>$F43="Administratif"</formula>
    </cfRule>
  </conditionalFormatting>
  <conditionalFormatting sqref="D43">
    <cfRule type="expression" dxfId="14382" priority="16100">
      <formula>$H43="non"</formula>
    </cfRule>
  </conditionalFormatting>
  <conditionalFormatting sqref="D42">
    <cfRule type="expression" dxfId="14381" priority="16071">
      <formula>$F42="Formation CCF"</formula>
    </cfRule>
    <cfRule type="expression" dxfId="14380" priority="16072">
      <formula>$F42="Direction"</formula>
    </cfRule>
    <cfRule type="expression" dxfId="14379" priority="16073">
      <formula>$F42="Ventes Sicli"</formula>
    </cfRule>
    <cfRule type="expression" dxfId="14378" priority="16074">
      <formula>$F42="Ventes Chubb"</formula>
    </cfRule>
    <cfRule type="expression" dxfId="14377" priority="16075">
      <formula>$F42="SAV Sicli"</formula>
    </cfRule>
    <cfRule type="expression" dxfId="14376" priority="16076">
      <formula>$F42="SAV Chubb"</formula>
    </cfRule>
    <cfRule type="expression" dxfId="14375" priority="16077">
      <formula>$F42="Réalisation"</formula>
    </cfRule>
    <cfRule type="expression" dxfId="14374" priority="16078">
      <formula>$F42="Désenfumage"</formula>
    </cfRule>
    <cfRule type="expression" dxfId="14373" priority="16079">
      <formula>$F42="Administratif"</formula>
    </cfRule>
  </conditionalFormatting>
  <conditionalFormatting sqref="D42">
    <cfRule type="expression" dxfId="14372" priority="16070">
      <formula>$H42="non"</formula>
    </cfRule>
  </conditionalFormatting>
  <conditionalFormatting sqref="D41">
    <cfRule type="expression" dxfId="14371" priority="16061">
      <formula>$F41="Formation CCF"</formula>
    </cfRule>
    <cfRule type="expression" dxfId="14370" priority="16062">
      <formula>$F41="Direction"</formula>
    </cfRule>
    <cfRule type="expression" dxfId="14369" priority="16063">
      <formula>$F41="Ventes Sicli"</formula>
    </cfRule>
    <cfRule type="expression" dxfId="14368" priority="16064">
      <formula>$F41="Ventes Chubb"</formula>
    </cfRule>
    <cfRule type="expression" dxfId="14367" priority="16065">
      <formula>$F41="SAV Sicli"</formula>
    </cfRule>
    <cfRule type="expression" dxfId="14366" priority="16066">
      <formula>$F41="SAV Chubb"</formula>
    </cfRule>
    <cfRule type="expression" dxfId="14365" priority="16067">
      <formula>$F41="Réalisation"</formula>
    </cfRule>
    <cfRule type="expression" dxfId="14364" priority="16068">
      <formula>$F41="Désenfumage"</formula>
    </cfRule>
    <cfRule type="expression" dxfId="14363" priority="16069">
      <formula>$F41="Administratif"</formula>
    </cfRule>
  </conditionalFormatting>
  <conditionalFormatting sqref="D41">
    <cfRule type="expression" dxfId="14362" priority="16060">
      <formula>$H41="non"</formula>
    </cfRule>
  </conditionalFormatting>
  <conditionalFormatting sqref="D40">
    <cfRule type="expression" dxfId="14361" priority="16051">
      <formula>$F40="Formation CCF"</formula>
    </cfRule>
    <cfRule type="expression" dxfId="14360" priority="16052">
      <formula>$F40="Direction"</formula>
    </cfRule>
    <cfRule type="expression" dxfId="14359" priority="16053">
      <formula>$F40="Ventes Sicli"</formula>
    </cfRule>
    <cfRule type="expression" dxfId="14358" priority="16054">
      <formula>$F40="Ventes Chubb"</formula>
    </cfRule>
    <cfRule type="expression" dxfId="14357" priority="16055">
      <formula>$F40="SAV Sicli"</formula>
    </cfRule>
    <cfRule type="expression" dxfId="14356" priority="16056">
      <formula>$F40="SAV Chubb"</formula>
    </cfRule>
    <cfRule type="expression" dxfId="14355" priority="16057">
      <formula>$F40="Réalisation"</formula>
    </cfRule>
    <cfRule type="expression" dxfId="14354" priority="16058">
      <formula>$F40="Désenfumage"</formula>
    </cfRule>
    <cfRule type="expression" dxfId="14353" priority="16059">
      <formula>$F40="Administratif"</formula>
    </cfRule>
  </conditionalFormatting>
  <conditionalFormatting sqref="D40">
    <cfRule type="expression" dxfId="14352" priority="16050">
      <formula>$H40="non"</formula>
    </cfRule>
  </conditionalFormatting>
  <conditionalFormatting sqref="D38">
    <cfRule type="expression" dxfId="14351" priority="16041">
      <formula>$F38="Formation CCF"</formula>
    </cfRule>
    <cfRule type="expression" dxfId="14350" priority="16042">
      <formula>$F38="Direction"</formula>
    </cfRule>
    <cfRule type="expression" dxfId="14349" priority="16043">
      <formula>$F38="Ventes Sicli"</formula>
    </cfRule>
    <cfRule type="expression" dxfId="14348" priority="16044">
      <formula>$F38="Ventes Chubb"</formula>
    </cfRule>
    <cfRule type="expression" dxfId="14347" priority="16045">
      <formula>$F38="SAV Sicli"</formula>
    </cfRule>
    <cfRule type="expression" dxfId="14346" priority="16046">
      <formula>$F38="SAV Chubb"</formula>
    </cfRule>
    <cfRule type="expression" dxfId="14345" priority="16047">
      <formula>$F38="Réalisation"</formula>
    </cfRule>
    <cfRule type="expression" dxfId="14344" priority="16048">
      <formula>$F38="Désenfumage"</formula>
    </cfRule>
    <cfRule type="expression" dxfId="14343" priority="16049">
      <formula>$F38="Administratif"</formula>
    </cfRule>
  </conditionalFormatting>
  <conditionalFormatting sqref="D38">
    <cfRule type="expression" dxfId="14342" priority="16040">
      <formula>$H38="non"</formula>
    </cfRule>
  </conditionalFormatting>
  <conditionalFormatting sqref="D50">
    <cfRule type="expression" dxfId="14341" priority="16031">
      <formula>$F50="Formation CCF"</formula>
    </cfRule>
    <cfRule type="expression" dxfId="14340" priority="16032">
      <formula>$F50="Direction"</formula>
    </cfRule>
    <cfRule type="expression" dxfId="14339" priority="16033">
      <formula>$F50="Ventes Sicli"</formula>
    </cfRule>
    <cfRule type="expression" dxfId="14338" priority="16034">
      <formula>$F50="Ventes Chubb"</formula>
    </cfRule>
    <cfRule type="expression" dxfId="14337" priority="16035">
      <formula>$F50="SAV Sicli"</formula>
    </cfRule>
    <cfRule type="expression" dxfId="14336" priority="16036">
      <formula>$F50="SAV Chubb"</formula>
    </cfRule>
    <cfRule type="expression" dxfId="14335" priority="16037">
      <formula>$F50="Réalisation"</formula>
    </cfRule>
    <cfRule type="expression" dxfId="14334" priority="16038">
      <formula>$F50="Désenfumage"</formula>
    </cfRule>
    <cfRule type="expression" dxfId="14333" priority="16039">
      <formula>$F50="Administratif"</formula>
    </cfRule>
  </conditionalFormatting>
  <conditionalFormatting sqref="D50">
    <cfRule type="expression" dxfId="14332" priority="16030">
      <formula>$H50="non"</formula>
    </cfRule>
  </conditionalFormatting>
  <conditionalFormatting sqref="D49">
    <cfRule type="expression" dxfId="14331" priority="16011">
      <formula>$F49="Formation CCF"</formula>
    </cfRule>
    <cfRule type="expression" dxfId="14330" priority="16012">
      <formula>$F49="Direction"</formula>
    </cfRule>
    <cfRule type="expression" dxfId="14329" priority="16013">
      <formula>$F49="Ventes Sicli"</formula>
    </cfRule>
    <cfRule type="expression" dxfId="14328" priority="16014">
      <formula>$F49="Ventes Chubb"</formula>
    </cfRule>
    <cfRule type="expression" dxfId="14327" priority="16015">
      <formula>$F49="SAV Sicli"</formula>
    </cfRule>
    <cfRule type="expression" dxfId="14326" priority="16016">
      <formula>$F49="SAV Chubb"</formula>
    </cfRule>
    <cfRule type="expression" dxfId="14325" priority="16017">
      <formula>$F49="Réalisation"</formula>
    </cfRule>
    <cfRule type="expression" dxfId="14324" priority="16018">
      <formula>$F49="Désenfumage"</formula>
    </cfRule>
    <cfRule type="expression" dxfId="14323" priority="16019">
      <formula>$F49="Administratif"</formula>
    </cfRule>
  </conditionalFormatting>
  <conditionalFormatting sqref="D49">
    <cfRule type="expression" dxfId="14322" priority="16010">
      <formula>$H49="non"</formula>
    </cfRule>
  </conditionalFormatting>
  <conditionalFormatting sqref="D48">
    <cfRule type="expression" dxfId="14321" priority="16001">
      <formula>$F48="Formation CCF"</formula>
    </cfRule>
    <cfRule type="expression" dxfId="14320" priority="16002">
      <formula>$F48="Direction"</formula>
    </cfRule>
    <cfRule type="expression" dxfId="14319" priority="16003">
      <formula>$F48="Ventes Sicli"</formula>
    </cfRule>
    <cfRule type="expression" dxfId="14318" priority="16004">
      <formula>$F48="Ventes Chubb"</formula>
    </cfRule>
    <cfRule type="expression" dxfId="14317" priority="16005">
      <formula>$F48="SAV Sicli"</formula>
    </cfRule>
    <cfRule type="expression" dxfId="14316" priority="16006">
      <formula>$F48="SAV Chubb"</formula>
    </cfRule>
    <cfRule type="expression" dxfId="14315" priority="16007">
      <formula>$F48="Réalisation"</formula>
    </cfRule>
    <cfRule type="expression" dxfId="14314" priority="16008">
      <formula>$F48="Désenfumage"</formula>
    </cfRule>
    <cfRule type="expression" dxfId="14313" priority="16009">
      <formula>$F48="Administratif"</formula>
    </cfRule>
  </conditionalFormatting>
  <conditionalFormatting sqref="D48">
    <cfRule type="expression" dxfId="14312" priority="16000">
      <formula>$H48="non"</formula>
    </cfRule>
  </conditionalFormatting>
  <conditionalFormatting sqref="D47">
    <cfRule type="expression" dxfId="14311" priority="15991">
      <formula>$F47="Formation CCF"</formula>
    </cfRule>
    <cfRule type="expression" dxfId="14310" priority="15992">
      <formula>$F47="Direction"</formula>
    </cfRule>
    <cfRule type="expression" dxfId="14309" priority="15993">
      <formula>$F47="Ventes Sicli"</formula>
    </cfRule>
    <cfRule type="expression" dxfId="14308" priority="15994">
      <formula>$F47="Ventes Chubb"</formula>
    </cfRule>
    <cfRule type="expression" dxfId="14307" priority="15995">
      <formula>$F47="SAV Sicli"</formula>
    </cfRule>
    <cfRule type="expression" dxfId="14306" priority="15996">
      <formula>$F47="SAV Chubb"</formula>
    </cfRule>
    <cfRule type="expression" dxfId="14305" priority="15997">
      <formula>$F47="Réalisation"</formula>
    </cfRule>
    <cfRule type="expression" dxfId="14304" priority="15998">
      <formula>$F47="Désenfumage"</formula>
    </cfRule>
    <cfRule type="expression" dxfId="14303" priority="15999">
      <formula>$F47="Administratif"</formula>
    </cfRule>
  </conditionalFormatting>
  <conditionalFormatting sqref="D47">
    <cfRule type="expression" dxfId="14302" priority="15990">
      <formula>$H47="non"</formula>
    </cfRule>
  </conditionalFormatting>
  <conditionalFormatting sqref="D44">
    <cfRule type="expression" dxfId="14301" priority="15981">
      <formula>$F44="Formation CCF"</formula>
    </cfRule>
    <cfRule type="expression" dxfId="14300" priority="15982">
      <formula>$F44="Direction"</formula>
    </cfRule>
    <cfRule type="expression" dxfId="14299" priority="15983">
      <formula>$F44="Ventes Sicli"</formula>
    </cfRule>
    <cfRule type="expression" dxfId="14298" priority="15984">
      <formula>$F44="Ventes Chubb"</formula>
    </cfRule>
    <cfRule type="expression" dxfId="14297" priority="15985">
      <formula>$F44="SAV Sicli"</formula>
    </cfRule>
    <cfRule type="expression" dxfId="14296" priority="15986">
      <formula>$F44="SAV Chubb"</formula>
    </cfRule>
    <cfRule type="expression" dxfId="14295" priority="15987">
      <formula>$F44="Réalisation"</formula>
    </cfRule>
    <cfRule type="expression" dxfId="14294" priority="15988">
      <formula>$F44="Désenfumage"</formula>
    </cfRule>
    <cfRule type="expression" dxfId="14293" priority="15989">
      <formula>$F44="Administratif"</formula>
    </cfRule>
  </conditionalFormatting>
  <conditionalFormatting sqref="D44">
    <cfRule type="expression" dxfId="14292" priority="15980">
      <formula>$H44="non"</formula>
    </cfRule>
  </conditionalFormatting>
  <conditionalFormatting sqref="D43">
    <cfRule type="expression" dxfId="14291" priority="15961">
      <formula>$F43="Formation CCF"</formula>
    </cfRule>
    <cfRule type="expression" dxfId="14290" priority="15962">
      <formula>$F43="Direction"</formula>
    </cfRule>
    <cfRule type="expression" dxfId="14289" priority="15963">
      <formula>$F43="Ventes Sicli"</formula>
    </cfRule>
    <cfRule type="expression" dxfId="14288" priority="15964">
      <formula>$F43="Ventes Chubb"</formula>
    </cfRule>
    <cfRule type="expression" dxfId="14287" priority="15965">
      <formula>$F43="SAV Sicli"</formula>
    </cfRule>
    <cfRule type="expression" dxfId="14286" priority="15966">
      <formula>$F43="SAV Chubb"</formula>
    </cfRule>
    <cfRule type="expression" dxfId="14285" priority="15967">
      <formula>$F43="Réalisation"</formula>
    </cfRule>
    <cfRule type="expression" dxfId="14284" priority="15968">
      <formula>$F43="Désenfumage"</formula>
    </cfRule>
    <cfRule type="expression" dxfId="14283" priority="15969">
      <formula>$F43="Administratif"</formula>
    </cfRule>
  </conditionalFormatting>
  <conditionalFormatting sqref="D43">
    <cfRule type="expression" dxfId="14282" priority="15960">
      <formula>$H43="non"</formula>
    </cfRule>
  </conditionalFormatting>
  <conditionalFormatting sqref="C56:D56">
    <cfRule type="expression" dxfId="14281" priority="15951">
      <formula>$F56="Formation CCF"</formula>
    </cfRule>
    <cfRule type="expression" dxfId="14280" priority="15952">
      <formula>$F56="Direction"</formula>
    </cfRule>
    <cfRule type="expression" dxfId="14279" priority="15953">
      <formula>$F56="Ventes Sicli"</formula>
    </cfRule>
    <cfRule type="expression" dxfId="14278" priority="15954">
      <formula>$F56="Ventes Chubb"</formula>
    </cfRule>
    <cfRule type="expression" dxfId="14277" priority="15955">
      <formula>$F56="SAV Sicli"</formula>
    </cfRule>
    <cfRule type="expression" dxfId="14276" priority="15956">
      <formula>$F56="SAV Chubb"</formula>
    </cfRule>
    <cfRule type="expression" dxfId="14275" priority="15957">
      <formula>$F56="Réalisation"</formula>
    </cfRule>
    <cfRule type="expression" dxfId="14274" priority="15958">
      <formula>$F56="Désenfumage"</formula>
    </cfRule>
    <cfRule type="expression" dxfId="14273" priority="15959">
      <formula>$F56="Administratif"</formula>
    </cfRule>
  </conditionalFormatting>
  <conditionalFormatting sqref="C56:D56">
    <cfRule type="expression" dxfId="14272" priority="15950">
      <formula>$H56="non"</formula>
    </cfRule>
  </conditionalFormatting>
  <conditionalFormatting sqref="C55:D55">
    <cfRule type="expression" dxfId="14271" priority="15941">
      <formula>$F55="Formation CCF"</formula>
    </cfRule>
    <cfRule type="expression" dxfId="14270" priority="15942">
      <formula>$F55="Direction"</formula>
    </cfRule>
    <cfRule type="expression" dxfId="14269" priority="15943">
      <formula>$F55="Ventes Sicli"</formula>
    </cfRule>
    <cfRule type="expression" dxfId="14268" priority="15944">
      <formula>$F55="Ventes Chubb"</formula>
    </cfRule>
    <cfRule type="expression" dxfId="14267" priority="15945">
      <formula>$F55="SAV Sicli"</formula>
    </cfRule>
    <cfRule type="expression" dxfId="14266" priority="15946">
      <formula>$F55="SAV Chubb"</formula>
    </cfRule>
    <cfRule type="expression" dxfId="14265" priority="15947">
      <formula>$F55="Réalisation"</formula>
    </cfRule>
    <cfRule type="expression" dxfId="14264" priority="15948">
      <formula>$F55="Désenfumage"</formula>
    </cfRule>
    <cfRule type="expression" dxfId="14263" priority="15949">
      <formula>$F55="Administratif"</formula>
    </cfRule>
  </conditionalFormatting>
  <conditionalFormatting sqref="C55:D55">
    <cfRule type="expression" dxfId="14262" priority="15940">
      <formula>$H55="non"</formula>
    </cfRule>
  </conditionalFormatting>
  <conditionalFormatting sqref="C54:D54">
    <cfRule type="expression" dxfId="14261" priority="15931">
      <formula>$F54="Formation CCF"</formula>
    </cfRule>
    <cfRule type="expression" dxfId="14260" priority="15932">
      <formula>$F54="Direction"</formula>
    </cfRule>
    <cfRule type="expression" dxfId="14259" priority="15933">
      <formula>$F54="Ventes Sicli"</formula>
    </cfRule>
    <cfRule type="expression" dxfId="14258" priority="15934">
      <formula>$F54="Ventes Chubb"</formula>
    </cfRule>
    <cfRule type="expression" dxfId="14257" priority="15935">
      <formula>$F54="SAV Sicli"</formula>
    </cfRule>
    <cfRule type="expression" dxfId="14256" priority="15936">
      <formula>$F54="SAV Chubb"</formula>
    </cfRule>
    <cfRule type="expression" dxfId="14255" priority="15937">
      <formula>$F54="Réalisation"</formula>
    </cfRule>
    <cfRule type="expression" dxfId="14254" priority="15938">
      <formula>$F54="Désenfumage"</formula>
    </cfRule>
    <cfRule type="expression" dxfId="14253" priority="15939">
      <formula>$F54="Administratif"</formula>
    </cfRule>
  </conditionalFormatting>
  <conditionalFormatting sqref="C54:D54">
    <cfRule type="expression" dxfId="14252" priority="15930">
      <formula>$H54="non"</formula>
    </cfRule>
  </conditionalFormatting>
  <conditionalFormatting sqref="C53:D53">
    <cfRule type="expression" dxfId="14251" priority="15921">
      <formula>$F53="Formation CCF"</formula>
    </cfRule>
    <cfRule type="expression" dxfId="14250" priority="15922">
      <formula>$F53="Direction"</formula>
    </cfRule>
    <cfRule type="expression" dxfId="14249" priority="15923">
      <formula>$F53="Ventes Sicli"</formula>
    </cfRule>
    <cfRule type="expression" dxfId="14248" priority="15924">
      <formula>$F53="Ventes Chubb"</formula>
    </cfRule>
    <cfRule type="expression" dxfId="14247" priority="15925">
      <formula>$F53="SAV Sicli"</formula>
    </cfRule>
    <cfRule type="expression" dxfId="14246" priority="15926">
      <formula>$F53="SAV Chubb"</formula>
    </cfRule>
    <cfRule type="expression" dxfId="14245" priority="15927">
      <formula>$F53="Réalisation"</formula>
    </cfRule>
    <cfRule type="expression" dxfId="14244" priority="15928">
      <formula>$F53="Désenfumage"</formula>
    </cfRule>
    <cfRule type="expression" dxfId="14243" priority="15929">
      <formula>$F53="Administratif"</formula>
    </cfRule>
  </conditionalFormatting>
  <conditionalFormatting sqref="C53:D53">
    <cfRule type="expression" dxfId="14242" priority="15920">
      <formula>$H53="non"</formula>
    </cfRule>
  </conditionalFormatting>
  <conditionalFormatting sqref="C52:D52">
    <cfRule type="expression" dxfId="14241" priority="15911">
      <formula>$F52="Formation CCF"</formula>
    </cfRule>
    <cfRule type="expression" dxfId="14240" priority="15912">
      <formula>$F52="Direction"</formula>
    </cfRule>
    <cfRule type="expression" dxfId="14239" priority="15913">
      <formula>$F52="Ventes Sicli"</formula>
    </cfRule>
    <cfRule type="expression" dxfId="14238" priority="15914">
      <formula>$F52="Ventes Chubb"</formula>
    </cfRule>
    <cfRule type="expression" dxfId="14237" priority="15915">
      <formula>$F52="SAV Sicli"</formula>
    </cfRule>
    <cfRule type="expression" dxfId="14236" priority="15916">
      <formula>$F52="SAV Chubb"</formula>
    </cfRule>
    <cfRule type="expression" dxfId="14235" priority="15917">
      <formula>$F52="Réalisation"</formula>
    </cfRule>
    <cfRule type="expression" dxfId="14234" priority="15918">
      <formula>$F52="Désenfumage"</formula>
    </cfRule>
    <cfRule type="expression" dxfId="14233" priority="15919">
      <formula>$F52="Administratif"</formula>
    </cfRule>
  </conditionalFormatting>
  <conditionalFormatting sqref="C52:D52">
    <cfRule type="expression" dxfId="14232" priority="15910">
      <formula>$H52="non"</formula>
    </cfRule>
  </conditionalFormatting>
  <conditionalFormatting sqref="D50">
    <cfRule type="expression" dxfId="14231" priority="15901">
      <formula>$F50="Formation CCF"</formula>
    </cfRule>
    <cfRule type="expression" dxfId="14230" priority="15902">
      <formula>$F50="Direction"</formula>
    </cfRule>
    <cfRule type="expression" dxfId="14229" priority="15903">
      <formula>$F50="Ventes Sicli"</formula>
    </cfRule>
    <cfRule type="expression" dxfId="14228" priority="15904">
      <formula>$F50="Ventes Chubb"</formula>
    </cfRule>
    <cfRule type="expression" dxfId="14227" priority="15905">
      <formula>$F50="SAV Sicli"</formula>
    </cfRule>
    <cfRule type="expression" dxfId="14226" priority="15906">
      <formula>$F50="SAV Chubb"</formula>
    </cfRule>
    <cfRule type="expression" dxfId="14225" priority="15907">
      <formula>$F50="Réalisation"</formula>
    </cfRule>
    <cfRule type="expression" dxfId="14224" priority="15908">
      <formula>$F50="Désenfumage"</formula>
    </cfRule>
    <cfRule type="expression" dxfId="14223" priority="15909">
      <formula>$F50="Administratif"</formula>
    </cfRule>
  </conditionalFormatting>
  <conditionalFormatting sqref="D50">
    <cfRule type="expression" dxfId="14222" priority="15900">
      <formula>$H50="non"</formula>
    </cfRule>
  </conditionalFormatting>
  <conditionalFormatting sqref="D49">
    <cfRule type="expression" dxfId="14221" priority="15881">
      <formula>$F49="Formation CCF"</formula>
    </cfRule>
    <cfRule type="expression" dxfId="14220" priority="15882">
      <formula>$F49="Direction"</formula>
    </cfRule>
    <cfRule type="expression" dxfId="14219" priority="15883">
      <formula>$F49="Ventes Sicli"</formula>
    </cfRule>
    <cfRule type="expression" dxfId="14218" priority="15884">
      <formula>$F49="Ventes Chubb"</formula>
    </cfRule>
    <cfRule type="expression" dxfId="14217" priority="15885">
      <formula>$F49="SAV Sicli"</formula>
    </cfRule>
    <cfRule type="expression" dxfId="14216" priority="15886">
      <formula>$F49="SAV Chubb"</formula>
    </cfRule>
    <cfRule type="expression" dxfId="14215" priority="15887">
      <formula>$F49="Réalisation"</formula>
    </cfRule>
    <cfRule type="expression" dxfId="14214" priority="15888">
      <formula>$F49="Désenfumage"</formula>
    </cfRule>
    <cfRule type="expression" dxfId="14213" priority="15889">
      <formula>$F49="Administratif"</formula>
    </cfRule>
  </conditionalFormatting>
  <conditionalFormatting sqref="D49">
    <cfRule type="expression" dxfId="14212" priority="15880">
      <formula>$H49="non"</formula>
    </cfRule>
  </conditionalFormatting>
  <conditionalFormatting sqref="D48">
    <cfRule type="expression" dxfId="14211" priority="15871">
      <formula>$F48="Formation CCF"</formula>
    </cfRule>
    <cfRule type="expression" dxfId="14210" priority="15872">
      <formula>$F48="Direction"</formula>
    </cfRule>
    <cfRule type="expression" dxfId="14209" priority="15873">
      <formula>$F48="Ventes Sicli"</formula>
    </cfRule>
    <cfRule type="expression" dxfId="14208" priority="15874">
      <formula>$F48="Ventes Chubb"</formula>
    </cfRule>
    <cfRule type="expression" dxfId="14207" priority="15875">
      <formula>$F48="SAV Sicli"</formula>
    </cfRule>
    <cfRule type="expression" dxfId="14206" priority="15876">
      <formula>$F48="SAV Chubb"</formula>
    </cfRule>
    <cfRule type="expression" dxfId="14205" priority="15877">
      <formula>$F48="Réalisation"</formula>
    </cfRule>
    <cfRule type="expression" dxfId="14204" priority="15878">
      <formula>$F48="Désenfumage"</formula>
    </cfRule>
    <cfRule type="expression" dxfId="14203" priority="15879">
      <formula>$F48="Administratif"</formula>
    </cfRule>
  </conditionalFormatting>
  <conditionalFormatting sqref="D48">
    <cfRule type="expression" dxfId="14202" priority="15870">
      <formula>$H48="non"</formula>
    </cfRule>
  </conditionalFormatting>
  <conditionalFormatting sqref="D47">
    <cfRule type="expression" dxfId="14201" priority="15861">
      <formula>$F47="Formation CCF"</formula>
    </cfRule>
    <cfRule type="expression" dxfId="14200" priority="15862">
      <formula>$F47="Direction"</formula>
    </cfRule>
    <cfRule type="expression" dxfId="14199" priority="15863">
      <formula>$F47="Ventes Sicli"</formula>
    </cfRule>
    <cfRule type="expression" dxfId="14198" priority="15864">
      <formula>$F47="Ventes Chubb"</formula>
    </cfRule>
    <cfRule type="expression" dxfId="14197" priority="15865">
      <formula>$F47="SAV Sicli"</formula>
    </cfRule>
    <cfRule type="expression" dxfId="14196" priority="15866">
      <formula>$F47="SAV Chubb"</formula>
    </cfRule>
    <cfRule type="expression" dxfId="14195" priority="15867">
      <formula>$F47="Réalisation"</formula>
    </cfRule>
    <cfRule type="expression" dxfId="14194" priority="15868">
      <formula>$F47="Désenfumage"</formula>
    </cfRule>
    <cfRule type="expression" dxfId="14193" priority="15869">
      <formula>$F47="Administratif"</formula>
    </cfRule>
  </conditionalFormatting>
  <conditionalFormatting sqref="D47">
    <cfRule type="expression" dxfId="14192" priority="15860">
      <formula>$H47="non"</formula>
    </cfRule>
  </conditionalFormatting>
  <conditionalFormatting sqref="D44">
    <cfRule type="expression" dxfId="14191" priority="15851">
      <formula>$F44="Formation CCF"</formula>
    </cfRule>
    <cfRule type="expression" dxfId="14190" priority="15852">
      <formula>$F44="Direction"</formula>
    </cfRule>
    <cfRule type="expression" dxfId="14189" priority="15853">
      <formula>$F44="Ventes Sicli"</formula>
    </cfRule>
    <cfRule type="expression" dxfId="14188" priority="15854">
      <formula>$F44="Ventes Chubb"</formula>
    </cfRule>
    <cfRule type="expression" dxfId="14187" priority="15855">
      <formula>$F44="SAV Sicli"</formula>
    </cfRule>
    <cfRule type="expression" dxfId="14186" priority="15856">
      <formula>$F44="SAV Chubb"</formula>
    </cfRule>
    <cfRule type="expression" dxfId="14185" priority="15857">
      <formula>$F44="Réalisation"</formula>
    </cfRule>
    <cfRule type="expression" dxfId="14184" priority="15858">
      <formula>$F44="Désenfumage"</formula>
    </cfRule>
    <cfRule type="expression" dxfId="14183" priority="15859">
      <formula>$F44="Administratif"</formula>
    </cfRule>
  </conditionalFormatting>
  <conditionalFormatting sqref="D44">
    <cfRule type="expression" dxfId="14182" priority="15850">
      <formula>$H44="non"</formula>
    </cfRule>
  </conditionalFormatting>
  <conditionalFormatting sqref="D43">
    <cfRule type="expression" dxfId="14181" priority="15831">
      <formula>$F43="Formation CCF"</formula>
    </cfRule>
    <cfRule type="expression" dxfId="14180" priority="15832">
      <formula>$F43="Direction"</formula>
    </cfRule>
    <cfRule type="expression" dxfId="14179" priority="15833">
      <formula>$F43="Ventes Sicli"</formula>
    </cfRule>
    <cfRule type="expression" dxfId="14178" priority="15834">
      <formula>$F43="Ventes Chubb"</formula>
    </cfRule>
    <cfRule type="expression" dxfId="14177" priority="15835">
      <formula>$F43="SAV Sicli"</formula>
    </cfRule>
    <cfRule type="expression" dxfId="14176" priority="15836">
      <formula>$F43="SAV Chubb"</formula>
    </cfRule>
    <cfRule type="expression" dxfId="14175" priority="15837">
      <formula>$F43="Réalisation"</formula>
    </cfRule>
    <cfRule type="expression" dxfId="14174" priority="15838">
      <formula>$F43="Désenfumage"</formula>
    </cfRule>
    <cfRule type="expression" dxfId="14173" priority="15839">
      <formula>$F43="Administratif"</formula>
    </cfRule>
  </conditionalFormatting>
  <conditionalFormatting sqref="D43">
    <cfRule type="expression" dxfId="14172" priority="15830">
      <formula>$H43="non"</formula>
    </cfRule>
  </conditionalFormatting>
  <conditionalFormatting sqref="D42">
    <cfRule type="expression" dxfId="14171" priority="15801">
      <formula>$F42="Formation CCF"</formula>
    </cfRule>
    <cfRule type="expression" dxfId="14170" priority="15802">
      <formula>$F42="Direction"</formula>
    </cfRule>
    <cfRule type="expression" dxfId="14169" priority="15803">
      <formula>$F42="Ventes Sicli"</formula>
    </cfRule>
    <cfRule type="expression" dxfId="14168" priority="15804">
      <formula>$F42="Ventes Chubb"</formula>
    </cfRule>
    <cfRule type="expression" dxfId="14167" priority="15805">
      <formula>$F42="SAV Sicli"</formula>
    </cfRule>
    <cfRule type="expression" dxfId="14166" priority="15806">
      <formula>$F42="SAV Chubb"</formula>
    </cfRule>
    <cfRule type="expression" dxfId="14165" priority="15807">
      <formula>$F42="Réalisation"</formula>
    </cfRule>
    <cfRule type="expression" dxfId="14164" priority="15808">
      <formula>$F42="Désenfumage"</formula>
    </cfRule>
    <cfRule type="expression" dxfId="14163" priority="15809">
      <formula>$F42="Administratif"</formula>
    </cfRule>
  </conditionalFormatting>
  <conditionalFormatting sqref="D42">
    <cfRule type="expression" dxfId="14162" priority="15800">
      <formula>$H42="non"</formula>
    </cfRule>
  </conditionalFormatting>
  <conditionalFormatting sqref="D41">
    <cfRule type="expression" dxfId="14161" priority="15791">
      <formula>$F41="Formation CCF"</formula>
    </cfRule>
    <cfRule type="expression" dxfId="14160" priority="15792">
      <formula>$F41="Direction"</formula>
    </cfRule>
    <cfRule type="expression" dxfId="14159" priority="15793">
      <formula>$F41="Ventes Sicli"</formula>
    </cfRule>
    <cfRule type="expression" dxfId="14158" priority="15794">
      <formula>$F41="Ventes Chubb"</formula>
    </cfRule>
    <cfRule type="expression" dxfId="14157" priority="15795">
      <formula>$F41="SAV Sicli"</formula>
    </cfRule>
    <cfRule type="expression" dxfId="14156" priority="15796">
      <formula>$F41="SAV Chubb"</formula>
    </cfRule>
    <cfRule type="expression" dxfId="14155" priority="15797">
      <formula>$F41="Réalisation"</formula>
    </cfRule>
    <cfRule type="expression" dxfId="14154" priority="15798">
      <formula>$F41="Désenfumage"</formula>
    </cfRule>
    <cfRule type="expression" dxfId="14153" priority="15799">
      <formula>$F41="Administratif"</formula>
    </cfRule>
  </conditionalFormatting>
  <conditionalFormatting sqref="D41">
    <cfRule type="expression" dxfId="14152" priority="15790">
      <formula>$H41="non"</formula>
    </cfRule>
  </conditionalFormatting>
  <conditionalFormatting sqref="D49">
    <cfRule type="expression" dxfId="14151" priority="15771">
      <formula>$F49="Formation CCF"</formula>
    </cfRule>
    <cfRule type="expression" dxfId="14150" priority="15772">
      <formula>$F49="Direction"</formula>
    </cfRule>
    <cfRule type="expression" dxfId="14149" priority="15773">
      <formula>$F49="Ventes Sicli"</formula>
    </cfRule>
    <cfRule type="expression" dxfId="14148" priority="15774">
      <formula>$F49="Ventes Chubb"</formula>
    </cfRule>
    <cfRule type="expression" dxfId="14147" priority="15775">
      <formula>$F49="SAV Sicli"</formula>
    </cfRule>
    <cfRule type="expression" dxfId="14146" priority="15776">
      <formula>$F49="SAV Chubb"</formula>
    </cfRule>
    <cfRule type="expression" dxfId="14145" priority="15777">
      <formula>$F49="Réalisation"</formula>
    </cfRule>
    <cfRule type="expression" dxfId="14144" priority="15778">
      <formula>$F49="Désenfumage"</formula>
    </cfRule>
    <cfRule type="expression" dxfId="14143" priority="15779">
      <formula>$F49="Administratif"</formula>
    </cfRule>
  </conditionalFormatting>
  <conditionalFormatting sqref="D49">
    <cfRule type="expression" dxfId="14142" priority="15770">
      <formula>$H49="non"</formula>
    </cfRule>
  </conditionalFormatting>
  <conditionalFormatting sqref="D48">
    <cfRule type="expression" dxfId="14141" priority="15761">
      <formula>$F48="Formation CCF"</formula>
    </cfRule>
    <cfRule type="expression" dxfId="14140" priority="15762">
      <formula>$F48="Direction"</formula>
    </cfRule>
    <cfRule type="expression" dxfId="14139" priority="15763">
      <formula>$F48="Ventes Sicli"</formula>
    </cfRule>
    <cfRule type="expression" dxfId="14138" priority="15764">
      <formula>$F48="Ventes Chubb"</formula>
    </cfRule>
    <cfRule type="expression" dxfId="14137" priority="15765">
      <formula>$F48="SAV Sicli"</formula>
    </cfRule>
    <cfRule type="expression" dxfId="14136" priority="15766">
      <formula>$F48="SAV Chubb"</formula>
    </cfRule>
    <cfRule type="expression" dxfId="14135" priority="15767">
      <formula>$F48="Réalisation"</formula>
    </cfRule>
    <cfRule type="expression" dxfId="14134" priority="15768">
      <formula>$F48="Désenfumage"</formula>
    </cfRule>
    <cfRule type="expression" dxfId="14133" priority="15769">
      <formula>$F48="Administratif"</formula>
    </cfRule>
  </conditionalFormatting>
  <conditionalFormatting sqref="D48">
    <cfRule type="expression" dxfId="14132" priority="15760">
      <formula>$H48="non"</formula>
    </cfRule>
  </conditionalFormatting>
  <conditionalFormatting sqref="D44">
    <cfRule type="expression" dxfId="14131" priority="15741">
      <formula>$F44="Formation CCF"</formula>
    </cfRule>
    <cfRule type="expression" dxfId="14130" priority="15742">
      <formula>$F44="Direction"</formula>
    </cfRule>
    <cfRule type="expression" dxfId="14129" priority="15743">
      <formula>$F44="Ventes Sicli"</formula>
    </cfRule>
    <cfRule type="expression" dxfId="14128" priority="15744">
      <formula>$F44="Ventes Chubb"</formula>
    </cfRule>
    <cfRule type="expression" dxfId="14127" priority="15745">
      <formula>$F44="SAV Sicli"</formula>
    </cfRule>
    <cfRule type="expression" dxfId="14126" priority="15746">
      <formula>$F44="SAV Chubb"</formula>
    </cfRule>
    <cfRule type="expression" dxfId="14125" priority="15747">
      <formula>$F44="Réalisation"</formula>
    </cfRule>
    <cfRule type="expression" dxfId="14124" priority="15748">
      <formula>$F44="Désenfumage"</formula>
    </cfRule>
    <cfRule type="expression" dxfId="14123" priority="15749">
      <formula>$F44="Administratif"</formula>
    </cfRule>
  </conditionalFormatting>
  <conditionalFormatting sqref="D44">
    <cfRule type="expression" dxfId="14122" priority="15740">
      <formula>$H44="non"</formula>
    </cfRule>
  </conditionalFormatting>
  <conditionalFormatting sqref="D43">
    <cfRule type="expression" dxfId="14121" priority="15721">
      <formula>$F43="Formation CCF"</formula>
    </cfRule>
    <cfRule type="expression" dxfId="14120" priority="15722">
      <formula>$F43="Direction"</formula>
    </cfRule>
    <cfRule type="expression" dxfId="14119" priority="15723">
      <formula>$F43="Ventes Sicli"</formula>
    </cfRule>
    <cfRule type="expression" dxfId="14118" priority="15724">
      <formula>$F43="Ventes Chubb"</formula>
    </cfRule>
    <cfRule type="expression" dxfId="14117" priority="15725">
      <formula>$F43="SAV Sicli"</formula>
    </cfRule>
    <cfRule type="expression" dxfId="14116" priority="15726">
      <formula>$F43="SAV Chubb"</formula>
    </cfRule>
    <cfRule type="expression" dxfId="14115" priority="15727">
      <formula>$F43="Réalisation"</formula>
    </cfRule>
    <cfRule type="expression" dxfId="14114" priority="15728">
      <formula>$F43="Désenfumage"</formula>
    </cfRule>
    <cfRule type="expression" dxfId="14113" priority="15729">
      <formula>$F43="Administratif"</formula>
    </cfRule>
  </conditionalFormatting>
  <conditionalFormatting sqref="D43">
    <cfRule type="expression" dxfId="14112" priority="15720">
      <formula>$H43="non"</formula>
    </cfRule>
  </conditionalFormatting>
  <conditionalFormatting sqref="C56:D56">
    <cfRule type="expression" dxfId="14111" priority="15701">
      <formula>$F56="Formation CCF"</formula>
    </cfRule>
    <cfRule type="expression" dxfId="14110" priority="15702">
      <formula>$F56="Direction"</formula>
    </cfRule>
    <cfRule type="expression" dxfId="14109" priority="15703">
      <formula>$F56="Ventes Sicli"</formula>
    </cfRule>
    <cfRule type="expression" dxfId="14108" priority="15704">
      <formula>$F56="Ventes Chubb"</formula>
    </cfRule>
    <cfRule type="expression" dxfId="14107" priority="15705">
      <formula>$F56="SAV Sicli"</formula>
    </cfRule>
    <cfRule type="expression" dxfId="14106" priority="15706">
      <formula>$F56="SAV Chubb"</formula>
    </cfRule>
    <cfRule type="expression" dxfId="14105" priority="15707">
      <formula>$F56="Réalisation"</formula>
    </cfRule>
    <cfRule type="expression" dxfId="14104" priority="15708">
      <formula>$F56="Désenfumage"</formula>
    </cfRule>
    <cfRule type="expression" dxfId="14103" priority="15709">
      <formula>$F56="Administratif"</formula>
    </cfRule>
  </conditionalFormatting>
  <conditionalFormatting sqref="C56:D56">
    <cfRule type="expression" dxfId="14102" priority="15700">
      <formula>$H56="non"</formula>
    </cfRule>
  </conditionalFormatting>
  <conditionalFormatting sqref="C55:D55">
    <cfRule type="expression" dxfId="14101" priority="15691">
      <formula>$F55="Formation CCF"</formula>
    </cfRule>
    <cfRule type="expression" dxfId="14100" priority="15692">
      <formula>$F55="Direction"</formula>
    </cfRule>
    <cfRule type="expression" dxfId="14099" priority="15693">
      <formula>$F55="Ventes Sicli"</formula>
    </cfRule>
    <cfRule type="expression" dxfId="14098" priority="15694">
      <formula>$F55="Ventes Chubb"</formula>
    </cfRule>
    <cfRule type="expression" dxfId="14097" priority="15695">
      <formula>$F55="SAV Sicli"</formula>
    </cfRule>
    <cfRule type="expression" dxfId="14096" priority="15696">
      <formula>$F55="SAV Chubb"</formula>
    </cfRule>
    <cfRule type="expression" dxfId="14095" priority="15697">
      <formula>$F55="Réalisation"</formula>
    </cfRule>
    <cfRule type="expression" dxfId="14094" priority="15698">
      <formula>$F55="Désenfumage"</formula>
    </cfRule>
    <cfRule type="expression" dxfId="14093" priority="15699">
      <formula>$F55="Administratif"</formula>
    </cfRule>
  </conditionalFormatting>
  <conditionalFormatting sqref="C55:D55">
    <cfRule type="expression" dxfId="14092" priority="15690">
      <formula>$H55="non"</formula>
    </cfRule>
  </conditionalFormatting>
  <conditionalFormatting sqref="C54:D54">
    <cfRule type="expression" dxfId="14091" priority="15681">
      <formula>$F54="Formation CCF"</formula>
    </cfRule>
    <cfRule type="expression" dxfId="14090" priority="15682">
      <formula>$F54="Direction"</formula>
    </cfRule>
    <cfRule type="expression" dxfId="14089" priority="15683">
      <formula>$F54="Ventes Sicli"</formula>
    </cfRule>
    <cfRule type="expression" dxfId="14088" priority="15684">
      <formula>$F54="Ventes Chubb"</formula>
    </cfRule>
    <cfRule type="expression" dxfId="14087" priority="15685">
      <formula>$F54="SAV Sicli"</formula>
    </cfRule>
    <cfRule type="expression" dxfId="14086" priority="15686">
      <formula>$F54="SAV Chubb"</formula>
    </cfRule>
    <cfRule type="expression" dxfId="14085" priority="15687">
      <formula>$F54="Réalisation"</formula>
    </cfRule>
    <cfRule type="expression" dxfId="14084" priority="15688">
      <formula>$F54="Désenfumage"</formula>
    </cfRule>
    <cfRule type="expression" dxfId="14083" priority="15689">
      <formula>$F54="Administratif"</formula>
    </cfRule>
  </conditionalFormatting>
  <conditionalFormatting sqref="C54:D54">
    <cfRule type="expression" dxfId="14082" priority="15680">
      <formula>$H54="non"</formula>
    </cfRule>
  </conditionalFormatting>
  <conditionalFormatting sqref="C53:D53">
    <cfRule type="expression" dxfId="14081" priority="15671">
      <formula>$F53="Formation CCF"</formula>
    </cfRule>
    <cfRule type="expression" dxfId="14080" priority="15672">
      <formula>$F53="Direction"</formula>
    </cfRule>
    <cfRule type="expression" dxfId="14079" priority="15673">
      <formula>$F53="Ventes Sicli"</formula>
    </cfRule>
    <cfRule type="expression" dxfId="14078" priority="15674">
      <formula>$F53="Ventes Chubb"</formula>
    </cfRule>
    <cfRule type="expression" dxfId="14077" priority="15675">
      <formula>$F53="SAV Sicli"</formula>
    </cfRule>
    <cfRule type="expression" dxfId="14076" priority="15676">
      <formula>$F53="SAV Chubb"</formula>
    </cfRule>
    <cfRule type="expression" dxfId="14075" priority="15677">
      <formula>$F53="Réalisation"</formula>
    </cfRule>
    <cfRule type="expression" dxfId="14074" priority="15678">
      <formula>$F53="Désenfumage"</formula>
    </cfRule>
    <cfRule type="expression" dxfId="14073" priority="15679">
      <formula>$F53="Administratif"</formula>
    </cfRule>
  </conditionalFormatting>
  <conditionalFormatting sqref="C53:D53">
    <cfRule type="expression" dxfId="14072" priority="15670">
      <formula>$H53="non"</formula>
    </cfRule>
  </conditionalFormatting>
  <conditionalFormatting sqref="C52:D52">
    <cfRule type="expression" dxfId="14071" priority="15661">
      <formula>$F52="Formation CCF"</formula>
    </cfRule>
    <cfRule type="expression" dxfId="14070" priority="15662">
      <formula>$F52="Direction"</formula>
    </cfRule>
    <cfRule type="expression" dxfId="14069" priority="15663">
      <formula>$F52="Ventes Sicli"</formula>
    </cfRule>
    <cfRule type="expression" dxfId="14068" priority="15664">
      <formula>$F52="Ventes Chubb"</formula>
    </cfRule>
    <cfRule type="expression" dxfId="14067" priority="15665">
      <formula>$F52="SAV Sicli"</formula>
    </cfRule>
    <cfRule type="expression" dxfId="14066" priority="15666">
      <formula>$F52="SAV Chubb"</formula>
    </cfRule>
    <cfRule type="expression" dxfId="14065" priority="15667">
      <formula>$F52="Réalisation"</formula>
    </cfRule>
    <cfRule type="expression" dxfId="14064" priority="15668">
      <formula>$F52="Désenfumage"</formula>
    </cfRule>
    <cfRule type="expression" dxfId="14063" priority="15669">
      <formula>$F52="Administratif"</formula>
    </cfRule>
  </conditionalFormatting>
  <conditionalFormatting sqref="C52:D52">
    <cfRule type="expression" dxfId="14062" priority="15660">
      <formula>$H52="non"</formula>
    </cfRule>
  </conditionalFormatting>
  <conditionalFormatting sqref="D50">
    <cfRule type="expression" dxfId="14061" priority="15651">
      <formula>$F50="Formation CCF"</formula>
    </cfRule>
    <cfRule type="expression" dxfId="14060" priority="15652">
      <formula>$F50="Direction"</formula>
    </cfRule>
    <cfRule type="expression" dxfId="14059" priority="15653">
      <formula>$F50="Ventes Sicli"</formula>
    </cfRule>
    <cfRule type="expression" dxfId="14058" priority="15654">
      <formula>$F50="Ventes Chubb"</formula>
    </cfRule>
    <cfRule type="expression" dxfId="14057" priority="15655">
      <formula>$F50="SAV Sicli"</formula>
    </cfRule>
    <cfRule type="expression" dxfId="14056" priority="15656">
      <formula>$F50="SAV Chubb"</formula>
    </cfRule>
    <cfRule type="expression" dxfId="14055" priority="15657">
      <formula>$F50="Réalisation"</formula>
    </cfRule>
    <cfRule type="expression" dxfId="14054" priority="15658">
      <formula>$F50="Désenfumage"</formula>
    </cfRule>
    <cfRule type="expression" dxfId="14053" priority="15659">
      <formula>$F50="Administratif"</formula>
    </cfRule>
  </conditionalFormatting>
  <conditionalFormatting sqref="D50">
    <cfRule type="expression" dxfId="14052" priority="15650">
      <formula>$H50="non"</formula>
    </cfRule>
  </conditionalFormatting>
  <conditionalFormatting sqref="D49">
    <cfRule type="expression" dxfId="14051" priority="15631">
      <formula>$F49="Formation CCF"</formula>
    </cfRule>
    <cfRule type="expression" dxfId="14050" priority="15632">
      <formula>$F49="Direction"</formula>
    </cfRule>
    <cfRule type="expression" dxfId="14049" priority="15633">
      <formula>$F49="Ventes Sicli"</formula>
    </cfRule>
    <cfRule type="expression" dxfId="14048" priority="15634">
      <formula>$F49="Ventes Chubb"</formula>
    </cfRule>
    <cfRule type="expression" dxfId="14047" priority="15635">
      <formula>$F49="SAV Sicli"</formula>
    </cfRule>
    <cfRule type="expression" dxfId="14046" priority="15636">
      <formula>$F49="SAV Chubb"</formula>
    </cfRule>
    <cfRule type="expression" dxfId="14045" priority="15637">
      <formula>$F49="Réalisation"</formula>
    </cfRule>
    <cfRule type="expression" dxfId="14044" priority="15638">
      <formula>$F49="Désenfumage"</formula>
    </cfRule>
    <cfRule type="expression" dxfId="14043" priority="15639">
      <formula>$F49="Administratif"</formula>
    </cfRule>
  </conditionalFormatting>
  <conditionalFormatting sqref="D49">
    <cfRule type="expression" dxfId="14042" priority="15630">
      <formula>$H49="non"</formula>
    </cfRule>
  </conditionalFormatting>
  <conditionalFormatting sqref="D48">
    <cfRule type="expression" dxfId="14041" priority="15621">
      <formula>$F48="Formation CCF"</formula>
    </cfRule>
    <cfRule type="expression" dxfId="14040" priority="15622">
      <formula>$F48="Direction"</formula>
    </cfRule>
    <cfRule type="expression" dxfId="14039" priority="15623">
      <formula>$F48="Ventes Sicli"</formula>
    </cfRule>
    <cfRule type="expression" dxfId="14038" priority="15624">
      <formula>$F48="Ventes Chubb"</formula>
    </cfRule>
    <cfRule type="expression" dxfId="14037" priority="15625">
      <formula>$F48="SAV Sicli"</formula>
    </cfRule>
    <cfRule type="expression" dxfId="14036" priority="15626">
      <formula>$F48="SAV Chubb"</formula>
    </cfRule>
    <cfRule type="expression" dxfId="14035" priority="15627">
      <formula>$F48="Réalisation"</formula>
    </cfRule>
    <cfRule type="expression" dxfId="14034" priority="15628">
      <formula>$F48="Désenfumage"</formula>
    </cfRule>
    <cfRule type="expression" dxfId="14033" priority="15629">
      <formula>$F48="Administratif"</formula>
    </cfRule>
  </conditionalFormatting>
  <conditionalFormatting sqref="D48">
    <cfRule type="expression" dxfId="14032" priority="15620">
      <formula>$H48="non"</formula>
    </cfRule>
  </conditionalFormatting>
  <conditionalFormatting sqref="D47">
    <cfRule type="expression" dxfId="14031" priority="15611">
      <formula>$F47="Formation CCF"</formula>
    </cfRule>
    <cfRule type="expression" dxfId="14030" priority="15612">
      <formula>$F47="Direction"</formula>
    </cfRule>
    <cfRule type="expression" dxfId="14029" priority="15613">
      <formula>$F47="Ventes Sicli"</formula>
    </cfRule>
    <cfRule type="expression" dxfId="14028" priority="15614">
      <formula>$F47="Ventes Chubb"</formula>
    </cfRule>
    <cfRule type="expression" dxfId="14027" priority="15615">
      <formula>$F47="SAV Sicli"</formula>
    </cfRule>
    <cfRule type="expression" dxfId="14026" priority="15616">
      <formula>$F47="SAV Chubb"</formula>
    </cfRule>
    <cfRule type="expression" dxfId="14025" priority="15617">
      <formula>$F47="Réalisation"</formula>
    </cfRule>
    <cfRule type="expression" dxfId="14024" priority="15618">
      <formula>$F47="Désenfumage"</formula>
    </cfRule>
    <cfRule type="expression" dxfId="14023" priority="15619">
      <formula>$F47="Administratif"</formula>
    </cfRule>
  </conditionalFormatting>
  <conditionalFormatting sqref="D47">
    <cfRule type="expression" dxfId="14022" priority="15610">
      <formula>$H47="non"</formula>
    </cfRule>
  </conditionalFormatting>
  <conditionalFormatting sqref="D44">
    <cfRule type="expression" dxfId="14021" priority="15601">
      <formula>$F44="Formation CCF"</formula>
    </cfRule>
    <cfRule type="expression" dxfId="14020" priority="15602">
      <formula>$F44="Direction"</formula>
    </cfRule>
    <cfRule type="expression" dxfId="14019" priority="15603">
      <formula>$F44="Ventes Sicli"</formula>
    </cfRule>
    <cfRule type="expression" dxfId="14018" priority="15604">
      <formula>$F44="Ventes Chubb"</formula>
    </cfRule>
    <cfRule type="expression" dxfId="14017" priority="15605">
      <formula>$F44="SAV Sicli"</formula>
    </cfRule>
    <cfRule type="expression" dxfId="14016" priority="15606">
      <formula>$F44="SAV Chubb"</formula>
    </cfRule>
    <cfRule type="expression" dxfId="14015" priority="15607">
      <formula>$F44="Réalisation"</formula>
    </cfRule>
    <cfRule type="expression" dxfId="14014" priority="15608">
      <formula>$F44="Désenfumage"</formula>
    </cfRule>
    <cfRule type="expression" dxfId="14013" priority="15609">
      <formula>$F44="Administratif"</formula>
    </cfRule>
  </conditionalFormatting>
  <conditionalFormatting sqref="D44">
    <cfRule type="expression" dxfId="14012" priority="15600">
      <formula>$H44="non"</formula>
    </cfRule>
  </conditionalFormatting>
  <conditionalFormatting sqref="D43">
    <cfRule type="expression" dxfId="14011" priority="15581">
      <formula>$F43="Formation CCF"</formula>
    </cfRule>
    <cfRule type="expression" dxfId="14010" priority="15582">
      <formula>$F43="Direction"</formula>
    </cfRule>
    <cfRule type="expression" dxfId="14009" priority="15583">
      <formula>$F43="Ventes Sicli"</formula>
    </cfRule>
    <cfRule type="expression" dxfId="14008" priority="15584">
      <formula>$F43="Ventes Chubb"</formula>
    </cfRule>
    <cfRule type="expression" dxfId="14007" priority="15585">
      <formula>$F43="SAV Sicli"</formula>
    </cfRule>
    <cfRule type="expression" dxfId="14006" priority="15586">
      <formula>$F43="SAV Chubb"</formula>
    </cfRule>
    <cfRule type="expression" dxfId="14005" priority="15587">
      <formula>$F43="Réalisation"</formula>
    </cfRule>
    <cfRule type="expression" dxfId="14004" priority="15588">
      <formula>$F43="Désenfumage"</formula>
    </cfRule>
    <cfRule type="expression" dxfId="14003" priority="15589">
      <formula>$F43="Administratif"</formula>
    </cfRule>
  </conditionalFormatting>
  <conditionalFormatting sqref="D43">
    <cfRule type="expression" dxfId="14002" priority="15580">
      <formula>$H43="non"</formula>
    </cfRule>
  </conditionalFormatting>
  <conditionalFormatting sqref="D42">
    <cfRule type="expression" dxfId="14001" priority="15551">
      <formula>$F42="Formation CCF"</formula>
    </cfRule>
    <cfRule type="expression" dxfId="14000" priority="15552">
      <formula>$F42="Direction"</formula>
    </cfRule>
    <cfRule type="expression" dxfId="13999" priority="15553">
      <formula>$F42="Ventes Sicli"</formula>
    </cfRule>
    <cfRule type="expression" dxfId="13998" priority="15554">
      <formula>$F42="Ventes Chubb"</formula>
    </cfRule>
    <cfRule type="expression" dxfId="13997" priority="15555">
      <formula>$F42="SAV Sicli"</formula>
    </cfRule>
    <cfRule type="expression" dxfId="13996" priority="15556">
      <formula>$F42="SAV Chubb"</formula>
    </cfRule>
    <cfRule type="expression" dxfId="13995" priority="15557">
      <formula>$F42="Réalisation"</formula>
    </cfRule>
    <cfRule type="expression" dxfId="13994" priority="15558">
      <formula>$F42="Désenfumage"</formula>
    </cfRule>
    <cfRule type="expression" dxfId="13993" priority="15559">
      <formula>$F42="Administratif"</formula>
    </cfRule>
  </conditionalFormatting>
  <conditionalFormatting sqref="D42">
    <cfRule type="expression" dxfId="13992" priority="15550">
      <formula>$H42="non"</formula>
    </cfRule>
  </conditionalFormatting>
  <conditionalFormatting sqref="D41">
    <cfRule type="expression" dxfId="13991" priority="15541">
      <formula>$F41="Formation CCF"</formula>
    </cfRule>
    <cfRule type="expression" dxfId="13990" priority="15542">
      <formula>$F41="Direction"</formula>
    </cfRule>
    <cfRule type="expression" dxfId="13989" priority="15543">
      <formula>$F41="Ventes Sicli"</formula>
    </cfRule>
    <cfRule type="expression" dxfId="13988" priority="15544">
      <formula>$F41="Ventes Chubb"</formula>
    </cfRule>
    <cfRule type="expression" dxfId="13987" priority="15545">
      <formula>$F41="SAV Sicli"</formula>
    </cfRule>
    <cfRule type="expression" dxfId="13986" priority="15546">
      <formula>$F41="SAV Chubb"</formula>
    </cfRule>
    <cfRule type="expression" dxfId="13985" priority="15547">
      <formula>$F41="Réalisation"</formula>
    </cfRule>
    <cfRule type="expression" dxfId="13984" priority="15548">
      <formula>$F41="Désenfumage"</formula>
    </cfRule>
    <cfRule type="expression" dxfId="13983" priority="15549">
      <formula>$F41="Administratif"</formula>
    </cfRule>
  </conditionalFormatting>
  <conditionalFormatting sqref="D41">
    <cfRule type="expression" dxfId="13982" priority="15540">
      <formula>$H41="non"</formula>
    </cfRule>
  </conditionalFormatting>
  <conditionalFormatting sqref="D40">
    <cfRule type="expression" dxfId="13981" priority="15531">
      <formula>$F40="Formation CCF"</formula>
    </cfRule>
    <cfRule type="expression" dxfId="13980" priority="15532">
      <formula>$F40="Direction"</formula>
    </cfRule>
    <cfRule type="expression" dxfId="13979" priority="15533">
      <formula>$F40="Ventes Sicli"</formula>
    </cfRule>
    <cfRule type="expression" dxfId="13978" priority="15534">
      <formula>$F40="Ventes Chubb"</formula>
    </cfRule>
    <cfRule type="expression" dxfId="13977" priority="15535">
      <formula>$F40="SAV Sicli"</formula>
    </cfRule>
    <cfRule type="expression" dxfId="13976" priority="15536">
      <formula>$F40="SAV Chubb"</formula>
    </cfRule>
    <cfRule type="expression" dxfId="13975" priority="15537">
      <formula>$F40="Réalisation"</formula>
    </cfRule>
    <cfRule type="expression" dxfId="13974" priority="15538">
      <formula>$F40="Désenfumage"</formula>
    </cfRule>
    <cfRule type="expression" dxfId="13973" priority="15539">
      <formula>$F40="Administratif"</formula>
    </cfRule>
  </conditionalFormatting>
  <conditionalFormatting sqref="D40">
    <cfRule type="expression" dxfId="13972" priority="15530">
      <formula>$H40="non"</formula>
    </cfRule>
  </conditionalFormatting>
  <conditionalFormatting sqref="D38">
    <cfRule type="expression" dxfId="13971" priority="15521">
      <formula>$F38="Formation CCF"</formula>
    </cfRule>
    <cfRule type="expression" dxfId="13970" priority="15522">
      <formula>$F38="Direction"</formula>
    </cfRule>
    <cfRule type="expression" dxfId="13969" priority="15523">
      <formula>$F38="Ventes Sicli"</formula>
    </cfRule>
    <cfRule type="expression" dxfId="13968" priority="15524">
      <formula>$F38="Ventes Chubb"</formula>
    </cfRule>
    <cfRule type="expression" dxfId="13967" priority="15525">
      <formula>$F38="SAV Sicli"</formula>
    </cfRule>
    <cfRule type="expression" dxfId="13966" priority="15526">
      <formula>$F38="SAV Chubb"</formula>
    </cfRule>
    <cfRule type="expression" dxfId="13965" priority="15527">
      <formula>$F38="Réalisation"</formula>
    </cfRule>
    <cfRule type="expression" dxfId="13964" priority="15528">
      <formula>$F38="Désenfumage"</formula>
    </cfRule>
    <cfRule type="expression" dxfId="13963" priority="15529">
      <formula>$F38="Administratif"</formula>
    </cfRule>
  </conditionalFormatting>
  <conditionalFormatting sqref="D38">
    <cfRule type="expression" dxfId="13962" priority="15520">
      <formula>$H38="non"</formula>
    </cfRule>
  </conditionalFormatting>
  <conditionalFormatting sqref="D49">
    <cfRule type="expression" dxfId="13961" priority="15501">
      <formula>$F49="Formation CCF"</formula>
    </cfRule>
    <cfRule type="expression" dxfId="13960" priority="15502">
      <formula>$F49="Direction"</formula>
    </cfRule>
    <cfRule type="expression" dxfId="13959" priority="15503">
      <formula>$F49="Ventes Sicli"</formula>
    </cfRule>
    <cfRule type="expression" dxfId="13958" priority="15504">
      <formula>$F49="Ventes Chubb"</formula>
    </cfRule>
    <cfRule type="expression" dxfId="13957" priority="15505">
      <formula>$F49="SAV Sicli"</formula>
    </cfRule>
    <cfRule type="expression" dxfId="13956" priority="15506">
      <formula>$F49="SAV Chubb"</formula>
    </cfRule>
    <cfRule type="expression" dxfId="13955" priority="15507">
      <formula>$F49="Réalisation"</formula>
    </cfRule>
    <cfRule type="expression" dxfId="13954" priority="15508">
      <formula>$F49="Désenfumage"</formula>
    </cfRule>
    <cfRule type="expression" dxfId="13953" priority="15509">
      <formula>$F49="Administratif"</formula>
    </cfRule>
  </conditionalFormatting>
  <conditionalFormatting sqref="D49">
    <cfRule type="expression" dxfId="13952" priority="15500">
      <formula>$H49="non"</formula>
    </cfRule>
  </conditionalFormatting>
  <conditionalFormatting sqref="D48">
    <cfRule type="expression" dxfId="13951" priority="15491">
      <formula>$F48="Formation CCF"</formula>
    </cfRule>
    <cfRule type="expression" dxfId="13950" priority="15492">
      <formula>$F48="Direction"</formula>
    </cfRule>
    <cfRule type="expression" dxfId="13949" priority="15493">
      <formula>$F48="Ventes Sicli"</formula>
    </cfRule>
    <cfRule type="expression" dxfId="13948" priority="15494">
      <formula>$F48="Ventes Chubb"</formula>
    </cfRule>
    <cfRule type="expression" dxfId="13947" priority="15495">
      <formula>$F48="SAV Sicli"</formula>
    </cfRule>
    <cfRule type="expression" dxfId="13946" priority="15496">
      <formula>$F48="SAV Chubb"</formula>
    </cfRule>
    <cfRule type="expression" dxfId="13945" priority="15497">
      <formula>$F48="Réalisation"</formula>
    </cfRule>
    <cfRule type="expression" dxfId="13944" priority="15498">
      <formula>$F48="Désenfumage"</formula>
    </cfRule>
    <cfRule type="expression" dxfId="13943" priority="15499">
      <formula>$F48="Administratif"</formula>
    </cfRule>
  </conditionalFormatting>
  <conditionalFormatting sqref="D48">
    <cfRule type="expression" dxfId="13942" priority="15490">
      <formula>$H48="non"</formula>
    </cfRule>
  </conditionalFormatting>
  <conditionalFormatting sqref="D47">
    <cfRule type="expression" dxfId="13941" priority="15481">
      <formula>$F47="Formation CCF"</formula>
    </cfRule>
    <cfRule type="expression" dxfId="13940" priority="15482">
      <formula>$F47="Direction"</formula>
    </cfRule>
    <cfRule type="expression" dxfId="13939" priority="15483">
      <formula>$F47="Ventes Sicli"</formula>
    </cfRule>
    <cfRule type="expression" dxfId="13938" priority="15484">
      <formula>$F47="Ventes Chubb"</formula>
    </cfRule>
    <cfRule type="expression" dxfId="13937" priority="15485">
      <formula>$F47="SAV Sicli"</formula>
    </cfRule>
    <cfRule type="expression" dxfId="13936" priority="15486">
      <formula>$F47="SAV Chubb"</formula>
    </cfRule>
    <cfRule type="expression" dxfId="13935" priority="15487">
      <formula>$F47="Réalisation"</formula>
    </cfRule>
    <cfRule type="expression" dxfId="13934" priority="15488">
      <formula>$F47="Désenfumage"</formula>
    </cfRule>
    <cfRule type="expression" dxfId="13933" priority="15489">
      <formula>$F47="Administratif"</formula>
    </cfRule>
  </conditionalFormatting>
  <conditionalFormatting sqref="D47">
    <cfRule type="expression" dxfId="13932" priority="15480">
      <formula>$H47="non"</formula>
    </cfRule>
  </conditionalFormatting>
  <conditionalFormatting sqref="D44">
    <cfRule type="expression" dxfId="13931" priority="15471">
      <formula>$F44="Formation CCF"</formula>
    </cfRule>
    <cfRule type="expression" dxfId="13930" priority="15472">
      <formula>$F44="Direction"</formula>
    </cfRule>
    <cfRule type="expression" dxfId="13929" priority="15473">
      <formula>$F44="Ventes Sicli"</formula>
    </cfRule>
    <cfRule type="expression" dxfId="13928" priority="15474">
      <formula>$F44="Ventes Chubb"</formula>
    </cfRule>
    <cfRule type="expression" dxfId="13927" priority="15475">
      <formula>$F44="SAV Sicli"</formula>
    </cfRule>
    <cfRule type="expression" dxfId="13926" priority="15476">
      <formula>$F44="SAV Chubb"</formula>
    </cfRule>
    <cfRule type="expression" dxfId="13925" priority="15477">
      <formula>$F44="Réalisation"</formula>
    </cfRule>
    <cfRule type="expression" dxfId="13924" priority="15478">
      <formula>$F44="Désenfumage"</formula>
    </cfRule>
    <cfRule type="expression" dxfId="13923" priority="15479">
      <formula>$F44="Administratif"</formula>
    </cfRule>
  </conditionalFormatting>
  <conditionalFormatting sqref="D44">
    <cfRule type="expression" dxfId="13922" priority="15470">
      <formula>$H44="non"</formula>
    </cfRule>
  </conditionalFormatting>
  <conditionalFormatting sqref="D43">
    <cfRule type="expression" dxfId="13921" priority="15451">
      <formula>$F43="Formation CCF"</formula>
    </cfRule>
    <cfRule type="expression" dxfId="13920" priority="15452">
      <formula>$F43="Direction"</formula>
    </cfRule>
    <cfRule type="expression" dxfId="13919" priority="15453">
      <formula>$F43="Ventes Sicli"</formula>
    </cfRule>
    <cfRule type="expression" dxfId="13918" priority="15454">
      <formula>$F43="Ventes Chubb"</formula>
    </cfRule>
    <cfRule type="expression" dxfId="13917" priority="15455">
      <formula>$F43="SAV Sicli"</formula>
    </cfRule>
    <cfRule type="expression" dxfId="13916" priority="15456">
      <formula>$F43="SAV Chubb"</formula>
    </cfRule>
    <cfRule type="expression" dxfId="13915" priority="15457">
      <formula>$F43="Réalisation"</formula>
    </cfRule>
    <cfRule type="expression" dxfId="13914" priority="15458">
      <formula>$F43="Désenfumage"</formula>
    </cfRule>
    <cfRule type="expression" dxfId="13913" priority="15459">
      <formula>$F43="Administratif"</formula>
    </cfRule>
  </conditionalFormatting>
  <conditionalFormatting sqref="D43">
    <cfRule type="expression" dxfId="13912" priority="15450">
      <formula>$H43="non"</formula>
    </cfRule>
  </conditionalFormatting>
  <conditionalFormatting sqref="C55:D55">
    <cfRule type="expression" dxfId="13911" priority="15431">
      <formula>$F55="Formation CCF"</formula>
    </cfRule>
    <cfRule type="expression" dxfId="13910" priority="15432">
      <formula>$F55="Direction"</formula>
    </cfRule>
    <cfRule type="expression" dxfId="13909" priority="15433">
      <formula>$F55="Ventes Sicli"</formula>
    </cfRule>
    <cfRule type="expression" dxfId="13908" priority="15434">
      <formula>$F55="Ventes Chubb"</formula>
    </cfRule>
    <cfRule type="expression" dxfId="13907" priority="15435">
      <formula>$F55="SAV Sicli"</formula>
    </cfRule>
    <cfRule type="expression" dxfId="13906" priority="15436">
      <formula>$F55="SAV Chubb"</formula>
    </cfRule>
    <cfRule type="expression" dxfId="13905" priority="15437">
      <formula>$F55="Réalisation"</formula>
    </cfRule>
    <cfRule type="expression" dxfId="13904" priority="15438">
      <formula>$F55="Désenfumage"</formula>
    </cfRule>
    <cfRule type="expression" dxfId="13903" priority="15439">
      <formula>$F55="Administratif"</formula>
    </cfRule>
  </conditionalFormatting>
  <conditionalFormatting sqref="C55:D55">
    <cfRule type="expression" dxfId="13902" priority="15430">
      <formula>$H55="non"</formula>
    </cfRule>
  </conditionalFormatting>
  <conditionalFormatting sqref="C54:D54">
    <cfRule type="expression" dxfId="13901" priority="15421">
      <formula>$F54="Formation CCF"</formula>
    </cfRule>
    <cfRule type="expression" dxfId="13900" priority="15422">
      <formula>$F54="Direction"</formula>
    </cfRule>
    <cfRule type="expression" dxfId="13899" priority="15423">
      <formula>$F54="Ventes Sicli"</formula>
    </cfRule>
    <cfRule type="expression" dxfId="13898" priority="15424">
      <formula>$F54="Ventes Chubb"</formula>
    </cfRule>
    <cfRule type="expression" dxfId="13897" priority="15425">
      <formula>$F54="SAV Sicli"</formula>
    </cfRule>
    <cfRule type="expression" dxfId="13896" priority="15426">
      <formula>$F54="SAV Chubb"</formula>
    </cfRule>
    <cfRule type="expression" dxfId="13895" priority="15427">
      <formula>$F54="Réalisation"</formula>
    </cfRule>
    <cfRule type="expression" dxfId="13894" priority="15428">
      <formula>$F54="Désenfumage"</formula>
    </cfRule>
    <cfRule type="expression" dxfId="13893" priority="15429">
      <formula>$F54="Administratif"</formula>
    </cfRule>
  </conditionalFormatting>
  <conditionalFormatting sqref="C54:D54">
    <cfRule type="expression" dxfId="13892" priority="15420">
      <formula>$H54="non"</formula>
    </cfRule>
  </conditionalFormatting>
  <conditionalFormatting sqref="C53:D53">
    <cfRule type="expression" dxfId="13891" priority="15411">
      <formula>$F53="Formation CCF"</formula>
    </cfRule>
    <cfRule type="expression" dxfId="13890" priority="15412">
      <formula>$F53="Direction"</formula>
    </cfRule>
    <cfRule type="expression" dxfId="13889" priority="15413">
      <formula>$F53="Ventes Sicli"</formula>
    </cfRule>
    <cfRule type="expression" dxfId="13888" priority="15414">
      <formula>$F53="Ventes Chubb"</formula>
    </cfRule>
    <cfRule type="expression" dxfId="13887" priority="15415">
      <formula>$F53="SAV Sicli"</formula>
    </cfRule>
    <cfRule type="expression" dxfId="13886" priority="15416">
      <formula>$F53="SAV Chubb"</formula>
    </cfRule>
    <cfRule type="expression" dxfId="13885" priority="15417">
      <formula>$F53="Réalisation"</formula>
    </cfRule>
    <cfRule type="expression" dxfId="13884" priority="15418">
      <formula>$F53="Désenfumage"</formula>
    </cfRule>
    <cfRule type="expression" dxfId="13883" priority="15419">
      <formula>$F53="Administratif"</formula>
    </cfRule>
  </conditionalFormatting>
  <conditionalFormatting sqref="C53:D53">
    <cfRule type="expression" dxfId="13882" priority="15410">
      <formula>$H53="non"</formula>
    </cfRule>
  </conditionalFormatting>
  <conditionalFormatting sqref="C52:D52">
    <cfRule type="expression" dxfId="13881" priority="15401">
      <formula>$F52="Formation CCF"</formula>
    </cfRule>
    <cfRule type="expression" dxfId="13880" priority="15402">
      <formula>$F52="Direction"</formula>
    </cfRule>
    <cfRule type="expression" dxfId="13879" priority="15403">
      <formula>$F52="Ventes Sicli"</formula>
    </cfRule>
    <cfRule type="expression" dxfId="13878" priority="15404">
      <formula>$F52="Ventes Chubb"</formula>
    </cfRule>
    <cfRule type="expression" dxfId="13877" priority="15405">
      <formula>$F52="SAV Sicli"</formula>
    </cfRule>
    <cfRule type="expression" dxfId="13876" priority="15406">
      <formula>$F52="SAV Chubb"</formula>
    </cfRule>
    <cfRule type="expression" dxfId="13875" priority="15407">
      <formula>$F52="Réalisation"</formula>
    </cfRule>
    <cfRule type="expression" dxfId="13874" priority="15408">
      <formula>$F52="Désenfumage"</formula>
    </cfRule>
    <cfRule type="expression" dxfId="13873" priority="15409">
      <formula>$F52="Administratif"</formula>
    </cfRule>
  </conditionalFormatting>
  <conditionalFormatting sqref="C52:D52">
    <cfRule type="expression" dxfId="13872" priority="15400">
      <formula>$H52="non"</formula>
    </cfRule>
  </conditionalFormatting>
  <conditionalFormatting sqref="C51:D51">
    <cfRule type="expression" dxfId="13871" priority="15391">
      <formula>$F51="Formation CCF"</formula>
    </cfRule>
    <cfRule type="expression" dxfId="13870" priority="15392">
      <formula>$F51="Direction"</formula>
    </cfRule>
    <cfRule type="expression" dxfId="13869" priority="15393">
      <formula>$F51="Ventes Sicli"</formula>
    </cfRule>
    <cfRule type="expression" dxfId="13868" priority="15394">
      <formula>$F51="Ventes Chubb"</formula>
    </cfRule>
    <cfRule type="expression" dxfId="13867" priority="15395">
      <formula>$F51="SAV Sicli"</formula>
    </cfRule>
    <cfRule type="expression" dxfId="13866" priority="15396">
      <formula>$F51="SAV Chubb"</formula>
    </cfRule>
    <cfRule type="expression" dxfId="13865" priority="15397">
      <formula>$F51="Réalisation"</formula>
    </cfRule>
    <cfRule type="expression" dxfId="13864" priority="15398">
      <formula>$F51="Désenfumage"</formula>
    </cfRule>
    <cfRule type="expression" dxfId="13863" priority="15399">
      <formula>$F51="Administratif"</formula>
    </cfRule>
  </conditionalFormatting>
  <conditionalFormatting sqref="C51:D51">
    <cfRule type="expression" dxfId="13862" priority="15390">
      <formula>$H51="non"</formula>
    </cfRule>
  </conditionalFormatting>
  <conditionalFormatting sqref="D49">
    <cfRule type="expression" dxfId="13861" priority="15371">
      <formula>$F49="Formation CCF"</formula>
    </cfRule>
    <cfRule type="expression" dxfId="13860" priority="15372">
      <formula>$F49="Direction"</formula>
    </cfRule>
    <cfRule type="expression" dxfId="13859" priority="15373">
      <formula>$F49="Ventes Sicli"</formula>
    </cfRule>
    <cfRule type="expression" dxfId="13858" priority="15374">
      <formula>$F49="Ventes Chubb"</formula>
    </cfRule>
    <cfRule type="expression" dxfId="13857" priority="15375">
      <formula>$F49="SAV Sicli"</formula>
    </cfRule>
    <cfRule type="expression" dxfId="13856" priority="15376">
      <formula>$F49="SAV Chubb"</formula>
    </cfRule>
    <cfRule type="expression" dxfId="13855" priority="15377">
      <formula>$F49="Réalisation"</formula>
    </cfRule>
    <cfRule type="expression" dxfId="13854" priority="15378">
      <formula>$F49="Désenfumage"</formula>
    </cfRule>
    <cfRule type="expression" dxfId="13853" priority="15379">
      <formula>$F49="Administratif"</formula>
    </cfRule>
  </conditionalFormatting>
  <conditionalFormatting sqref="D49">
    <cfRule type="expression" dxfId="13852" priority="15370">
      <formula>$H49="non"</formula>
    </cfRule>
  </conditionalFormatting>
  <conditionalFormatting sqref="D48">
    <cfRule type="expression" dxfId="13851" priority="15361">
      <formula>$F48="Formation CCF"</formula>
    </cfRule>
    <cfRule type="expression" dxfId="13850" priority="15362">
      <formula>$F48="Direction"</formula>
    </cfRule>
    <cfRule type="expression" dxfId="13849" priority="15363">
      <formula>$F48="Ventes Sicli"</formula>
    </cfRule>
    <cfRule type="expression" dxfId="13848" priority="15364">
      <formula>$F48="Ventes Chubb"</formula>
    </cfRule>
    <cfRule type="expression" dxfId="13847" priority="15365">
      <formula>$F48="SAV Sicli"</formula>
    </cfRule>
    <cfRule type="expression" dxfId="13846" priority="15366">
      <formula>$F48="SAV Chubb"</formula>
    </cfRule>
    <cfRule type="expression" dxfId="13845" priority="15367">
      <formula>$F48="Réalisation"</formula>
    </cfRule>
    <cfRule type="expression" dxfId="13844" priority="15368">
      <formula>$F48="Désenfumage"</formula>
    </cfRule>
    <cfRule type="expression" dxfId="13843" priority="15369">
      <formula>$F48="Administratif"</formula>
    </cfRule>
  </conditionalFormatting>
  <conditionalFormatting sqref="D48">
    <cfRule type="expression" dxfId="13842" priority="15360">
      <formula>$H48="non"</formula>
    </cfRule>
  </conditionalFormatting>
  <conditionalFormatting sqref="D47">
    <cfRule type="expression" dxfId="13841" priority="15351">
      <formula>$F47="Formation CCF"</formula>
    </cfRule>
    <cfRule type="expression" dxfId="13840" priority="15352">
      <formula>$F47="Direction"</formula>
    </cfRule>
    <cfRule type="expression" dxfId="13839" priority="15353">
      <formula>$F47="Ventes Sicli"</formula>
    </cfRule>
    <cfRule type="expression" dxfId="13838" priority="15354">
      <formula>$F47="Ventes Chubb"</formula>
    </cfRule>
    <cfRule type="expression" dxfId="13837" priority="15355">
      <formula>$F47="SAV Sicli"</formula>
    </cfRule>
    <cfRule type="expression" dxfId="13836" priority="15356">
      <formula>$F47="SAV Chubb"</formula>
    </cfRule>
    <cfRule type="expression" dxfId="13835" priority="15357">
      <formula>$F47="Réalisation"</formula>
    </cfRule>
    <cfRule type="expression" dxfId="13834" priority="15358">
      <formula>$F47="Désenfumage"</formula>
    </cfRule>
    <cfRule type="expression" dxfId="13833" priority="15359">
      <formula>$F47="Administratif"</formula>
    </cfRule>
  </conditionalFormatting>
  <conditionalFormatting sqref="D47">
    <cfRule type="expression" dxfId="13832" priority="15350">
      <formula>$H47="non"</formula>
    </cfRule>
  </conditionalFormatting>
  <conditionalFormatting sqref="D44">
    <cfRule type="expression" dxfId="13831" priority="15341">
      <formula>$F44="Formation CCF"</formula>
    </cfRule>
    <cfRule type="expression" dxfId="13830" priority="15342">
      <formula>$F44="Direction"</formula>
    </cfRule>
    <cfRule type="expression" dxfId="13829" priority="15343">
      <formula>$F44="Ventes Sicli"</formula>
    </cfRule>
    <cfRule type="expression" dxfId="13828" priority="15344">
      <formula>$F44="Ventes Chubb"</formula>
    </cfRule>
    <cfRule type="expression" dxfId="13827" priority="15345">
      <formula>$F44="SAV Sicli"</formula>
    </cfRule>
    <cfRule type="expression" dxfId="13826" priority="15346">
      <formula>$F44="SAV Chubb"</formula>
    </cfRule>
    <cfRule type="expression" dxfId="13825" priority="15347">
      <formula>$F44="Réalisation"</formula>
    </cfRule>
    <cfRule type="expression" dxfId="13824" priority="15348">
      <formula>$F44="Désenfumage"</formula>
    </cfRule>
    <cfRule type="expression" dxfId="13823" priority="15349">
      <formula>$F44="Administratif"</formula>
    </cfRule>
  </conditionalFormatting>
  <conditionalFormatting sqref="D44">
    <cfRule type="expression" dxfId="13822" priority="15340">
      <formula>$H44="non"</formula>
    </cfRule>
  </conditionalFormatting>
  <conditionalFormatting sqref="D43">
    <cfRule type="expression" dxfId="13821" priority="15321">
      <formula>$F43="Formation CCF"</formula>
    </cfRule>
    <cfRule type="expression" dxfId="13820" priority="15322">
      <formula>$F43="Direction"</formula>
    </cfRule>
    <cfRule type="expression" dxfId="13819" priority="15323">
      <formula>$F43="Ventes Sicli"</formula>
    </cfRule>
    <cfRule type="expression" dxfId="13818" priority="15324">
      <formula>$F43="Ventes Chubb"</formula>
    </cfRule>
    <cfRule type="expression" dxfId="13817" priority="15325">
      <formula>$F43="SAV Sicli"</formula>
    </cfRule>
    <cfRule type="expression" dxfId="13816" priority="15326">
      <formula>$F43="SAV Chubb"</formula>
    </cfRule>
    <cfRule type="expression" dxfId="13815" priority="15327">
      <formula>$F43="Réalisation"</formula>
    </cfRule>
    <cfRule type="expression" dxfId="13814" priority="15328">
      <formula>$F43="Désenfumage"</formula>
    </cfRule>
    <cfRule type="expression" dxfId="13813" priority="15329">
      <formula>$F43="Administratif"</formula>
    </cfRule>
  </conditionalFormatting>
  <conditionalFormatting sqref="D43">
    <cfRule type="expression" dxfId="13812" priority="15320">
      <formula>$H43="non"</formula>
    </cfRule>
  </conditionalFormatting>
  <conditionalFormatting sqref="D42">
    <cfRule type="expression" dxfId="13811" priority="15291">
      <formula>$F42="Formation CCF"</formula>
    </cfRule>
    <cfRule type="expression" dxfId="13810" priority="15292">
      <formula>$F42="Direction"</formula>
    </cfRule>
    <cfRule type="expression" dxfId="13809" priority="15293">
      <formula>$F42="Ventes Sicli"</formula>
    </cfRule>
    <cfRule type="expression" dxfId="13808" priority="15294">
      <formula>$F42="Ventes Chubb"</formula>
    </cfRule>
    <cfRule type="expression" dxfId="13807" priority="15295">
      <formula>$F42="SAV Sicli"</formula>
    </cfRule>
    <cfRule type="expression" dxfId="13806" priority="15296">
      <formula>$F42="SAV Chubb"</formula>
    </cfRule>
    <cfRule type="expression" dxfId="13805" priority="15297">
      <formula>$F42="Réalisation"</formula>
    </cfRule>
    <cfRule type="expression" dxfId="13804" priority="15298">
      <formula>$F42="Désenfumage"</formula>
    </cfRule>
    <cfRule type="expression" dxfId="13803" priority="15299">
      <formula>$F42="Administratif"</formula>
    </cfRule>
  </conditionalFormatting>
  <conditionalFormatting sqref="D42">
    <cfRule type="expression" dxfId="13802" priority="15290">
      <formula>$H42="non"</formula>
    </cfRule>
  </conditionalFormatting>
  <conditionalFormatting sqref="D41">
    <cfRule type="expression" dxfId="13801" priority="15281">
      <formula>$F41="Formation CCF"</formula>
    </cfRule>
    <cfRule type="expression" dxfId="13800" priority="15282">
      <formula>$F41="Direction"</formula>
    </cfRule>
    <cfRule type="expression" dxfId="13799" priority="15283">
      <formula>$F41="Ventes Sicli"</formula>
    </cfRule>
    <cfRule type="expression" dxfId="13798" priority="15284">
      <formula>$F41="Ventes Chubb"</formula>
    </cfRule>
    <cfRule type="expression" dxfId="13797" priority="15285">
      <formula>$F41="SAV Sicli"</formula>
    </cfRule>
    <cfRule type="expression" dxfId="13796" priority="15286">
      <formula>$F41="SAV Chubb"</formula>
    </cfRule>
    <cfRule type="expression" dxfId="13795" priority="15287">
      <formula>$F41="Réalisation"</formula>
    </cfRule>
    <cfRule type="expression" dxfId="13794" priority="15288">
      <formula>$F41="Désenfumage"</formula>
    </cfRule>
    <cfRule type="expression" dxfId="13793" priority="15289">
      <formula>$F41="Administratif"</formula>
    </cfRule>
  </conditionalFormatting>
  <conditionalFormatting sqref="D41">
    <cfRule type="expression" dxfId="13792" priority="15280">
      <formula>$H41="non"</formula>
    </cfRule>
  </conditionalFormatting>
  <conditionalFormatting sqref="D40">
    <cfRule type="expression" dxfId="13791" priority="15271">
      <formula>$F40="Formation CCF"</formula>
    </cfRule>
    <cfRule type="expression" dxfId="13790" priority="15272">
      <formula>$F40="Direction"</formula>
    </cfRule>
    <cfRule type="expression" dxfId="13789" priority="15273">
      <formula>$F40="Ventes Sicli"</formula>
    </cfRule>
    <cfRule type="expression" dxfId="13788" priority="15274">
      <formula>$F40="Ventes Chubb"</formula>
    </cfRule>
    <cfRule type="expression" dxfId="13787" priority="15275">
      <formula>$F40="SAV Sicli"</formula>
    </cfRule>
    <cfRule type="expression" dxfId="13786" priority="15276">
      <formula>$F40="SAV Chubb"</formula>
    </cfRule>
    <cfRule type="expression" dxfId="13785" priority="15277">
      <formula>$F40="Réalisation"</formula>
    </cfRule>
    <cfRule type="expression" dxfId="13784" priority="15278">
      <formula>$F40="Désenfumage"</formula>
    </cfRule>
    <cfRule type="expression" dxfId="13783" priority="15279">
      <formula>$F40="Administratif"</formula>
    </cfRule>
  </conditionalFormatting>
  <conditionalFormatting sqref="D40">
    <cfRule type="expression" dxfId="13782" priority="15270">
      <formula>$H40="non"</formula>
    </cfRule>
  </conditionalFormatting>
  <conditionalFormatting sqref="D49">
    <cfRule type="expression" dxfId="13781" priority="15261">
      <formula>$F49="Formation CCF"</formula>
    </cfRule>
    <cfRule type="expression" dxfId="13780" priority="15262">
      <formula>$F49="Direction"</formula>
    </cfRule>
    <cfRule type="expression" dxfId="13779" priority="15263">
      <formula>$F49="Ventes Sicli"</formula>
    </cfRule>
    <cfRule type="expression" dxfId="13778" priority="15264">
      <formula>$F49="Ventes Chubb"</formula>
    </cfRule>
    <cfRule type="expression" dxfId="13777" priority="15265">
      <formula>$F49="SAV Sicli"</formula>
    </cfRule>
    <cfRule type="expression" dxfId="13776" priority="15266">
      <formula>$F49="SAV Chubb"</formula>
    </cfRule>
    <cfRule type="expression" dxfId="13775" priority="15267">
      <formula>$F49="Réalisation"</formula>
    </cfRule>
    <cfRule type="expression" dxfId="13774" priority="15268">
      <formula>$F49="Désenfumage"</formula>
    </cfRule>
    <cfRule type="expression" dxfId="13773" priority="15269">
      <formula>$F49="Administratif"</formula>
    </cfRule>
  </conditionalFormatting>
  <conditionalFormatting sqref="D49">
    <cfRule type="expression" dxfId="13772" priority="15260">
      <formula>$H49="non"</formula>
    </cfRule>
  </conditionalFormatting>
  <conditionalFormatting sqref="D48">
    <cfRule type="expression" dxfId="13771" priority="15251">
      <formula>$F48="Formation CCF"</formula>
    </cfRule>
    <cfRule type="expression" dxfId="13770" priority="15252">
      <formula>$F48="Direction"</formula>
    </cfRule>
    <cfRule type="expression" dxfId="13769" priority="15253">
      <formula>$F48="Ventes Sicli"</formula>
    </cfRule>
    <cfRule type="expression" dxfId="13768" priority="15254">
      <formula>$F48="Ventes Chubb"</formula>
    </cfRule>
    <cfRule type="expression" dxfId="13767" priority="15255">
      <formula>$F48="SAV Sicli"</formula>
    </cfRule>
    <cfRule type="expression" dxfId="13766" priority="15256">
      <formula>$F48="SAV Chubb"</formula>
    </cfRule>
    <cfRule type="expression" dxfId="13765" priority="15257">
      <formula>$F48="Réalisation"</formula>
    </cfRule>
    <cfRule type="expression" dxfId="13764" priority="15258">
      <formula>$F48="Désenfumage"</formula>
    </cfRule>
    <cfRule type="expression" dxfId="13763" priority="15259">
      <formula>$F48="Administratif"</formula>
    </cfRule>
  </conditionalFormatting>
  <conditionalFormatting sqref="D48">
    <cfRule type="expression" dxfId="13762" priority="15250">
      <formula>$H48="non"</formula>
    </cfRule>
  </conditionalFormatting>
  <conditionalFormatting sqref="D47">
    <cfRule type="expression" dxfId="13761" priority="15241">
      <formula>$F47="Formation CCF"</formula>
    </cfRule>
    <cfRule type="expression" dxfId="13760" priority="15242">
      <formula>$F47="Direction"</formula>
    </cfRule>
    <cfRule type="expression" dxfId="13759" priority="15243">
      <formula>$F47="Ventes Sicli"</formula>
    </cfRule>
    <cfRule type="expression" dxfId="13758" priority="15244">
      <formula>$F47="Ventes Chubb"</formula>
    </cfRule>
    <cfRule type="expression" dxfId="13757" priority="15245">
      <formula>$F47="SAV Sicli"</formula>
    </cfRule>
    <cfRule type="expression" dxfId="13756" priority="15246">
      <formula>$F47="SAV Chubb"</formula>
    </cfRule>
    <cfRule type="expression" dxfId="13755" priority="15247">
      <formula>$F47="Réalisation"</formula>
    </cfRule>
    <cfRule type="expression" dxfId="13754" priority="15248">
      <formula>$F47="Désenfumage"</formula>
    </cfRule>
    <cfRule type="expression" dxfId="13753" priority="15249">
      <formula>$F47="Administratif"</formula>
    </cfRule>
  </conditionalFormatting>
  <conditionalFormatting sqref="D47">
    <cfRule type="expression" dxfId="13752" priority="15240">
      <formula>$H47="non"</formula>
    </cfRule>
  </conditionalFormatting>
  <conditionalFormatting sqref="D44">
    <cfRule type="expression" dxfId="13751" priority="15231">
      <formula>$F44="Formation CCF"</formula>
    </cfRule>
    <cfRule type="expression" dxfId="13750" priority="15232">
      <formula>$F44="Direction"</formula>
    </cfRule>
    <cfRule type="expression" dxfId="13749" priority="15233">
      <formula>$F44="Ventes Sicli"</formula>
    </cfRule>
    <cfRule type="expression" dxfId="13748" priority="15234">
      <formula>$F44="Ventes Chubb"</formula>
    </cfRule>
    <cfRule type="expression" dxfId="13747" priority="15235">
      <formula>$F44="SAV Sicli"</formula>
    </cfRule>
    <cfRule type="expression" dxfId="13746" priority="15236">
      <formula>$F44="SAV Chubb"</formula>
    </cfRule>
    <cfRule type="expression" dxfId="13745" priority="15237">
      <formula>$F44="Réalisation"</formula>
    </cfRule>
    <cfRule type="expression" dxfId="13744" priority="15238">
      <formula>$F44="Désenfumage"</formula>
    </cfRule>
    <cfRule type="expression" dxfId="13743" priority="15239">
      <formula>$F44="Administratif"</formula>
    </cfRule>
  </conditionalFormatting>
  <conditionalFormatting sqref="D44">
    <cfRule type="expression" dxfId="13742" priority="15230">
      <formula>$H44="non"</formula>
    </cfRule>
  </conditionalFormatting>
  <conditionalFormatting sqref="D43">
    <cfRule type="expression" dxfId="13741" priority="15211">
      <formula>$F43="Formation CCF"</formula>
    </cfRule>
    <cfRule type="expression" dxfId="13740" priority="15212">
      <formula>$F43="Direction"</formula>
    </cfRule>
    <cfRule type="expression" dxfId="13739" priority="15213">
      <formula>$F43="Ventes Sicli"</formula>
    </cfRule>
    <cfRule type="expression" dxfId="13738" priority="15214">
      <formula>$F43="Ventes Chubb"</formula>
    </cfRule>
    <cfRule type="expression" dxfId="13737" priority="15215">
      <formula>$F43="SAV Sicli"</formula>
    </cfRule>
    <cfRule type="expression" dxfId="13736" priority="15216">
      <formula>$F43="SAV Chubb"</formula>
    </cfRule>
    <cfRule type="expression" dxfId="13735" priority="15217">
      <formula>$F43="Réalisation"</formula>
    </cfRule>
    <cfRule type="expression" dxfId="13734" priority="15218">
      <formula>$F43="Désenfumage"</formula>
    </cfRule>
    <cfRule type="expression" dxfId="13733" priority="15219">
      <formula>$F43="Administratif"</formula>
    </cfRule>
  </conditionalFormatting>
  <conditionalFormatting sqref="D43">
    <cfRule type="expression" dxfId="13732" priority="15210">
      <formula>$H43="non"</formula>
    </cfRule>
  </conditionalFormatting>
  <conditionalFormatting sqref="C48:D48">
    <cfRule type="expression" dxfId="13731" priority="15181">
      <formula>$F48="Formation CCF"</formula>
    </cfRule>
    <cfRule type="expression" dxfId="13730" priority="15182">
      <formula>$F48="Direction"</formula>
    </cfRule>
    <cfRule type="expression" dxfId="13729" priority="15183">
      <formula>$F48="Ventes Sicli"</formula>
    </cfRule>
    <cfRule type="expression" dxfId="13728" priority="15184">
      <formula>$F48="Ventes Chubb"</formula>
    </cfRule>
    <cfRule type="expression" dxfId="13727" priority="15185">
      <formula>$F48="SAV Sicli"</formula>
    </cfRule>
    <cfRule type="expression" dxfId="13726" priority="15186">
      <formula>$F48="SAV Chubb"</formula>
    </cfRule>
    <cfRule type="expression" dxfId="13725" priority="15187">
      <formula>$F48="Réalisation"</formula>
    </cfRule>
    <cfRule type="expression" dxfId="13724" priority="15188">
      <formula>$F48="Désenfumage"</formula>
    </cfRule>
    <cfRule type="expression" dxfId="13723" priority="15189">
      <formula>$F48="Administratif"</formula>
    </cfRule>
  </conditionalFormatting>
  <conditionalFormatting sqref="C48:D48">
    <cfRule type="expression" dxfId="13722" priority="15180">
      <formula>$H48="non"</formula>
    </cfRule>
  </conditionalFormatting>
  <conditionalFormatting sqref="C47:D47">
    <cfRule type="expression" dxfId="13721" priority="15171">
      <formula>$F47="Formation CCF"</formula>
    </cfRule>
    <cfRule type="expression" dxfId="13720" priority="15172">
      <formula>$F47="Direction"</formula>
    </cfRule>
    <cfRule type="expression" dxfId="13719" priority="15173">
      <formula>$F47="Ventes Sicli"</formula>
    </cfRule>
    <cfRule type="expression" dxfId="13718" priority="15174">
      <formula>$F47="Ventes Chubb"</formula>
    </cfRule>
    <cfRule type="expression" dxfId="13717" priority="15175">
      <formula>$F47="SAV Sicli"</formula>
    </cfRule>
    <cfRule type="expression" dxfId="13716" priority="15176">
      <formula>$F47="SAV Chubb"</formula>
    </cfRule>
    <cfRule type="expression" dxfId="13715" priority="15177">
      <formula>$F47="Réalisation"</formula>
    </cfRule>
    <cfRule type="expression" dxfId="13714" priority="15178">
      <formula>$F47="Désenfumage"</formula>
    </cfRule>
    <cfRule type="expression" dxfId="13713" priority="15179">
      <formula>$F47="Administratif"</formula>
    </cfRule>
  </conditionalFormatting>
  <conditionalFormatting sqref="C47:D47">
    <cfRule type="expression" dxfId="13712" priority="15170">
      <formula>$H47="non"</formula>
    </cfRule>
  </conditionalFormatting>
  <conditionalFormatting sqref="C44:D44">
    <cfRule type="expression" dxfId="13711" priority="15161">
      <formula>$F44="Formation CCF"</formula>
    </cfRule>
    <cfRule type="expression" dxfId="13710" priority="15162">
      <formula>$F44="Direction"</formula>
    </cfRule>
    <cfRule type="expression" dxfId="13709" priority="15163">
      <formula>$F44="Ventes Sicli"</formula>
    </cfRule>
    <cfRule type="expression" dxfId="13708" priority="15164">
      <formula>$F44="Ventes Chubb"</formula>
    </cfRule>
    <cfRule type="expression" dxfId="13707" priority="15165">
      <formula>$F44="SAV Sicli"</formula>
    </cfRule>
    <cfRule type="expression" dxfId="13706" priority="15166">
      <formula>$F44="SAV Chubb"</formula>
    </cfRule>
    <cfRule type="expression" dxfId="13705" priority="15167">
      <formula>$F44="Réalisation"</formula>
    </cfRule>
    <cfRule type="expression" dxfId="13704" priority="15168">
      <formula>$F44="Désenfumage"</formula>
    </cfRule>
    <cfRule type="expression" dxfId="13703" priority="15169">
      <formula>$F44="Administratif"</formula>
    </cfRule>
  </conditionalFormatting>
  <conditionalFormatting sqref="C44:D44">
    <cfRule type="expression" dxfId="13702" priority="15160">
      <formula>$H44="non"</formula>
    </cfRule>
  </conditionalFormatting>
  <conditionalFormatting sqref="C43:D43">
    <cfRule type="expression" dxfId="13701" priority="15141">
      <formula>$F43="Formation CCF"</formula>
    </cfRule>
    <cfRule type="expression" dxfId="13700" priority="15142">
      <formula>$F43="Direction"</formula>
    </cfRule>
    <cfRule type="expression" dxfId="13699" priority="15143">
      <formula>$F43="Ventes Sicli"</formula>
    </cfRule>
    <cfRule type="expression" dxfId="13698" priority="15144">
      <formula>$F43="Ventes Chubb"</formula>
    </cfRule>
    <cfRule type="expression" dxfId="13697" priority="15145">
      <formula>$F43="SAV Sicli"</formula>
    </cfRule>
    <cfRule type="expression" dxfId="13696" priority="15146">
      <formula>$F43="SAV Chubb"</formula>
    </cfRule>
    <cfRule type="expression" dxfId="13695" priority="15147">
      <formula>$F43="Réalisation"</formula>
    </cfRule>
    <cfRule type="expression" dxfId="13694" priority="15148">
      <formula>$F43="Désenfumage"</formula>
    </cfRule>
    <cfRule type="expression" dxfId="13693" priority="15149">
      <formula>$F43="Administratif"</formula>
    </cfRule>
  </conditionalFormatting>
  <conditionalFormatting sqref="C43:D43">
    <cfRule type="expression" dxfId="13692" priority="15140">
      <formula>$H43="non"</formula>
    </cfRule>
  </conditionalFormatting>
  <conditionalFormatting sqref="C42:D42">
    <cfRule type="expression" dxfId="13691" priority="15111">
      <formula>$F42="Formation CCF"</formula>
    </cfRule>
    <cfRule type="expression" dxfId="13690" priority="15112">
      <formula>$F42="Direction"</formula>
    </cfRule>
    <cfRule type="expression" dxfId="13689" priority="15113">
      <formula>$F42="Ventes Sicli"</formula>
    </cfRule>
    <cfRule type="expression" dxfId="13688" priority="15114">
      <formula>$F42="Ventes Chubb"</formula>
    </cfRule>
    <cfRule type="expression" dxfId="13687" priority="15115">
      <formula>$F42="SAV Sicli"</formula>
    </cfRule>
    <cfRule type="expression" dxfId="13686" priority="15116">
      <formula>$F42="SAV Chubb"</formula>
    </cfRule>
    <cfRule type="expression" dxfId="13685" priority="15117">
      <formula>$F42="Réalisation"</formula>
    </cfRule>
    <cfRule type="expression" dxfId="13684" priority="15118">
      <formula>$F42="Désenfumage"</formula>
    </cfRule>
    <cfRule type="expression" dxfId="13683" priority="15119">
      <formula>$F42="Administratif"</formula>
    </cfRule>
  </conditionalFormatting>
  <conditionalFormatting sqref="C42:D42">
    <cfRule type="expression" dxfId="13682" priority="15110">
      <formula>$H42="non"</formula>
    </cfRule>
  </conditionalFormatting>
  <conditionalFormatting sqref="D40">
    <cfRule type="expression" dxfId="13681" priority="15101">
      <formula>$F40="Formation CCF"</formula>
    </cfRule>
    <cfRule type="expression" dxfId="13680" priority="15102">
      <formula>$F40="Direction"</formula>
    </cfRule>
    <cfRule type="expression" dxfId="13679" priority="15103">
      <formula>$F40="Ventes Sicli"</formula>
    </cfRule>
    <cfRule type="expression" dxfId="13678" priority="15104">
      <formula>$F40="Ventes Chubb"</formula>
    </cfRule>
    <cfRule type="expression" dxfId="13677" priority="15105">
      <formula>$F40="SAV Sicli"</formula>
    </cfRule>
    <cfRule type="expression" dxfId="13676" priority="15106">
      <formula>$F40="SAV Chubb"</formula>
    </cfRule>
    <cfRule type="expression" dxfId="13675" priority="15107">
      <formula>$F40="Réalisation"</formula>
    </cfRule>
    <cfRule type="expression" dxfId="13674" priority="15108">
      <formula>$F40="Désenfumage"</formula>
    </cfRule>
    <cfRule type="expression" dxfId="13673" priority="15109">
      <formula>$F40="Administratif"</formula>
    </cfRule>
  </conditionalFormatting>
  <conditionalFormatting sqref="D40">
    <cfRule type="expression" dxfId="13672" priority="15100">
      <formula>$H40="non"</formula>
    </cfRule>
  </conditionalFormatting>
  <conditionalFormatting sqref="D38">
    <cfRule type="expression" dxfId="13671" priority="15091">
      <formula>$F38="Formation CCF"</formula>
    </cfRule>
    <cfRule type="expression" dxfId="13670" priority="15092">
      <formula>$F38="Direction"</formula>
    </cfRule>
    <cfRule type="expression" dxfId="13669" priority="15093">
      <formula>$F38="Ventes Sicli"</formula>
    </cfRule>
    <cfRule type="expression" dxfId="13668" priority="15094">
      <formula>$F38="Ventes Chubb"</formula>
    </cfRule>
    <cfRule type="expression" dxfId="13667" priority="15095">
      <formula>$F38="SAV Sicli"</formula>
    </cfRule>
    <cfRule type="expression" dxfId="13666" priority="15096">
      <formula>$F38="SAV Chubb"</formula>
    </cfRule>
    <cfRule type="expression" dxfId="13665" priority="15097">
      <formula>$F38="Réalisation"</formula>
    </cfRule>
    <cfRule type="expression" dxfId="13664" priority="15098">
      <formula>$F38="Désenfumage"</formula>
    </cfRule>
    <cfRule type="expression" dxfId="13663" priority="15099">
      <formula>$F38="Administratif"</formula>
    </cfRule>
  </conditionalFormatting>
  <conditionalFormatting sqref="D38">
    <cfRule type="expression" dxfId="13662" priority="15090">
      <formula>$H38="non"</formula>
    </cfRule>
  </conditionalFormatting>
  <conditionalFormatting sqref="D38">
    <cfRule type="expression" dxfId="13661" priority="15081">
      <formula>$F38="Formation CCF"</formula>
    </cfRule>
    <cfRule type="expression" dxfId="13660" priority="15082">
      <formula>$F38="Direction"</formula>
    </cfRule>
    <cfRule type="expression" dxfId="13659" priority="15083">
      <formula>$F38="Ventes Sicli"</formula>
    </cfRule>
    <cfRule type="expression" dxfId="13658" priority="15084">
      <formula>$F38="Ventes Chubb"</formula>
    </cfRule>
    <cfRule type="expression" dxfId="13657" priority="15085">
      <formula>$F38="SAV Sicli"</formula>
    </cfRule>
    <cfRule type="expression" dxfId="13656" priority="15086">
      <formula>$F38="SAV Chubb"</formula>
    </cfRule>
    <cfRule type="expression" dxfId="13655" priority="15087">
      <formula>$F38="Réalisation"</formula>
    </cfRule>
    <cfRule type="expression" dxfId="13654" priority="15088">
      <formula>$F38="Désenfumage"</formula>
    </cfRule>
    <cfRule type="expression" dxfId="13653" priority="15089">
      <formula>$F38="Administratif"</formula>
    </cfRule>
  </conditionalFormatting>
  <conditionalFormatting sqref="D38">
    <cfRule type="expression" dxfId="13652" priority="15080">
      <formula>$H38="non"</formula>
    </cfRule>
  </conditionalFormatting>
  <conditionalFormatting sqref="C43:D43">
    <cfRule type="expression" dxfId="13651" priority="15071">
      <formula>$F43="Formation CCF"</formula>
    </cfRule>
    <cfRule type="expression" dxfId="13650" priority="15072">
      <formula>$F43="Direction"</formula>
    </cfRule>
    <cfRule type="expression" dxfId="13649" priority="15073">
      <formula>$F43="Ventes Sicli"</formula>
    </cfRule>
    <cfRule type="expression" dxfId="13648" priority="15074">
      <formula>$F43="Ventes Chubb"</formula>
    </cfRule>
    <cfRule type="expression" dxfId="13647" priority="15075">
      <formula>$F43="SAV Sicli"</formula>
    </cfRule>
    <cfRule type="expression" dxfId="13646" priority="15076">
      <formula>$F43="SAV Chubb"</formula>
    </cfRule>
    <cfRule type="expression" dxfId="13645" priority="15077">
      <formula>$F43="Réalisation"</formula>
    </cfRule>
    <cfRule type="expression" dxfId="13644" priority="15078">
      <formula>$F43="Désenfumage"</formula>
    </cfRule>
    <cfRule type="expression" dxfId="13643" priority="15079">
      <formula>$F43="Administratif"</formula>
    </cfRule>
  </conditionalFormatting>
  <conditionalFormatting sqref="C43:D43">
    <cfRule type="expression" dxfId="13642" priority="15070">
      <formula>$H43="non"</formula>
    </cfRule>
  </conditionalFormatting>
  <conditionalFormatting sqref="C42:D42">
    <cfRule type="expression" dxfId="13641" priority="15041">
      <formula>$F42="Formation CCF"</formula>
    </cfRule>
    <cfRule type="expression" dxfId="13640" priority="15042">
      <formula>$F42="Direction"</formula>
    </cfRule>
    <cfRule type="expression" dxfId="13639" priority="15043">
      <formula>$F42="Ventes Sicli"</formula>
    </cfRule>
    <cfRule type="expression" dxfId="13638" priority="15044">
      <formula>$F42="Ventes Chubb"</formula>
    </cfRule>
    <cfRule type="expression" dxfId="13637" priority="15045">
      <formula>$F42="SAV Sicli"</formula>
    </cfRule>
    <cfRule type="expression" dxfId="13636" priority="15046">
      <formula>$F42="SAV Chubb"</formula>
    </cfRule>
    <cfRule type="expression" dxfId="13635" priority="15047">
      <formula>$F42="Réalisation"</formula>
    </cfRule>
    <cfRule type="expression" dxfId="13634" priority="15048">
      <formula>$F42="Désenfumage"</formula>
    </cfRule>
    <cfRule type="expression" dxfId="13633" priority="15049">
      <formula>$F42="Administratif"</formula>
    </cfRule>
  </conditionalFormatting>
  <conditionalFormatting sqref="C42:D42">
    <cfRule type="expression" dxfId="13632" priority="15040">
      <formula>$H42="non"</formula>
    </cfRule>
  </conditionalFormatting>
  <conditionalFormatting sqref="C41:D41">
    <cfRule type="expression" dxfId="13631" priority="15031">
      <formula>$F41="Formation CCF"</formula>
    </cfRule>
    <cfRule type="expression" dxfId="13630" priority="15032">
      <formula>$F41="Direction"</formula>
    </cfRule>
    <cfRule type="expression" dxfId="13629" priority="15033">
      <formula>$F41="Ventes Sicli"</formula>
    </cfRule>
    <cfRule type="expression" dxfId="13628" priority="15034">
      <formula>$F41="Ventes Chubb"</formula>
    </cfRule>
    <cfRule type="expression" dxfId="13627" priority="15035">
      <formula>$F41="SAV Sicli"</formula>
    </cfRule>
    <cfRule type="expression" dxfId="13626" priority="15036">
      <formula>$F41="SAV Chubb"</formula>
    </cfRule>
    <cfRule type="expression" dxfId="13625" priority="15037">
      <formula>$F41="Réalisation"</formula>
    </cfRule>
    <cfRule type="expression" dxfId="13624" priority="15038">
      <formula>$F41="Désenfumage"</formula>
    </cfRule>
    <cfRule type="expression" dxfId="13623" priority="15039">
      <formula>$F41="Administratif"</formula>
    </cfRule>
  </conditionalFormatting>
  <conditionalFormatting sqref="C41:D41">
    <cfRule type="expression" dxfId="13622" priority="15030">
      <formula>$H41="non"</formula>
    </cfRule>
  </conditionalFormatting>
  <conditionalFormatting sqref="D38">
    <cfRule type="expression" dxfId="13621" priority="15021">
      <formula>$F38="Formation CCF"</formula>
    </cfRule>
    <cfRule type="expression" dxfId="13620" priority="15022">
      <formula>$F38="Direction"</formula>
    </cfRule>
    <cfRule type="expression" dxfId="13619" priority="15023">
      <formula>$F38="Ventes Sicli"</formula>
    </cfRule>
    <cfRule type="expression" dxfId="13618" priority="15024">
      <formula>$F38="Ventes Chubb"</formula>
    </cfRule>
    <cfRule type="expression" dxfId="13617" priority="15025">
      <formula>$F38="SAV Sicli"</formula>
    </cfRule>
    <cfRule type="expression" dxfId="13616" priority="15026">
      <formula>$F38="SAV Chubb"</formula>
    </cfRule>
    <cfRule type="expression" dxfId="13615" priority="15027">
      <formula>$F38="Réalisation"</formula>
    </cfRule>
    <cfRule type="expression" dxfId="13614" priority="15028">
      <formula>$F38="Désenfumage"</formula>
    </cfRule>
    <cfRule type="expression" dxfId="13613" priority="15029">
      <formula>$F38="Administratif"</formula>
    </cfRule>
  </conditionalFormatting>
  <conditionalFormatting sqref="D38">
    <cfRule type="expression" dxfId="13612" priority="15020">
      <formula>$H38="non"</formula>
    </cfRule>
  </conditionalFormatting>
  <conditionalFormatting sqref="C43:D43">
    <cfRule type="expression" dxfId="13611" priority="15011">
      <formula>$F43="Formation CCF"</formula>
    </cfRule>
    <cfRule type="expression" dxfId="13610" priority="15012">
      <formula>$F43="Direction"</formula>
    </cfRule>
    <cfRule type="expression" dxfId="13609" priority="15013">
      <formula>$F43="Ventes Sicli"</formula>
    </cfRule>
    <cfRule type="expression" dxfId="13608" priority="15014">
      <formula>$F43="Ventes Chubb"</formula>
    </cfRule>
    <cfRule type="expression" dxfId="13607" priority="15015">
      <formula>$F43="SAV Sicli"</formula>
    </cfRule>
    <cfRule type="expression" dxfId="13606" priority="15016">
      <formula>$F43="SAV Chubb"</formula>
    </cfRule>
    <cfRule type="expression" dxfId="13605" priority="15017">
      <formula>$F43="Réalisation"</formula>
    </cfRule>
    <cfRule type="expression" dxfId="13604" priority="15018">
      <formula>$F43="Désenfumage"</formula>
    </cfRule>
    <cfRule type="expression" dxfId="13603" priority="15019">
      <formula>$F43="Administratif"</formula>
    </cfRule>
  </conditionalFormatting>
  <conditionalFormatting sqref="C43:D43">
    <cfRule type="expression" dxfId="13602" priority="15010">
      <formula>$H43="non"</formula>
    </cfRule>
  </conditionalFormatting>
  <conditionalFormatting sqref="C42:D42">
    <cfRule type="expression" dxfId="13601" priority="14981">
      <formula>$F42="Formation CCF"</formula>
    </cfRule>
    <cfRule type="expression" dxfId="13600" priority="14982">
      <formula>$F42="Direction"</formula>
    </cfRule>
    <cfRule type="expression" dxfId="13599" priority="14983">
      <formula>$F42="Ventes Sicli"</formula>
    </cfRule>
    <cfRule type="expression" dxfId="13598" priority="14984">
      <formula>$F42="Ventes Chubb"</formula>
    </cfRule>
    <cfRule type="expression" dxfId="13597" priority="14985">
      <formula>$F42="SAV Sicli"</formula>
    </cfRule>
    <cfRule type="expression" dxfId="13596" priority="14986">
      <formula>$F42="SAV Chubb"</formula>
    </cfRule>
    <cfRule type="expression" dxfId="13595" priority="14987">
      <formula>$F42="Réalisation"</formula>
    </cfRule>
    <cfRule type="expression" dxfId="13594" priority="14988">
      <formula>$F42="Désenfumage"</formula>
    </cfRule>
    <cfRule type="expression" dxfId="13593" priority="14989">
      <formula>$F42="Administratif"</formula>
    </cfRule>
  </conditionalFormatting>
  <conditionalFormatting sqref="C42:D42">
    <cfRule type="expression" dxfId="13592" priority="14980">
      <formula>$H42="non"</formula>
    </cfRule>
  </conditionalFormatting>
  <conditionalFormatting sqref="C41:D41">
    <cfRule type="expression" dxfId="13591" priority="14971">
      <formula>$F41="Formation CCF"</formula>
    </cfRule>
    <cfRule type="expression" dxfId="13590" priority="14972">
      <formula>$F41="Direction"</formula>
    </cfRule>
    <cfRule type="expression" dxfId="13589" priority="14973">
      <formula>$F41="Ventes Sicli"</formula>
    </cfRule>
    <cfRule type="expression" dxfId="13588" priority="14974">
      <formula>$F41="Ventes Chubb"</formula>
    </cfRule>
    <cfRule type="expression" dxfId="13587" priority="14975">
      <formula>$F41="SAV Sicli"</formula>
    </cfRule>
    <cfRule type="expression" dxfId="13586" priority="14976">
      <formula>$F41="SAV Chubb"</formula>
    </cfRule>
    <cfRule type="expression" dxfId="13585" priority="14977">
      <formula>$F41="Réalisation"</formula>
    </cfRule>
    <cfRule type="expression" dxfId="13584" priority="14978">
      <formula>$F41="Désenfumage"</formula>
    </cfRule>
    <cfRule type="expression" dxfId="13583" priority="14979">
      <formula>$F41="Administratif"</formula>
    </cfRule>
  </conditionalFormatting>
  <conditionalFormatting sqref="C41:D41">
    <cfRule type="expression" dxfId="13582" priority="14970">
      <formula>$H41="non"</formula>
    </cfRule>
  </conditionalFormatting>
  <conditionalFormatting sqref="D38">
    <cfRule type="expression" dxfId="13581" priority="14961">
      <formula>$F38="Formation CCF"</formula>
    </cfRule>
    <cfRule type="expression" dxfId="13580" priority="14962">
      <formula>$F38="Direction"</formula>
    </cfRule>
    <cfRule type="expression" dxfId="13579" priority="14963">
      <formula>$F38="Ventes Sicli"</formula>
    </cfRule>
    <cfRule type="expression" dxfId="13578" priority="14964">
      <formula>$F38="Ventes Chubb"</formula>
    </cfRule>
    <cfRule type="expression" dxfId="13577" priority="14965">
      <formula>$F38="SAV Sicli"</formula>
    </cfRule>
    <cfRule type="expression" dxfId="13576" priority="14966">
      <formula>$F38="SAV Chubb"</formula>
    </cfRule>
    <cfRule type="expression" dxfId="13575" priority="14967">
      <formula>$F38="Réalisation"</formula>
    </cfRule>
    <cfRule type="expression" dxfId="13574" priority="14968">
      <formula>$F38="Désenfumage"</formula>
    </cfRule>
    <cfRule type="expression" dxfId="13573" priority="14969">
      <formula>$F38="Administratif"</formula>
    </cfRule>
  </conditionalFormatting>
  <conditionalFormatting sqref="D38">
    <cfRule type="expression" dxfId="13572" priority="14960">
      <formula>$H38="non"</formula>
    </cfRule>
  </conditionalFormatting>
  <conditionalFormatting sqref="C42:D42">
    <cfRule type="expression" dxfId="13571" priority="14931">
      <formula>$F42="Formation CCF"</formula>
    </cfRule>
    <cfRule type="expression" dxfId="13570" priority="14932">
      <formula>$F42="Direction"</formula>
    </cfRule>
    <cfRule type="expression" dxfId="13569" priority="14933">
      <formula>$F42="Ventes Sicli"</formula>
    </cfRule>
    <cfRule type="expression" dxfId="13568" priority="14934">
      <formula>$F42="Ventes Chubb"</formula>
    </cfRule>
    <cfRule type="expression" dxfId="13567" priority="14935">
      <formula>$F42="SAV Sicli"</formula>
    </cfRule>
    <cfRule type="expression" dxfId="13566" priority="14936">
      <formula>$F42="SAV Chubb"</formula>
    </cfRule>
    <cfRule type="expression" dxfId="13565" priority="14937">
      <formula>$F42="Réalisation"</formula>
    </cfRule>
    <cfRule type="expression" dxfId="13564" priority="14938">
      <formula>$F42="Désenfumage"</formula>
    </cfRule>
    <cfRule type="expression" dxfId="13563" priority="14939">
      <formula>$F42="Administratif"</formula>
    </cfRule>
  </conditionalFormatting>
  <conditionalFormatting sqref="C42:D42">
    <cfRule type="expression" dxfId="13562" priority="14930">
      <formula>$H42="non"</formula>
    </cfRule>
  </conditionalFormatting>
  <conditionalFormatting sqref="C41:D41">
    <cfRule type="expression" dxfId="13561" priority="14921">
      <formula>$F41="Formation CCF"</formula>
    </cfRule>
    <cfRule type="expression" dxfId="13560" priority="14922">
      <formula>$F41="Direction"</formula>
    </cfRule>
    <cfRule type="expression" dxfId="13559" priority="14923">
      <formula>$F41="Ventes Sicli"</formula>
    </cfRule>
    <cfRule type="expression" dxfId="13558" priority="14924">
      <formula>$F41="Ventes Chubb"</formula>
    </cfRule>
    <cfRule type="expression" dxfId="13557" priority="14925">
      <formula>$F41="SAV Sicli"</formula>
    </cfRule>
    <cfRule type="expression" dxfId="13556" priority="14926">
      <formula>$F41="SAV Chubb"</formula>
    </cfRule>
    <cfRule type="expression" dxfId="13555" priority="14927">
      <formula>$F41="Réalisation"</formula>
    </cfRule>
    <cfRule type="expression" dxfId="13554" priority="14928">
      <formula>$F41="Désenfumage"</formula>
    </cfRule>
    <cfRule type="expression" dxfId="13553" priority="14929">
      <formula>$F41="Administratif"</formula>
    </cfRule>
  </conditionalFormatting>
  <conditionalFormatting sqref="C41:D41">
    <cfRule type="expression" dxfId="13552" priority="14920">
      <formula>$H41="non"</formula>
    </cfRule>
  </conditionalFormatting>
  <conditionalFormatting sqref="C40:D40">
    <cfRule type="expression" dxfId="13551" priority="14911">
      <formula>$F40="Formation CCF"</formula>
    </cfRule>
    <cfRule type="expression" dxfId="13550" priority="14912">
      <formula>$F40="Direction"</formula>
    </cfRule>
    <cfRule type="expression" dxfId="13549" priority="14913">
      <formula>$F40="Ventes Sicli"</formula>
    </cfRule>
    <cfRule type="expression" dxfId="13548" priority="14914">
      <formula>$F40="Ventes Chubb"</formula>
    </cfRule>
    <cfRule type="expression" dxfId="13547" priority="14915">
      <formula>$F40="SAV Sicli"</formula>
    </cfRule>
    <cfRule type="expression" dxfId="13546" priority="14916">
      <formula>$F40="SAV Chubb"</formula>
    </cfRule>
    <cfRule type="expression" dxfId="13545" priority="14917">
      <formula>$F40="Réalisation"</formula>
    </cfRule>
    <cfRule type="expression" dxfId="13544" priority="14918">
      <formula>$F40="Désenfumage"</formula>
    </cfRule>
    <cfRule type="expression" dxfId="13543" priority="14919">
      <formula>$F40="Administratif"</formula>
    </cfRule>
  </conditionalFormatting>
  <conditionalFormatting sqref="C40:D40">
    <cfRule type="expression" dxfId="13542" priority="14910">
      <formula>$H40="non"</formula>
    </cfRule>
  </conditionalFormatting>
  <conditionalFormatting sqref="C59:D59">
    <cfRule type="expression" dxfId="13541" priority="14901">
      <formula>$F59="Formation CCF"</formula>
    </cfRule>
    <cfRule type="expression" dxfId="13540" priority="14902">
      <formula>$F59="Direction"</formula>
    </cfRule>
    <cfRule type="expression" dxfId="13539" priority="14903">
      <formula>$F59="Ventes Sicli"</formula>
    </cfRule>
    <cfRule type="expression" dxfId="13538" priority="14904">
      <formula>$F59="Ventes Chubb"</formula>
    </cfRule>
    <cfRule type="expression" dxfId="13537" priority="14905">
      <formula>$F59="SAV Sicli"</formula>
    </cfRule>
    <cfRule type="expression" dxfId="13536" priority="14906">
      <formula>$F59="SAV Chubb"</formula>
    </cfRule>
    <cfRule type="expression" dxfId="13535" priority="14907">
      <formula>$F59="Réalisation"</formula>
    </cfRule>
    <cfRule type="expression" dxfId="13534" priority="14908">
      <formula>$F59="Désenfumage"</formula>
    </cfRule>
    <cfRule type="expression" dxfId="13533" priority="14909">
      <formula>$F59="Administratif"</formula>
    </cfRule>
  </conditionalFormatting>
  <conditionalFormatting sqref="C59:D59">
    <cfRule type="expression" dxfId="13532" priority="14900">
      <formula>$H59="non"</formula>
    </cfRule>
  </conditionalFormatting>
  <conditionalFormatting sqref="C58:D58">
    <cfRule type="expression" dxfId="13531" priority="14891">
      <formula>$F58="Formation CCF"</formula>
    </cfRule>
    <cfRule type="expression" dxfId="13530" priority="14892">
      <formula>$F58="Direction"</formula>
    </cfRule>
    <cfRule type="expression" dxfId="13529" priority="14893">
      <formula>$F58="Ventes Sicli"</formula>
    </cfRule>
    <cfRule type="expression" dxfId="13528" priority="14894">
      <formula>$F58="Ventes Chubb"</formula>
    </cfRule>
    <cfRule type="expression" dxfId="13527" priority="14895">
      <formula>$F58="SAV Sicli"</formula>
    </cfRule>
    <cfRule type="expression" dxfId="13526" priority="14896">
      <formula>$F58="SAV Chubb"</formula>
    </cfRule>
    <cfRule type="expression" dxfId="13525" priority="14897">
      <formula>$F58="Réalisation"</formula>
    </cfRule>
    <cfRule type="expression" dxfId="13524" priority="14898">
      <formula>$F58="Désenfumage"</formula>
    </cfRule>
    <cfRule type="expression" dxfId="13523" priority="14899">
      <formula>$F58="Administratif"</formula>
    </cfRule>
  </conditionalFormatting>
  <conditionalFormatting sqref="C58:D58">
    <cfRule type="expression" dxfId="13522" priority="14890">
      <formula>$H58="non"</formula>
    </cfRule>
  </conditionalFormatting>
  <conditionalFormatting sqref="C57:D57">
    <cfRule type="expression" dxfId="13521" priority="14881">
      <formula>$F57="Formation CCF"</formula>
    </cfRule>
    <cfRule type="expression" dxfId="13520" priority="14882">
      <formula>$F57="Direction"</formula>
    </cfRule>
    <cfRule type="expression" dxfId="13519" priority="14883">
      <formula>$F57="Ventes Sicli"</formula>
    </cfRule>
    <cfRule type="expression" dxfId="13518" priority="14884">
      <formula>$F57="Ventes Chubb"</formula>
    </cfRule>
    <cfRule type="expression" dxfId="13517" priority="14885">
      <formula>$F57="SAV Sicli"</formula>
    </cfRule>
    <cfRule type="expression" dxfId="13516" priority="14886">
      <formula>$F57="SAV Chubb"</formula>
    </cfRule>
    <cfRule type="expression" dxfId="13515" priority="14887">
      <formula>$F57="Réalisation"</formula>
    </cfRule>
    <cfRule type="expression" dxfId="13514" priority="14888">
      <formula>$F57="Désenfumage"</formula>
    </cfRule>
    <cfRule type="expression" dxfId="13513" priority="14889">
      <formula>$F57="Administratif"</formula>
    </cfRule>
  </conditionalFormatting>
  <conditionalFormatting sqref="C57:D57">
    <cfRule type="expression" dxfId="13512" priority="14880">
      <formula>$H57="non"</formula>
    </cfRule>
  </conditionalFormatting>
  <conditionalFormatting sqref="C56:D56">
    <cfRule type="expression" dxfId="13511" priority="14871">
      <formula>$F56="Formation CCF"</formula>
    </cfRule>
    <cfRule type="expression" dxfId="13510" priority="14872">
      <formula>$F56="Direction"</formula>
    </cfRule>
    <cfRule type="expression" dxfId="13509" priority="14873">
      <formula>$F56="Ventes Sicli"</formula>
    </cfRule>
    <cfRule type="expression" dxfId="13508" priority="14874">
      <formula>$F56="Ventes Chubb"</formula>
    </cfRule>
    <cfRule type="expression" dxfId="13507" priority="14875">
      <formula>$F56="SAV Sicli"</formula>
    </cfRule>
    <cfRule type="expression" dxfId="13506" priority="14876">
      <formula>$F56="SAV Chubb"</formula>
    </cfRule>
    <cfRule type="expression" dxfId="13505" priority="14877">
      <formula>$F56="Réalisation"</formula>
    </cfRule>
    <cfRule type="expression" dxfId="13504" priority="14878">
      <formula>$F56="Désenfumage"</formula>
    </cfRule>
    <cfRule type="expression" dxfId="13503" priority="14879">
      <formula>$F56="Administratif"</formula>
    </cfRule>
  </conditionalFormatting>
  <conditionalFormatting sqref="C56:D56">
    <cfRule type="expression" dxfId="13502" priority="14870">
      <formula>$H56="non"</formula>
    </cfRule>
  </conditionalFormatting>
  <conditionalFormatting sqref="C55:D55">
    <cfRule type="expression" dxfId="13501" priority="14861">
      <formula>$F55="Formation CCF"</formula>
    </cfRule>
    <cfRule type="expression" dxfId="13500" priority="14862">
      <formula>$F55="Direction"</formula>
    </cfRule>
    <cfRule type="expression" dxfId="13499" priority="14863">
      <formula>$F55="Ventes Sicli"</formula>
    </cfRule>
    <cfRule type="expression" dxfId="13498" priority="14864">
      <formula>$F55="Ventes Chubb"</formula>
    </cfRule>
    <cfRule type="expression" dxfId="13497" priority="14865">
      <formula>$F55="SAV Sicli"</formula>
    </cfRule>
    <cfRule type="expression" dxfId="13496" priority="14866">
      <formula>$F55="SAV Chubb"</formula>
    </cfRule>
    <cfRule type="expression" dxfId="13495" priority="14867">
      <formula>$F55="Réalisation"</formula>
    </cfRule>
    <cfRule type="expression" dxfId="13494" priority="14868">
      <formula>$F55="Désenfumage"</formula>
    </cfRule>
    <cfRule type="expression" dxfId="13493" priority="14869">
      <formula>$F55="Administratif"</formula>
    </cfRule>
  </conditionalFormatting>
  <conditionalFormatting sqref="C55:D55">
    <cfRule type="expression" dxfId="13492" priority="14860">
      <formula>$H55="non"</formula>
    </cfRule>
  </conditionalFormatting>
  <conditionalFormatting sqref="C54:D54">
    <cfRule type="expression" dxfId="13491" priority="14851">
      <formula>$F54="Formation CCF"</formula>
    </cfRule>
    <cfRule type="expression" dxfId="13490" priority="14852">
      <formula>$F54="Direction"</formula>
    </cfRule>
    <cfRule type="expression" dxfId="13489" priority="14853">
      <formula>$F54="Ventes Sicli"</formula>
    </cfRule>
    <cfRule type="expression" dxfId="13488" priority="14854">
      <formula>$F54="Ventes Chubb"</formula>
    </cfRule>
    <cfRule type="expression" dxfId="13487" priority="14855">
      <formula>$F54="SAV Sicli"</formula>
    </cfRule>
    <cfRule type="expression" dxfId="13486" priority="14856">
      <formula>$F54="SAV Chubb"</formula>
    </cfRule>
    <cfRule type="expression" dxfId="13485" priority="14857">
      <formula>$F54="Réalisation"</formula>
    </cfRule>
    <cfRule type="expression" dxfId="13484" priority="14858">
      <formula>$F54="Désenfumage"</formula>
    </cfRule>
    <cfRule type="expression" dxfId="13483" priority="14859">
      <formula>$F54="Administratif"</formula>
    </cfRule>
  </conditionalFormatting>
  <conditionalFormatting sqref="C54:D54">
    <cfRule type="expression" dxfId="13482" priority="14850">
      <formula>$H54="non"</formula>
    </cfRule>
  </conditionalFormatting>
  <conditionalFormatting sqref="D52">
    <cfRule type="expression" dxfId="13481" priority="14841">
      <formula>$F52="Formation CCF"</formula>
    </cfRule>
    <cfRule type="expression" dxfId="13480" priority="14842">
      <formula>$F52="Direction"</formula>
    </cfRule>
    <cfRule type="expression" dxfId="13479" priority="14843">
      <formula>$F52="Ventes Sicli"</formula>
    </cfRule>
    <cfRule type="expression" dxfId="13478" priority="14844">
      <formula>$F52="Ventes Chubb"</formula>
    </cfRule>
    <cfRule type="expression" dxfId="13477" priority="14845">
      <formula>$F52="SAV Sicli"</formula>
    </cfRule>
    <cfRule type="expression" dxfId="13476" priority="14846">
      <formula>$F52="SAV Chubb"</formula>
    </cfRule>
    <cfRule type="expression" dxfId="13475" priority="14847">
      <formula>$F52="Réalisation"</formula>
    </cfRule>
    <cfRule type="expression" dxfId="13474" priority="14848">
      <formula>$F52="Désenfumage"</formula>
    </cfRule>
    <cfRule type="expression" dxfId="13473" priority="14849">
      <formula>$F52="Administratif"</formula>
    </cfRule>
  </conditionalFormatting>
  <conditionalFormatting sqref="D52">
    <cfRule type="expression" dxfId="13472" priority="14840">
      <formula>$H52="non"</formula>
    </cfRule>
  </conditionalFormatting>
  <conditionalFormatting sqref="D51">
    <cfRule type="expression" dxfId="13471" priority="14831">
      <formula>$F51="Formation CCF"</formula>
    </cfRule>
    <cfRule type="expression" dxfId="13470" priority="14832">
      <formula>$F51="Direction"</formula>
    </cfRule>
    <cfRule type="expression" dxfId="13469" priority="14833">
      <formula>$F51="Ventes Sicli"</formula>
    </cfRule>
    <cfRule type="expression" dxfId="13468" priority="14834">
      <formula>$F51="Ventes Chubb"</formula>
    </cfRule>
    <cfRule type="expression" dxfId="13467" priority="14835">
      <formula>$F51="SAV Sicli"</formula>
    </cfRule>
    <cfRule type="expression" dxfId="13466" priority="14836">
      <formula>$F51="SAV Chubb"</formula>
    </cfRule>
    <cfRule type="expression" dxfId="13465" priority="14837">
      <formula>$F51="Réalisation"</formula>
    </cfRule>
    <cfRule type="expression" dxfId="13464" priority="14838">
      <formula>$F51="Désenfumage"</formula>
    </cfRule>
    <cfRule type="expression" dxfId="13463" priority="14839">
      <formula>$F51="Administratif"</formula>
    </cfRule>
  </conditionalFormatting>
  <conditionalFormatting sqref="D51">
    <cfRule type="expression" dxfId="13462" priority="14830">
      <formula>$H51="non"</formula>
    </cfRule>
  </conditionalFormatting>
  <conditionalFormatting sqref="D51">
    <cfRule type="expression" dxfId="13461" priority="14821">
      <formula>$F51="Formation CCF"</formula>
    </cfRule>
    <cfRule type="expression" dxfId="13460" priority="14822">
      <formula>$F51="Direction"</formula>
    </cfRule>
    <cfRule type="expression" dxfId="13459" priority="14823">
      <formula>$F51="Ventes Sicli"</formula>
    </cfRule>
    <cfRule type="expression" dxfId="13458" priority="14824">
      <formula>$F51="Ventes Chubb"</formula>
    </cfRule>
    <cfRule type="expression" dxfId="13457" priority="14825">
      <formula>$F51="SAV Sicli"</formula>
    </cfRule>
    <cfRule type="expression" dxfId="13456" priority="14826">
      <formula>$F51="SAV Chubb"</formula>
    </cfRule>
    <cfRule type="expression" dxfId="13455" priority="14827">
      <formula>$F51="Réalisation"</formula>
    </cfRule>
    <cfRule type="expression" dxfId="13454" priority="14828">
      <formula>$F51="Désenfumage"</formula>
    </cfRule>
    <cfRule type="expression" dxfId="13453" priority="14829">
      <formula>$F51="Administratif"</formula>
    </cfRule>
  </conditionalFormatting>
  <conditionalFormatting sqref="D51">
    <cfRule type="expression" dxfId="13452" priority="14820">
      <formula>$H51="non"</formula>
    </cfRule>
  </conditionalFormatting>
  <conditionalFormatting sqref="C57:D57">
    <cfRule type="expression" dxfId="13451" priority="14811">
      <formula>$F57="Formation CCF"</formula>
    </cfRule>
    <cfRule type="expression" dxfId="13450" priority="14812">
      <formula>$F57="Direction"</formula>
    </cfRule>
    <cfRule type="expression" dxfId="13449" priority="14813">
      <formula>$F57="Ventes Sicli"</formula>
    </cfRule>
    <cfRule type="expression" dxfId="13448" priority="14814">
      <formula>$F57="Ventes Chubb"</formula>
    </cfRule>
    <cfRule type="expression" dxfId="13447" priority="14815">
      <formula>$F57="SAV Sicli"</formula>
    </cfRule>
    <cfRule type="expression" dxfId="13446" priority="14816">
      <formula>$F57="SAV Chubb"</formula>
    </cfRule>
    <cfRule type="expression" dxfId="13445" priority="14817">
      <formula>$F57="Réalisation"</formula>
    </cfRule>
    <cfRule type="expression" dxfId="13444" priority="14818">
      <formula>$F57="Désenfumage"</formula>
    </cfRule>
    <cfRule type="expression" dxfId="13443" priority="14819">
      <formula>$F57="Administratif"</formula>
    </cfRule>
  </conditionalFormatting>
  <conditionalFormatting sqref="C57:D57">
    <cfRule type="expression" dxfId="13442" priority="14810">
      <formula>$H57="non"</formula>
    </cfRule>
  </conditionalFormatting>
  <conditionalFormatting sqref="C56:D56">
    <cfRule type="expression" dxfId="13441" priority="14801">
      <formula>$F56="Formation CCF"</formula>
    </cfRule>
    <cfRule type="expression" dxfId="13440" priority="14802">
      <formula>$F56="Direction"</formula>
    </cfRule>
    <cfRule type="expression" dxfId="13439" priority="14803">
      <formula>$F56="Ventes Sicli"</formula>
    </cfRule>
    <cfRule type="expression" dxfId="13438" priority="14804">
      <formula>$F56="Ventes Chubb"</formula>
    </cfRule>
    <cfRule type="expression" dxfId="13437" priority="14805">
      <formula>$F56="SAV Sicli"</formula>
    </cfRule>
    <cfRule type="expression" dxfId="13436" priority="14806">
      <formula>$F56="SAV Chubb"</formula>
    </cfRule>
    <cfRule type="expression" dxfId="13435" priority="14807">
      <formula>$F56="Réalisation"</formula>
    </cfRule>
    <cfRule type="expression" dxfId="13434" priority="14808">
      <formula>$F56="Désenfumage"</formula>
    </cfRule>
    <cfRule type="expression" dxfId="13433" priority="14809">
      <formula>$F56="Administratif"</formula>
    </cfRule>
  </conditionalFormatting>
  <conditionalFormatting sqref="C56:D56">
    <cfRule type="expression" dxfId="13432" priority="14800">
      <formula>$H56="non"</formula>
    </cfRule>
  </conditionalFormatting>
  <conditionalFormatting sqref="C55:D55">
    <cfRule type="expression" dxfId="13431" priority="14791">
      <formula>$F55="Formation CCF"</formula>
    </cfRule>
    <cfRule type="expression" dxfId="13430" priority="14792">
      <formula>$F55="Direction"</formula>
    </cfRule>
    <cfRule type="expression" dxfId="13429" priority="14793">
      <formula>$F55="Ventes Sicli"</formula>
    </cfRule>
    <cfRule type="expression" dxfId="13428" priority="14794">
      <formula>$F55="Ventes Chubb"</formula>
    </cfRule>
    <cfRule type="expression" dxfId="13427" priority="14795">
      <formula>$F55="SAV Sicli"</formula>
    </cfRule>
    <cfRule type="expression" dxfId="13426" priority="14796">
      <formula>$F55="SAV Chubb"</formula>
    </cfRule>
    <cfRule type="expression" dxfId="13425" priority="14797">
      <formula>$F55="Réalisation"</formula>
    </cfRule>
    <cfRule type="expression" dxfId="13424" priority="14798">
      <formula>$F55="Désenfumage"</formula>
    </cfRule>
    <cfRule type="expression" dxfId="13423" priority="14799">
      <formula>$F55="Administratif"</formula>
    </cfRule>
  </conditionalFormatting>
  <conditionalFormatting sqref="C55:D55">
    <cfRule type="expression" dxfId="13422" priority="14790">
      <formula>$H55="non"</formula>
    </cfRule>
  </conditionalFormatting>
  <conditionalFormatting sqref="C54:D54">
    <cfRule type="expression" dxfId="13421" priority="14781">
      <formula>$F54="Formation CCF"</formula>
    </cfRule>
    <cfRule type="expression" dxfId="13420" priority="14782">
      <formula>$F54="Direction"</formula>
    </cfRule>
    <cfRule type="expression" dxfId="13419" priority="14783">
      <formula>$F54="Ventes Sicli"</formula>
    </cfRule>
    <cfRule type="expression" dxfId="13418" priority="14784">
      <formula>$F54="Ventes Chubb"</formula>
    </cfRule>
    <cfRule type="expression" dxfId="13417" priority="14785">
      <formula>$F54="SAV Sicli"</formula>
    </cfRule>
    <cfRule type="expression" dxfId="13416" priority="14786">
      <formula>$F54="SAV Chubb"</formula>
    </cfRule>
    <cfRule type="expression" dxfId="13415" priority="14787">
      <formula>$F54="Réalisation"</formula>
    </cfRule>
    <cfRule type="expression" dxfId="13414" priority="14788">
      <formula>$F54="Désenfumage"</formula>
    </cfRule>
    <cfRule type="expression" dxfId="13413" priority="14789">
      <formula>$F54="Administratif"</formula>
    </cfRule>
  </conditionalFormatting>
  <conditionalFormatting sqref="C54:D54">
    <cfRule type="expression" dxfId="13412" priority="14780">
      <formula>$H54="non"</formula>
    </cfRule>
  </conditionalFormatting>
  <conditionalFormatting sqref="C53:D53">
    <cfRule type="expression" dxfId="13411" priority="14771">
      <formula>$F53="Formation CCF"</formula>
    </cfRule>
    <cfRule type="expression" dxfId="13410" priority="14772">
      <formula>$F53="Direction"</formula>
    </cfRule>
    <cfRule type="expression" dxfId="13409" priority="14773">
      <formula>$F53="Ventes Sicli"</formula>
    </cfRule>
    <cfRule type="expression" dxfId="13408" priority="14774">
      <formula>$F53="Ventes Chubb"</formula>
    </cfRule>
    <cfRule type="expression" dxfId="13407" priority="14775">
      <formula>$F53="SAV Sicli"</formula>
    </cfRule>
    <cfRule type="expression" dxfId="13406" priority="14776">
      <formula>$F53="SAV Chubb"</formula>
    </cfRule>
    <cfRule type="expression" dxfId="13405" priority="14777">
      <formula>$F53="Réalisation"</formula>
    </cfRule>
    <cfRule type="expression" dxfId="13404" priority="14778">
      <formula>$F53="Désenfumage"</formula>
    </cfRule>
    <cfRule type="expression" dxfId="13403" priority="14779">
      <formula>$F53="Administratif"</formula>
    </cfRule>
  </conditionalFormatting>
  <conditionalFormatting sqref="C53:D53">
    <cfRule type="expression" dxfId="13402" priority="14770">
      <formula>$H53="non"</formula>
    </cfRule>
  </conditionalFormatting>
  <conditionalFormatting sqref="D51">
    <cfRule type="expression" dxfId="13401" priority="14761">
      <formula>$F51="Formation CCF"</formula>
    </cfRule>
    <cfRule type="expression" dxfId="13400" priority="14762">
      <formula>$F51="Direction"</formula>
    </cfRule>
    <cfRule type="expression" dxfId="13399" priority="14763">
      <formula>$F51="Ventes Sicli"</formula>
    </cfRule>
    <cfRule type="expression" dxfId="13398" priority="14764">
      <formula>$F51="Ventes Chubb"</formula>
    </cfRule>
    <cfRule type="expression" dxfId="13397" priority="14765">
      <formula>$F51="SAV Sicli"</formula>
    </cfRule>
    <cfRule type="expression" dxfId="13396" priority="14766">
      <formula>$F51="SAV Chubb"</formula>
    </cfRule>
    <cfRule type="expression" dxfId="13395" priority="14767">
      <formula>$F51="Réalisation"</formula>
    </cfRule>
    <cfRule type="expression" dxfId="13394" priority="14768">
      <formula>$F51="Désenfumage"</formula>
    </cfRule>
    <cfRule type="expression" dxfId="13393" priority="14769">
      <formula>$F51="Administratif"</formula>
    </cfRule>
  </conditionalFormatting>
  <conditionalFormatting sqref="D51">
    <cfRule type="expression" dxfId="13392" priority="14760">
      <formula>$H51="non"</formula>
    </cfRule>
  </conditionalFormatting>
  <conditionalFormatting sqref="C57:D57">
    <cfRule type="expression" dxfId="13391" priority="14751">
      <formula>$F57="Formation CCF"</formula>
    </cfRule>
    <cfRule type="expression" dxfId="13390" priority="14752">
      <formula>$F57="Direction"</formula>
    </cfRule>
    <cfRule type="expression" dxfId="13389" priority="14753">
      <formula>$F57="Ventes Sicli"</formula>
    </cfRule>
    <cfRule type="expression" dxfId="13388" priority="14754">
      <formula>$F57="Ventes Chubb"</formula>
    </cfRule>
    <cfRule type="expression" dxfId="13387" priority="14755">
      <formula>$F57="SAV Sicli"</formula>
    </cfRule>
    <cfRule type="expression" dxfId="13386" priority="14756">
      <formula>$F57="SAV Chubb"</formula>
    </cfRule>
    <cfRule type="expression" dxfId="13385" priority="14757">
      <formula>$F57="Réalisation"</formula>
    </cfRule>
    <cfRule type="expression" dxfId="13384" priority="14758">
      <formula>$F57="Désenfumage"</formula>
    </cfRule>
    <cfRule type="expression" dxfId="13383" priority="14759">
      <formula>$F57="Administratif"</formula>
    </cfRule>
  </conditionalFormatting>
  <conditionalFormatting sqref="C57:D57">
    <cfRule type="expression" dxfId="13382" priority="14750">
      <formula>$H57="non"</formula>
    </cfRule>
  </conditionalFormatting>
  <conditionalFormatting sqref="C56:D56">
    <cfRule type="expression" dxfId="13381" priority="14741">
      <formula>$F56="Formation CCF"</formula>
    </cfRule>
    <cfRule type="expression" dxfId="13380" priority="14742">
      <formula>$F56="Direction"</formula>
    </cfRule>
    <cfRule type="expression" dxfId="13379" priority="14743">
      <formula>$F56="Ventes Sicli"</formula>
    </cfRule>
    <cfRule type="expression" dxfId="13378" priority="14744">
      <formula>$F56="Ventes Chubb"</formula>
    </cfRule>
    <cfRule type="expression" dxfId="13377" priority="14745">
      <formula>$F56="SAV Sicli"</formula>
    </cfRule>
    <cfRule type="expression" dxfId="13376" priority="14746">
      <formula>$F56="SAV Chubb"</formula>
    </cfRule>
    <cfRule type="expression" dxfId="13375" priority="14747">
      <formula>$F56="Réalisation"</formula>
    </cfRule>
    <cfRule type="expression" dxfId="13374" priority="14748">
      <formula>$F56="Désenfumage"</formula>
    </cfRule>
    <cfRule type="expression" dxfId="13373" priority="14749">
      <formula>$F56="Administratif"</formula>
    </cfRule>
  </conditionalFormatting>
  <conditionalFormatting sqref="C56:D56">
    <cfRule type="expression" dxfId="13372" priority="14740">
      <formula>$H56="non"</formula>
    </cfRule>
  </conditionalFormatting>
  <conditionalFormatting sqref="C55:D55">
    <cfRule type="expression" dxfId="13371" priority="14731">
      <formula>$F55="Formation CCF"</formula>
    </cfRule>
    <cfRule type="expression" dxfId="13370" priority="14732">
      <formula>$F55="Direction"</formula>
    </cfRule>
    <cfRule type="expression" dxfId="13369" priority="14733">
      <formula>$F55="Ventes Sicli"</formula>
    </cfRule>
    <cfRule type="expression" dxfId="13368" priority="14734">
      <formula>$F55="Ventes Chubb"</formula>
    </cfRule>
    <cfRule type="expression" dxfId="13367" priority="14735">
      <formula>$F55="SAV Sicli"</formula>
    </cfRule>
    <cfRule type="expression" dxfId="13366" priority="14736">
      <formula>$F55="SAV Chubb"</formula>
    </cfRule>
    <cfRule type="expression" dxfId="13365" priority="14737">
      <formula>$F55="Réalisation"</formula>
    </cfRule>
    <cfRule type="expression" dxfId="13364" priority="14738">
      <formula>$F55="Désenfumage"</formula>
    </cfRule>
    <cfRule type="expression" dxfId="13363" priority="14739">
      <formula>$F55="Administratif"</formula>
    </cfRule>
  </conditionalFormatting>
  <conditionalFormatting sqref="C55:D55">
    <cfRule type="expression" dxfId="13362" priority="14730">
      <formula>$H55="non"</formula>
    </cfRule>
  </conditionalFormatting>
  <conditionalFormatting sqref="C54:D54">
    <cfRule type="expression" dxfId="13361" priority="14721">
      <formula>$F54="Formation CCF"</formula>
    </cfRule>
    <cfRule type="expression" dxfId="13360" priority="14722">
      <formula>$F54="Direction"</formula>
    </cfRule>
    <cfRule type="expression" dxfId="13359" priority="14723">
      <formula>$F54="Ventes Sicli"</formula>
    </cfRule>
    <cfRule type="expression" dxfId="13358" priority="14724">
      <formula>$F54="Ventes Chubb"</formula>
    </cfRule>
    <cfRule type="expression" dxfId="13357" priority="14725">
      <formula>$F54="SAV Sicli"</formula>
    </cfRule>
    <cfRule type="expression" dxfId="13356" priority="14726">
      <formula>$F54="SAV Chubb"</formula>
    </cfRule>
    <cfRule type="expression" dxfId="13355" priority="14727">
      <formula>$F54="Réalisation"</formula>
    </cfRule>
    <cfRule type="expression" dxfId="13354" priority="14728">
      <formula>$F54="Désenfumage"</formula>
    </cfRule>
    <cfRule type="expression" dxfId="13353" priority="14729">
      <formula>$F54="Administratif"</formula>
    </cfRule>
  </conditionalFormatting>
  <conditionalFormatting sqref="C54:D54">
    <cfRule type="expression" dxfId="13352" priority="14720">
      <formula>$H54="non"</formula>
    </cfRule>
  </conditionalFormatting>
  <conditionalFormatting sqref="C53:D53">
    <cfRule type="expression" dxfId="13351" priority="14711">
      <formula>$F53="Formation CCF"</formula>
    </cfRule>
    <cfRule type="expression" dxfId="13350" priority="14712">
      <formula>$F53="Direction"</formula>
    </cfRule>
    <cfRule type="expression" dxfId="13349" priority="14713">
      <formula>$F53="Ventes Sicli"</formula>
    </cfRule>
    <cfRule type="expression" dxfId="13348" priority="14714">
      <formula>$F53="Ventes Chubb"</formula>
    </cfRule>
    <cfRule type="expression" dxfId="13347" priority="14715">
      <formula>$F53="SAV Sicli"</formula>
    </cfRule>
    <cfRule type="expression" dxfId="13346" priority="14716">
      <formula>$F53="SAV Chubb"</formula>
    </cfRule>
    <cfRule type="expression" dxfId="13345" priority="14717">
      <formula>$F53="Réalisation"</formula>
    </cfRule>
    <cfRule type="expression" dxfId="13344" priority="14718">
      <formula>$F53="Désenfumage"</formula>
    </cfRule>
    <cfRule type="expression" dxfId="13343" priority="14719">
      <formula>$F53="Administratif"</formula>
    </cfRule>
  </conditionalFormatting>
  <conditionalFormatting sqref="C53:D53">
    <cfRule type="expression" dxfId="13342" priority="14710">
      <formula>$H53="non"</formula>
    </cfRule>
  </conditionalFormatting>
  <conditionalFormatting sqref="D51">
    <cfRule type="expression" dxfId="13341" priority="14701">
      <formula>$F51="Formation CCF"</formula>
    </cfRule>
    <cfRule type="expression" dxfId="13340" priority="14702">
      <formula>$F51="Direction"</formula>
    </cfRule>
    <cfRule type="expression" dxfId="13339" priority="14703">
      <formula>$F51="Ventes Sicli"</formula>
    </cfRule>
    <cfRule type="expression" dxfId="13338" priority="14704">
      <formula>$F51="Ventes Chubb"</formula>
    </cfRule>
    <cfRule type="expression" dxfId="13337" priority="14705">
      <formula>$F51="SAV Sicli"</formula>
    </cfRule>
    <cfRule type="expression" dxfId="13336" priority="14706">
      <formula>$F51="SAV Chubb"</formula>
    </cfRule>
    <cfRule type="expression" dxfId="13335" priority="14707">
      <formula>$F51="Réalisation"</formula>
    </cfRule>
    <cfRule type="expression" dxfId="13334" priority="14708">
      <formula>$F51="Désenfumage"</formula>
    </cfRule>
    <cfRule type="expression" dxfId="13333" priority="14709">
      <formula>$F51="Administratif"</formula>
    </cfRule>
  </conditionalFormatting>
  <conditionalFormatting sqref="D51">
    <cfRule type="expression" dxfId="13332" priority="14700">
      <formula>$H51="non"</formula>
    </cfRule>
  </conditionalFormatting>
  <conditionalFormatting sqref="C56:D56">
    <cfRule type="expression" dxfId="13331" priority="14691">
      <formula>$F56="Formation CCF"</formula>
    </cfRule>
    <cfRule type="expression" dxfId="13330" priority="14692">
      <formula>$F56="Direction"</formula>
    </cfRule>
    <cfRule type="expression" dxfId="13329" priority="14693">
      <formula>$F56="Ventes Sicli"</formula>
    </cfRule>
    <cfRule type="expression" dxfId="13328" priority="14694">
      <formula>$F56="Ventes Chubb"</formula>
    </cfRule>
    <cfRule type="expression" dxfId="13327" priority="14695">
      <formula>$F56="SAV Sicli"</formula>
    </cfRule>
    <cfRule type="expression" dxfId="13326" priority="14696">
      <formula>$F56="SAV Chubb"</formula>
    </cfRule>
    <cfRule type="expression" dxfId="13325" priority="14697">
      <formula>$F56="Réalisation"</formula>
    </cfRule>
    <cfRule type="expression" dxfId="13324" priority="14698">
      <formula>$F56="Désenfumage"</formula>
    </cfRule>
    <cfRule type="expression" dxfId="13323" priority="14699">
      <formula>$F56="Administratif"</formula>
    </cfRule>
  </conditionalFormatting>
  <conditionalFormatting sqref="C56:D56">
    <cfRule type="expression" dxfId="13322" priority="14690">
      <formula>$H56="non"</formula>
    </cfRule>
  </conditionalFormatting>
  <conditionalFormatting sqref="C55:D55">
    <cfRule type="expression" dxfId="13321" priority="14681">
      <formula>$F55="Formation CCF"</formula>
    </cfRule>
    <cfRule type="expression" dxfId="13320" priority="14682">
      <formula>$F55="Direction"</formula>
    </cfRule>
    <cfRule type="expression" dxfId="13319" priority="14683">
      <formula>$F55="Ventes Sicli"</formula>
    </cfRule>
    <cfRule type="expression" dxfId="13318" priority="14684">
      <formula>$F55="Ventes Chubb"</formula>
    </cfRule>
    <cfRule type="expression" dxfId="13317" priority="14685">
      <formula>$F55="SAV Sicli"</formula>
    </cfRule>
    <cfRule type="expression" dxfId="13316" priority="14686">
      <formula>$F55="SAV Chubb"</formula>
    </cfRule>
    <cfRule type="expression" dxfId="13315" priority="14687">
      <formula>$F55="Réalisation"</formula>
    </cfRule>
    <cfRule type="expression" dxfId="13314" priority="14688">
      <formula>$F55="Désenfumage"</formula>
    </cfRule>
    <cfRule type="expression" dxfId="13313" priority="14689">
      <formula>$F55="Administratif"</formula>
    </cfRule>
  </conditionalFormatting>
  <conditionalFormatting sqref="C55:D55">
    <cfRule type="expression" dxfId="13312" priority="14680">
      <formula>$H55="non"</formula>
    </cfRule>
  </conditionalFormatting>
  <conditionalFormatting sqref="C54:D54">
    <cfRule type="expression" dxfId="13311" priority="14671">
      <formula>$F54="Formation CCF"</formula>
    </cfRule>
    <cfRule type="expression" dxfId="13310" priority="14672">
      <formula>$F54="Direction"</formula>
    </cfRule>
    <cfRule type="expression" dxfId="13309" priority="14673">
      <formula>$F54="Ventes Sicli"</formula>
    </cfRule>
    <cfRule type="expression" dxfId="13308" priority="14674">
      <formula>$F54="Ventes Chubb"</formula>
    </cfRule>
    <cfRule type="expression" dxfId="13307" priority="14675">
      <formula>$F54="SAV Sicli"</formula>
    </cfRule>
    <cfRule type="expression" dxfId="13306" priority="14676">
      <formula>$F54="SAV Chubb"</formula>
    </cfRule>
    <cfRule type="expression" dxfId="13305" priority="14677">
      <formula>$F54="Réalisation"</formula>
    </cfRule>
    <cfRule type="expression" dxfId="13304" priority="14678">
      <formula>$F54="Désenfumage"</formula>
    </cfRule>
    <cfRule type="expression" dxfId="13303" priority="14679">
      <formula>$F54="Administratif"</formula>
    </cfRule>
  </conditionalFormatting>
  <conditionalFormatting sqref="C54:D54">
    <cfRule type="expression" dxfId="13302" priority="14670">
      <formula>$H54="non"</formula>
    </cfRule>
  </conditionalFormatting>
  <conditionalFormatting sqref="C53:D53">
    <cfRule type="expression" dxfId="13301" priority="14661">
      <formula>$F53="Formation CCF"</formula>
    </cfRule>
    <cfRule type="expression" dxfId="13300" priority="14662">
      <formula>$F53="Direction"</formula>
    </cfRule>
    <cfRule type="expression" dxfId="13299" priority="14663">
      <formula>$F53="Ventes Sicli"</formula>
    </cfRule>
    <cfRule type="expression" dxfId="13298" priority="14664">
      <formula>$F53="Ventes Chubb"</formula>
    </cfRule>
    <cfRule type="expression" dxfId="13297" priority="14665">
      <formula>$F53="SAV Sicli"</formula>
    </cfRule>
    <cfRule type="expression" dxfId="13296" priority="14666">
      <formula>$F53="SAV Chubb"</formula>
    </cfRule>
    <cfRule type="expression" dxfId="13295" priority="14667">
      <formula>$F53="Réalisation"</formula>
    </cfRule>
    <cfRule type="expression" dxfId="13294" priority="14668">
      <formula>$F53="Désenfumage"</formula>
    </cfRule>
    <cfRule type="expression" dxfId="13293" priority="14669">
      <formula>$F53="Administratif"</formula>
    </cfRule>
  </conditionalFormatting>
  <conditionalFormatting sqref="C53:D53">
    <cfRule type="expression" dxfId="13292" priority="14660">
      <formula>$H53="non"</formula>
    </cfRule>
  </conditionalFormatting>
  <conditionalFormatting sqref="C52:D52">
    <cfRule type="expression" dxfId="13291" priority="14651">
      <formula>$F52="Formation CCF"</formula>
    </cfRule>
    <cfRule type="expression" dxfId="13290" priority="14652">
      <formula>$F52="Direction"</formula>
    </cfRule>
    <cfRule type="expression" dxfId="13289" priority="14653">
      <formula>$F52="Ventes Sicli"</formula>
    </cfRule>
    <cfRule type="expression" dxfId="13288" priority="14654">
      <formula>$F52="Ventes Chubb"</formula>
    </cfRule>
    <cfRule type="expression" dxfId="13287" priority="14655">
      <formula>$F52="SAV Sicli"</formula>
    </cfRule>
    <cfRule type="expression" dxfId="13286" priority="14656">
      <formula>$F52="SAV Chubb"</formula>
    </cfRule>
    <cfRule type="expression" dxfId="13285" priority="14657">
      <formula>$F52="Réalisation"</formula>
    </cfRule>
    <cfRule type="expression" dxfId="13284" priority="14658">
      <formula>$F52="Désenfumage"</formula>
    </cfRule>
    <cfRule type="expression" dxfId="13283" priority="14659">
      <formula>$F52="Administratif"</formula>
    </cfRule>
  </conditionalFormatting>
  <conditionalFormatting sqref="C52:D52">
    <cfRule type="expression" dxfId="13282" priority="14650">
      <formula>$H52="non"</formula>
    </cfRule>
  </conditionalFormatting>
  <conditionalFormatting sqref="C44:D44">
    <cfRule type="expression" dxfId="13281" priority="14641">
      <formula>$F44="Formation CCF"</formula>
    </cfRule>
    <cfRule type="expression" dxfId="13280" priority="14642">
      <formula>$F44="Direction"</formula>
    </cfRule>
    <cfRule type="expression" dxfId="13279" priority="14643">
      <formula>$F44="Ventes Sicli"</formula>
    </cfRule>
    <cfRule type="expression" dxfId="13278" priority="14644">
      <formula>$F44="Ventes Chubb"</formula>
    </cfRule>
    <cfRule type="expression" dxfId="13277" priority="14645">
      <formula>$F44="SAV Sicli"</formula>
    </cfRule>
    <cfRule type="expression" dxfId="13276" priority="14646">
      <formula>$F44="SAV Chubb"</formula>
    </cfRule>
    <cfRule type="expression" dxfId="13275" priority="14647">
      <formula>$F44="Réalisation"</formula>
    </cfRule>
    <cfRule type="expression" dxfId="13274" priority="14648">
      <formula>$F44="Désenfumage"</formula>
    </cfRule>
    <cfRule type="expression" dxfId="13273" priority="14649">
      <formula>$F44="Administratif"</formula>
    </cfRule>
  </conditionalFormatting>
  <conditionalFormatting sqref="C44:D44">
    <cfRule type="expression" dxfId="13272" priority="14640">
      <formula>$H44="non"</formula>
    </cfRule>
  </conditionalFormatting>
  <conditionalFormatting sqref="C43:D43">
    <cfRule type="expression" dxfId="13271" priority="14621">
      <formula>$F43="Formation CCF"</formula>
    </cfRule>
    <cfRule type="expression" dxfId="13270" priority="14622">
      <formula>$F43="Direction"</formula>
    </cfRule>
    <cfRule type="expression" dxfId="13269" priority="14623">
      <formula>$F43="Ventes Sicli"</formula>
    </cfRule>
    <cfRule type="expression" dxfId="13268" priority="14624">
      <formula>$F43="Ventes Chubb"</formula>
    </cfRule>
    <cfRule type="expression" dxfId="13267" priority="14625">
      <formula>$F43="SAV Sicli"</formula>
    </cfRule>
    <cfRule type="expression" dxfId="13266" priority="14626">
      <formula>$F43="SAV Chubb"</formula>
    </cfRule>
    <cfRule type="expression" dxfId="13265" priority="14627">
      <formula>$F43="Réalisation"</formula>
    </cfRule>
    <cfRule type="expression" dxfId="13264" priority="14628">
      <formula>$F43="Désenfumage"</formula>
    </cfRule>
    <cfRule type="expression" dxfId="13263" priority="14629">
      <formula>$F43="Administratif"</formula>
    </cfRule>
  </conditionalFormatting>
  <conditionalFormatting sqref="C43:D43">
    <cfRule type="expression" dxfId="13262" priority="14620">
      <formula>$H43="non"</formula>
    </cfRule>
  </conditionalFormatting>
  <conditionalFormatting sqref="D48">
    <cfRule type="expression" dxfId="13261" priority="14271">
      <formula>$F48="Formation CCF"</formula>
    </cfRule>
    <cfRule type="expression" dxfId="13260" priority="14272">
      <formula>$F48="Direction"</formula>
    </cfRule>
    <cfRule type="expression" dxfId="13259" priority="14273">
      <formula>$F48="Ventes Sicli"</formula>
    </cfRule>
    <cfRule type="expression" dxfId="13258" priority="14274">
      <formula>$F48="Ventes Chubb"</formula>
    </cfRule>
    <cfRule type="expression" dxfId="13257" priority="14275">
      <formula>$F48="SAV Sicli"</formula>
    </cfRule>
    <cfRule type="expression" dxfId="13256" priority="14276">
      <formula>$F48="SAV Chubb"</formula>
    </cfRule>
    <cfRule type="expression" dxfId="13255" priority="14277">
      <formula>$F48="Réalisation"</formula>
    </cfRule>
    <cfRule type="expression" dxfId="13254" priority="14278">
      <formula>$F48="Désenfumage"</formula>
    </cfRule>
    <cfRule type="expression" dxfId="13253" priority="14279">
      <formula>$F48="Administratif"</formula>
    </cfRule>
  </conditionalFormatting>
  <conditionalFormatting sqref="D48">
    <cfRule type="expression" dxfId="13252" priority="14270">
      <formula>$H48="non"</formula>
    </cfRule>
  </conditionalFormatting>
  <conditionalFormatting sqref="D44">
    <cfRule type="expression" dxfId="13251" priority="13901">
      <formula>$F44="Formation CCF"</formula>
    </cfRule>
    <cfRule type="expression" dxfId="13250" priority="13902">
      <formula>$F44="Direction"</formula>
    </cfRule>
    <cfRule type="expression" dxfId="13249" priority="13903">
      <formula>$F44="Ventes Sicli"</formula>
    </cfRule>
    <cfRule type="expression" dxfId="13248" priority="13904">
      <formula>$F44="Ventes Chubb"</formula>
    </cfRule>
    <cfRule type="expression" dxfId="13247" priority="13905">
      <formula>$F44="SAV Sicli"</formula>
    </cfRule>
    <cfRule type="expression" dxfId="13246" priority="13906">
      <formula>$F44="SAV Chubb"</formula>
    </cfRule>
    <cfRule type="expression" dxfId="13245" priority="13907">
      <formula>$F44="Réalisation"</formula>
    </cfRule>
    <cfRule type="expression" dxfId="13244" priority="13908">
      <formula>$F44="Désenfumage"</formula>
    </cfRule>
    <cfRule type="expression" dxfId="13243" priority="13909">
      <formula>$F44="Administratif"</formula>
    </cfRule>
  </conditionalFormatting>
  <conditionalFormatting sqref="D44">
    <cfRule type="expression" dxfId="13242" priority="13900">
      <formula>$H44="non"</formula>
    </cfRule>
  </conditionalFormatting>
  <conditionalFormatting sqref="D50">
    <cfRule type="expression" dxfId="13241" priority="14571">
      <formula>$F50="Formation CCF"</formula>
    </cfRule>
    <cfRule type="expression" dxfId="13240" priority="14572">
      <formula>$F50="Direction"</formula>
    </cfRule>
    <cfRule type="expression" dxfId="13239" priority="14573">
      <formula>$F50="Ventes Sicli"</formula>
    </cfRule>
    <cfRule type="expression" dxfId="13238" priority="14574">
      <formula>$F50="Ventes Chubb"</formula>
    </cfRule>
    <cfRule type="expression" dxfId="13237" priority="14575">
      <formula>$F50="SAV Sicli"</formula>
    </cfRule>
    <cfRule type="expression" dxfId="13236" priority="14576">
      <formula>$F50="SAV Chubb"</formula>
    </cfRule>
    <cfRule type="expression" dxfId="13235" priority="14577">
      <formula>$F50="Réalisation"</formula>
    </cfRule>
    <cfRule type="expression" dxfId="13234" priority="14578">
      <formula>$F50="Désenfumage"</formula>
    </cfRule>
    <cfRule type="expression" dxfId="13233" priority="14579">
      <formula>$F50="Administratif"</formula>
    </cfRule>
  </conditionalFormatting>
  <conditionalFormatting sqref="D50">
    <cfRule type="expression" dxfId="13232" priority="14570">
      <formula>$H50="non"</formula>
    </cfRule>
  </conditionalFormatting>
  <conditionalFormatting sqref="D49">
    <cfRule type="expression" dxfId="13231" priority="14551">
      <formula>$F49="Formation CCF"</formula>
    </cfRule>
    <cfRule type="expression" dxfId="13230" priority="14552">
      <formula>$F49="Direction"</formula>
    </cfRule>
    <cfRule type="expression" dxfId="13229" priority="14553">
      <formula>$F49="Ventes Sicli"</formula>
    </cfRule>
    <cfRule type="expression" dxfId="13228" priority="14554">
      <formula>$F49="Ventes Chubb"</formula>
    </cfRule>
    <cfRule type="expression" dxfId="13227" priority="14555">
      <formula>$F49="SAV Sicli"</formula>
    </cfRule>
    <cfRule type="expression" dxfId="13226" priority="14556">
      <formula>$F49="SAV Chubb"</formula>
    </cfRule>
    <cfRule type="expression" dxfId="13225" priority="14557">
      <formula>$F49="Réalisation"</formula>
    </cfRule>
    <cfRule type="expression" dxfId="13224" priority="14558">
      <formula>$F49="Désenfumage"</formula>
    </cfRule>
    <cfRule type="expression" dxfId="13223" priority="14559">
      <formula>$F49="Administratif"</formula>
    </cfRule>
  </conditionalFormatting>
  <conditionalFormatting sqref="D49">
    <cfRule type="expression" dxfId="13222" priority="14550">
      <formula>$H49="non"</formula>
    </cfRule>
  </conditionalFormatting>
  <conditionalFormatting sqref="D48">
    <cfRule type="expression" dxfId="13221" priority="14541">
      <formula>$F48="Formation CCF"</formula>
    </cfRule>
    <cfRule type="expression" dxfId="13220" priority="14542">
      <formula>$F48="Direction"</formula>
    </cfRule>
    <cfRule type="expression" dxfId="13219" priority="14543">
      <formula>$F48="Ventes Sicli"</formula>
    </cfRule>
    <cfRule type="expression" dxfId="13218" priority="14544">
      <formula>$F48="Ventes Chubb"</formula>
    </cfRule>
    <cfRule type="expression" dxfId="13217" priority="14545">
      <formula>$F48="SAV Sicli"</formula>
    </cfRule>
    <cfRule type="expression" dxfId="13216" priority="14546">
      <formula>$F48="SAV Chubb"</formula>
    </cfRule>
    <cfRule type="expression" dxfId="13215" priority="14547">
      <formula>$F48="Réalisation"</formula>
    </cfRule>
    <cfRule type="expression" dxfId="13214" priority="14548">
      <formula>$F48="Désenfumage"</formula>
    </cfRule>
    <cfRule type="expression" dxfId="13213" priority="14549">
      <formula>$F48="Administratif"</formula>
    </cfRule>
  </conditionalFormatting>
  <conditionalFormatting sqref="D48">
    <cfRule type="expression" dxfId="13212" priority="14540">
      <formula>$H48="non"</formula>
    </cfRule>
  </conditionalFormatting>
  <conditionalFormatting sqref="D47">
    <cfRule type="expression" dxfId="13211" priority="14531">
      <formula>$F47="Formation CCF"</formula>
    </cfRule>
    <cfRule type="expression" dxfId="13210" priority="14532">
      <formula>$F47="Direction"</formula>
    </cfRule>
    <cfRule type="expression" dxfId="13209" priority="14533">
      <formula>$F47="Ventes Sicli"</formula>
    </cfRule>
    <cfRule type="expression" dxfId="13208" priority="14534">
      <formula>$F47="Ventes Chubb"</formula>
    </cfRule>
    <cfRule type="expression" dxfId="13207" priority="14535">
      <formula>$F47="SAV Sicli"</formula>
    </cfRule>
    <cfRule type="expression" dxfId="13206" priority="14536">
      <formula>$F47="SAV Chubb"</formula>
    </cfRule>
    <cfRule type="expression" dxfId="13205" priority="14537">
      <formula>$F47="Réalisation"</formula>
    </cfRule>
    <cfRule type="expression" dxfId="13204" priority="14538">
      <formula>$F47="Désenfumage"</formula>
    </cfRule>
    <cfRule type="expression" dxfId="13203" priority="14539">
      <formula>$F47="Administratif"</formula>
    </cfRule>
  </conditionalFormatting>
  <conditionalFormatting sqref="D47">
    <cfRule type="expression" dxfId="13202" priority="14530">
      <formula>$H47="non"</formula>
    </cfRule>
  </conditionalFormatting>
  <conditionalFormatting sqref="D44">
    <cfRule type="expression" dxfId="13201" priority="14521">
      <formula>$F44="Formation CCF"</formula>
    </cfRule>
    <cfRule type="expression" dxfId="13200" priority="14522">
      <formula>$F44="Direction"</formula>
    </cfRule>
    <cfRule type="expression" dxfId="13199" priority="14523">
      <formula>$F44="Ventes Sicli"</formula>
    </cfRule>
    <cfRule type="expression" dxfId="13198" priority="14524">
      <formula>$F44="Ventes Chubb"</formula>
    </cfRule>
    <cfRule type="expression" dxfId="13197" priority="14525">
      <formula>$F44="SAV Sicli"</formula>
    </cfRule>
    <cfRule type="expression" dxfId="13196" priority="14526">
      <formula>$F44="SAV Chubb"</formula>
    </cfRule>
    <cfRule type="expression" dxfId="13195" priority="14527">
      <formula>$F44="Réalisation"</formula>
    </cfRule>
    <cfRule type="expression" dxfId="13194" priority="14528">
      <formula>$F44="Désenfumage"</formula>
    </cfRule>
    <cfRule type="expression" dxfId="13193" priority="14529">
      <formula>$F44="Administratif"</formula>
    </cfRule>
  </conditionalFormatting>
  <conditionalFormatting sqref="D44">
    <cfRule type="expression" dxfId="13192" priority="14520">
      <formula>$H44="non"</formula>
    </cfRule>
  </conditionalFormatting>
  <conditionalFormatting sqref="D43">
    <cfRule type="expression" dxfId="13191" priority="14501">
      <formula>$F43="Formation CCF"</formula>
    </cfRule>
    <cfRule type="expression" dxfId="13190" priority="14502">
      <formula>$F43="Direction"</formula>
    </cfRule>
    <cfRule type="expression" dxfId="13189" priority="14503">
      <formula>$F43="Ventes Sicli"</formula>
    </cfRule>
    <cfRule type="expression" dxfId="13188" priority="14504">
      <formula>$F43="Ventes Chubb"</formula>
    </cfRule>
    <cfRule type="expression" dxfId="13187" priority="14505">
      <formula>$F43="SAV Sicli"</formula>
    </cfRule>
    <cfRule type="expression" dxfId="13186" priority="14506">
      <formula>$F43="SAV Chubb"</formula>
    </cfRule>
    <cfRule type="expression" dxfId="13185" priority="14507">
      <formula>$F43="Réalisation"</formula>
    </cfRule>
    <cfRule type="expression" dxfId="13184" priority="14508">
      <formula>$F43="Désenfumage"</formula>
    </cfRule>
    <cfRule type="expression" dxfId="13183" priority="14509">
      <formula>$F43="Administratif"</formula>
    </cfRule>
  </conditionalFormatting>
  <conditionalFormatting sqref="D43">
    <cfRule type="expression" dxfId="13182" priority="14500">
      <formula>$H43="non"</formula>
    </cfRule>
  </conditionalFormatting>
  <conditionalFormatting sqref="D50">
    <cfRule type="expression" dxfId="13181" priority="14471">
      <formula>$F50="Formation CCF"</formula>
    </cfRule>
    <cfRule type="expression" dxfId="13180" priority="14472">
      <formula>$F50="Direction"</formula>
    </cfRule>
    <cfRule type="expression" dxfId="13179" priority="14473">
      <formula>$F50="Ventes Sicli"</formula>
    </cfRule>
    <cfRule type="expression" dxfId="13178" priority="14474">
      <formula>$F50="Ventes Chubb"</formula>
    </cfRule>
    <cfRule type="expression" dxfId="13177" priority="14475">
      <formula>$F50="SAV Sicli"</formula>
    </cfRule>
    <cfRule type="expression" dxfId="13176" priority="14476">
      <formula>$F50="SAV Chubb"</formula>
    </cfRule>
    <cfRule type="expression" dxfId="13175" priority="14477">
      <formula>$F50="Réalisation"</formula>
    </cfRule>
    <cfRule type="expression" dxfId="13174" priority="14478">
      <formula>$F50="Désenfumage"</formula>
    </cfRule>
    <cfRule type="expression" dxfId="13173" priority="14479">
      <formula>$F50="Administratif"</formula>
    </cfRule>
  </conditionalFormatting>
  <conditionalFormatting sqref="D50">
    <cfRule type="expression" dxfId="13172" priority="14470">
      <formula>$H50="non"</formula>
    </cfRule>
  </conditionalFormatting>
  <conditionalFormatting sqref="D49">
    <cfRule type="expression" dxfId="13171" priority="14451">
      <formula>$F49="Formation CCF"</formula>
    </cfRule>
    <cfRule type="expression" dxfId="13170" priority="14452">
      <formula>$F49="Direction"</formula>
    </cfRule>
    <cfRule type="expression" dxfId="13169" priority="14453">
      <formula>$F49="Ventes Sicli"</formula>
    </cfRule>
    <cfRule type="expression" dxfId="13168" priority="14454">
      <formula>$F49="Ventes Chubb"</formula>
    </cfRule>
    <cfRule type="expression" dxfId="13167" priority="14455">
      <formula>$F49="SAV Sicli"</formula>
    </cfRule>
    <cfRule type="expression" dxfId="13166" priority="14456">
      <formula>$F49="SAV Chubb"</formula>
    </cfRule>
    <cfRule type="expression" dxfId="13165" priority="14457">
      <formula>$F49="Réalisation"</formula>
    </cfRule>
    <cfRule type="expression" dxfId="13164" priority="14458">
      <formula>$F49="Désenfumage"</formula>
    </cfRule>
    <cfRule type="expression" dxfId="13163" priority="14459">
      <formula>$F49="Administratif"</formula>
    </cfRule>
  </conditionalFormatting>
  <conditionalFormatting sqref="D49">
    <cfRule type="expression" dxfId="13162" priority="14450">
      <formula>$H49="non"</formula>
    </cfRule>
  </conditionalFormatting>
  <conditionalFormatting sqref="D48">
    <cfRule type="expression" dxfId="13161" priority="14441">
      <formula>$F48="Formation CCF"</formula>
    </cfRule>
    <cfRule type="expression" dxfId="13160" priority="14442">
      <formula>$F48="Direction"</formula>
    </cfRule>
    <cfRule type="expression" dxfId="13159" priority="14443">
      <formula>$F48="Ventes Sicli"</formula>
    </cfRule>
    <cfRule type="expression" dxfId="13158" priority="14444">
      <formula>$F48="Ventes Chubb"</formula>
    </cfRule>
    <cfRule type="expression" dxfId="13157" priority="14445">
      <formula>$F48="SAV Sicli"</formula>
    </cfRule>
    <cfRule type="expression" dxfId="13156" priority="14446">
      <formula>$F48="SAV Chubb"</formula>
    </cfRule>
    <cfRule type="expression" dxfId="13155" priority="14447">
      <formula>$F48="Réalisation"</formula>
    </cfRule>
    <cfRule type="expression" dxfId="13154" priority="14448">
      <formula>$F48="Désenfumage"</formula>
    </cfRule>
    <cfRule type="expression" dxfId="13153" priority="14449">
      <formula>$F48="Administratif"</formula>
    </cfRule>
  </conditionalFormatting>
  <conditionalFormatting sqref="D48">
    <cfRule type="expression" dxfId="13152" priority="14440">
      <formula>$H48="non"</formula>
    </cfRule>
  </conditionalFormatting>
  <conditionalFormatting sqref="D47">
    <cfRule type="expression" dxfId="13151" priority="14431">
      <formula>$F47="Formation CCF"</formula>
    </cfRule>
    <cfRule type="expression" dxfId="13150" priority="14432">
      <formula>$F47="Direction"</formula>
    </cfRule>
    <cfRule type="expression" dxfId="13149" priority="14433">
      <formula>$F47="Ventes Sicli"</formula>
    </cfRule>
    <cfRule type="expression" dxfId="13148" priority="14434">
      <formula>$F47="Ventes Chubb"</formula>
    </cfRule>
    <cfRule type="expression" dxfId="13147" priority="14435">
      <formula>$F47="SAV Sicli"</formula>
    </cfRule>
    <cfRule type="expression" dxfId="13146" priority="14436">
      <formula>$F47="SAV Chubb"</formula>
    </cfRule>
    <cfRule type="expression" dxfId="13145" priority="14437">
      <formula>$F47="Réalisation"</formula>
    </cfRule>
    <cfRule type="expression" dxfId="13144" priority="14438">
      <formula>$F47="Désenfumage"</formula>
    </cfRule>
    <cfRule type="expression" dxfId="13143" priority="14439">
      <formula>$F47="Administratif"</formula>
    </cfRule>
  </conditionalFormatting>
  <conditionalFormatting sqref="D47">
    <cfRule type="expression" dxfId="13142" priority="14430">
      <formula>$H47="non"</formula>
    </cfRule>
  </conditionalFormatting>
  <conditionalFormatting sqref="D44">
    <cfRule type="expression" dxfId="13141" priority="14421">
      <formula>$F44="Formation CCF"</formula>
    </cfRule>
    <cfRule type="expression" dxfId="13140" priority="14422">
      <formula>$F44="Direction"</formula>
    </cfRule>
    <cfRule type="expression" dxfId="13139" priority="14423">
      <formula>$F44="Ventes Sicli"</formula>
    </cfRule>
    <cfRule type="expression" dxfId="13138" priority="14424">
      <formula>$F44="Ventes Chubb"</formula>
    </cfRule>
    <cfRule type="expression" dxfId="13137" priority="14425">
      <formula>$F44="SAV Sicli"</formula>
    </cfRule>
    <cfRule type="expression" dxfId="13136" priority="14426">
      <formula>$F44="SAV Chubb"</formula>
    </cfRule>
    <cfRule type="expression" dxfId="13135" priority="14427">
      <formula>$F44="Réalisation"</formula>
    </cfRule>
    <cfRule type="expression" dxfId="13134" priority="14428">
      <formula>$F44="Désenfumage"</formula>
    </cfRule>
    <cfRule type="expression" dxfId="13133" priority="14429">
      <formula>$F44="Administratif"</formula>
    </cfRule>
  </conditionalFormatting>
  <conditionalFormatting sqref="D44">
    <cfRule type="expression" dxfId="13132" priority="14420">
      <formula>$H44="non"</formula>
    </cfRule>
  </conditionalFormatting>
  <conditionalFormatting sqref="D50">
    <cfRule type="expression" dxfId="13131" priority="14401">
      <formula>$F50="Formation CCF"</formula>
    </cfRule>
    <cfRule type="expression" dxfId="13130" priority="14402">
      <formula>$F50="Direction"</formula>
    </cfRule>
    <cfRule type="expression" dxfId="13129" priority="14403">
      <formula>$F50="Ventes Sicli"</formula>
    </cfRule>
    <cfRule type="expression" dxfId="13128" priority="14404">
      <formula>$F50="Ventes Chubb"</formula>
    </cfRule>
    <cfRule type="expression" dxfId="13127" priority="14405">
      <formula>$F50="SAV Sicli"</formula>
    </cfRule>
    <cfRule type="expression" dxfId="13126" priority="14406">
      <formula>$F50="SAV Chubb"</formula>
    </cfRule>
    <cfRule type="expression" dxfId="13125" priority="14407">
      <formula>$F50="Réalisation"</formula>
    </cfRule>
    <cfRule type="expression" dxfId="13124" priority="14408">
      <formula>$F50="Désenfumage"</formula>
    </cfRule>
    <cfRule type="expression" dxfId="13123" priority="14409">
      <formula>$F50="Administratif"</formula>
    </cfRule>
  </conditionalFormatting>
  <conditionalFormatting sqref="D50">
    <cfRule type="expression" dxfId="13122" priority="14400">
      <formula>$H50="non"</formula>
    </cfRule>
  </conditionalFormatting>
  <conditionalFormatting sqref="D49">
    <cfRule type="expression" dxfId="13121" priority="14381">
      <formula>$F49="Formation CCF"</formula>
    </cfRule>
    <cfRule type="expression" dxfId="13120" priority="14382">
      <formula>$F49="Direction"</formula>
    </cfRule>
    <cfRule type="expression" dxfId="13119" priority="14383">
      <formula>$F49="Ventes Sicli"</formula>
    </cfRule>
    <cfRule type="expression" dxfId="13118" priority="14384">
      <formula>$F49="Ventes Chubb"</formula>
    </cfRule>
    <cfRule type="expression" dxfId="13117" priority="14385">
      <formula>$F49="SAV Sicli"</formula>
    </cfRule>
    <cfRule type="expression" dxfId="13116" priority="14386">
      <formula>$F49="SAV Chubb"</formula>
    </cfRule>
    <cfRule type="expression" dxfId="13115" priority="14387">
      <formula>$F49="Réalisation"</formula>
    </cfRule>
    <cfRule type="expression" dxfId="13114" priority="14388">
      <formula>$F49="Désenfumage"</formula>
    </cfRule>
    <cfRule type="expression" dxfId="13113" priority="14389">
      <formula>$F49="Administratif"</formula>
    </cfRule>
  </conditionalFormatting>
  <conditionalFormatting sqref="D49">
    <cfRule type="expression" dxfId="13112" priority="14380">
      <formula>$H49="non"</formula>
    </cfRule>
  </conditionalFormatting>
  <conditionalFormatting sqref="D48">
    <cfRule type="expression" dxfId="13111" priority="14371">
      <formula>$F48="Formation CCF"</formula>
    </cfRule>
    <cfRule type="expression" dxfId="13110" priority="14372">
      <formula>$F48="Direction"</formula>
    </cfRule>
    <cfRule type="expression" dxfId="13109" priority="14373">
      <formula>$F48="Ventes Sicli"</formula>
    </cfRule>
    <cfRule type="expression" dxfId="13108" priority="14374">
      <formula>$F48="Ventes Chubb"</formula>
    </cfRule>
    <cfRule type="expression" dxfId="13107" priority="14375">
      <formula>$F48="SAV Sicli"</formula>
    </cfRule>
    <cfRule type="expression" dxfId="13106" priority="14376">
      <formula>$F48="SAV Chubb"</formula>
    </cfRule>
    <cfRule type="expression" dxfId="13105" priority="14377">
      <formula>$F48="Réalisation"</formula>
    </cfRule>
    <cfRule type="expression" dxfId="13104" priority="14378">
      <formula>$F48="Désenfumage"</formula>
    </cfRule>
    <cfRule type="expression" dxfId="13103" priority="14379">
      <formula>$F48="Administratif"</formula>
    </cfRule>
  </conditionalFormatting>
  <conditionalFormatting sqref="D48">
    <cfRule type="expression" dxfId="13102" priority="14370">
      <formula>$H48="non"</formula>
    </cfRule>
  </conditionalFormatting>
  <conditionalFormatting sqref="D47">
    <cfRule type="expression" dxfId="13101" priority="14361">
      <formula>$F47="Formation CCF"</formula>
    </cfRule>
    <cfRule type="expression" dxfId="13100" priority="14362">
      <formula>$F47="Direction"</formula>
    </cfRule>
    <cfRule type="expression" dxfId="13099" priority="14363">
      <formula>$F47="Ventes Sicli"</formula>
    </cfRule>
    <cfRule type="expression" dxfId="13098" priority="14364">
      <formula>$F47="Ventes Chubb"</formula>
    </cfRule>
    <cfRule type="expression" dxfId="13097" priority="14365">
      <formula>$F47="SAV Sicli"</formula>
    </cfRule>
    <cfRule type="expression" dxfId="13096" priority="14366">
      <formula>$F47="SAV Chubb"</formula>
    </cfRule>
    <cfRule type="expression" dxfId="13095" priority="14367">
      <formula>$F47="Réalisation"</formula>
    </cfRule>
    <cfRule type="expression" dxfId="13094" priority="14368">
      <formula>$F47="Désenfumage"</formula>
    </cfRule>
    <cfRule type="expression" dxfId="13093" priority="14369">
      <formula>$F47="Administratif"</formula>
    </cfRule>
  </conditionalFormatting>
  <conditionalFormatting sqref="D47">
    <cfRule type="expression" dxfId="13092" priority="14360">
      <formula>$H47="non"</formula>
    </cfRule>
  </conditionalFormatting>
  <conditionalFormatting sqref="D44">
    <cfRule type="expression" dxfId="13091" priority="14351">
      <formula>$F44="Formation CCF"</formula>
    </cfRule>
    <cfRule type="expression" dxfId="13090" priority="14352">
      <formula>$F44="Direction"</formula>
    </cfRule>
    <cfRule type="expression" dxfId="13089" priority="14353">
      <formula>$F44="Ventes Sicli"</formula>
    </cfRule>
    <cfRule type="expression" dxfId="13088" priority="14354">
      <formula>$F44="Ventes Chubb"</formula>
    </cfRule>
    <cfRule type="expression" dxfId="13087" priority="14355">
      <formula>$F44="SAV Sicli"</formula>
    </cfRule>
    <cfRule type="expression" dxfId="13086" priority="14356">
      <formula>$F44="SAV Chubb"</formula>
    </cfRule>
    <cfRule type="expression" dxfId="13085" priority="14357">
      <formula>$F44="Réalisation"</formula>
    </cfRule>
    <cfRule type="expression" dxfId="13084" priority="14358">
      <formula>$F44="Désenfumage"</formula>
    </cfRule>
    <cfRule type="expression" dxfId="13083" priority="14359">
      <formula>$F44="Administratif"</formula>
    </cfRule>
  </conditionalFormatting>
  <conditionalFormatting sqref="D44">
    <cfRule type="expression" dxfId="13082" priority="14350">
      <formula>$H44="non"</formula>
    </cfRule>
  </conditionalFormatting>
  <conditionalFormatting sqref="D43">
    <cfRule type="expression" dxfId="13081" priority="14331">
      <formula>$F43="Formation CCF"</formula>
    </cfRule>
    <cfRule type="expression" dxfId="13080" priority="14332">
      <formula>$F43="Direction"</formula>
    </cfRule>
    <cfRule type="expression" dxfId="13079" priority="14333">
      <formula>$F43="Ventes Sicli"</formula>
    </cfRule>
    <cfRule type="expression" dxfId="13078" priority="14334">
      <formula>$F43="Ventes Chubb"</formula>
    </cfRule>
    <cfRule type="expression" dxfId="13077" priority="14335">
      <formula>$F43="SAV Sicli"</formula>
    </cfRule>
    <cfRule type="expression" dxfId="13076" priority="14336">
      <formula>$F43="SAV Chubb"</formula>
    </cfRule>
    <cfRule type="expression" dxfId="13075" priority="14337">
      <formula>$F43="Réalisation"</formula>
    </cfRule>
    <cfRule type="expression" dxfId="13074" priority="14338">
      <formula>$F43="Désenfumage"</formula>
    </cfRule>
    <cfRule type="expression" dxfId="13073" priority="14339">
      <formula>$F43="Administratif"</formula>
    </cfRule>
  </conditionalFormatting>
  <conditionalFormatting sqref="D43">
    <cfRule type="expression" dxfId="13072" priority="14330">
      <formula>$H43="non"</formula>
    </cfRule>
  </conditionalFormatting>
  <conditionalFormatting sqref="D50">
    <cfRule type="expression" dxfId="13071" priority="14301">
      <formula>$F50="Formation CCF"</formula>
    </cfRule>
    <cfRule type="expression" dxfId="13070" priority="14302">
      <formula>$F50="Direction"</formula>
    </cfRule>
    <cfRule type="expression" dxfId="13069" priority="14303">
      <formula>$F50="Ventes Sicli"</formula>
    </cfRule>
    <cfRule type="expression" dxfId="13068" priority="14304">
      <formula>$F50="Ventes Chubb"</formula>
    </cfRule>
    <cfRule type="expression" dxfId="13067" priority="14305">
      <formula>$F50="SAV Sicli"</formula>
    </cfRule>
    <cfRule type="expression" dxfId="13066" priority="14306">
      <formula>$F50="SAV Chubb"</formula>
    </cfRule>
    <cfRule type="expression" dxfId="13065" priority="14307">
      <formula>$F50="Réalisation"</formula>
    </cfRule>
    <cfRule type="expression" dxfId="13064" priority="14308">
      <formula>$F50="Désenfumage"</formula>
    </cfRule>
    <cfRule type="expression" dxfId="13063" priority="14309">
      <formula>$F50="Administratif"</formula>
    </cfRule>
  </conditionalFormatting>
  <conditionalFormatting sqref="D50">
    <cfRule type="expression" dxfId="13062" priority="14300">
      <formula>$H50="non"</formula>
    </cfRule>
  </conditionalFormatting>
  <conditionalFormatting sqref="D49">
    <cfRule type="expression" dxfId="13061" priority="14281">
      <formula>$F49="Formation CCF"</formula>
    </cfRule>
    <cfRule type="expression" dxfId="13060" priority="14282">
      <formula>$F49="Direction"</formula>
    </cfRule>
    <cfRule type="expression" dxfId="13059" priority="14283">
      <formula>$F49="Ventes Sicli"</formula>
    </cfRule>
    <cfRule type="expression" dxfId="13058" priority="14284">
      <formula>$F49="Ventes Chubb"</formula>
    </cfRule>
    <cfRule type="expression" dxfId="13057" priority="14285">
      <formula>$F49="SAV Sicli"</formula>
    </cfRule>
    <cfRule type="expression" dxfId="13056" priority="14286">
      <formula>$F49="SAV Chubb"</formula>
    </cfRule>
    <cfRule type="expression" dxfId="13055" priority="14287">
      <formula>$F49="Réalisation"</formula>
    </cfRule>
    <cfRule type="expression" dxfId="13054" priority="14288">
      <formula>$F49="Désenfumage"</formula>
    </cfRule>
    <cfRule type="expression" dxfId="13053" priority="14289">
      <formula>$F49="Administratif"</formula>
    </cfRule>
  </conditionalFormatting>
  <conditionalFormatting sqref="D49">
    <cfRule type="expression" dxfId="13052" priority="14280">
      <formula>$H49="non"</formula>
    </cfRule>
  </conditionalFormatting>
  <conditionalFormatting sqref="D47">
    <cfRule type="expression" dxfId="13051" priority="14261">
      <formula>$F47="Formation CCF"</formula>
    </cfRule>
    <cfRule type="expression" dxfId="13050" priority="14262">
      <formula>$F47="Direction"</formula>
    </cfRule>
    <cfRule type="expression" dxfId="13049" priority="14263">
      <formula>$F47="Ventes Sicli"</formula>
    </cfRule>
    <cfRule type="expression" dxfId="13048" priority="14264">
      <formula>$F47="Ventes Chubb"</formula>
    </cfRule>
    <cfRule type="expression" dxfId="13047" priority="14265">
      <formula>$F47="SAV Sicli"</formula>
    </cfRule>
    <cfRule type="expression" dxfId="13046" priority="14266">
      <formula>$F47="SAV Chubb"</formula>
    </cfRule>
    <cfRule type="expression" dxfId="13045" priority="14267">
      <formula>$F47="Réalisation"</formula>
    </cfRule>
    <cfRule type="expression" dxfId="13044" priority="14268">
      <formula>$F47="Désenfumage"</formula>
    </cfRule>
    <cfRule type="expression" dxfId="13043" priority="14269">
      <formula>$F47="Administratif"</formula>
    </cfRule>
  </conditionalFormatting>
  <conditionalFormatting sqref="D47">
    <cfRule type="expression" dxfId="13042" priority="14260">
      <formula>$H47="non"</formula>
    </cfRule>
  </conditionalFormatting>
  <conditionalFormatting sqref="D44">
    <cfRule type="expression" dxfId="13041" priority="14251">
      <formula>$F44="Formation CCF"</formula>
    </cfRule>
    <cfRule type="expression" dxfId="13040" priority="14252">
      <formula>$F44="Direction"</formula>
    </cfRule>
    <cfRule type="expression" dxfId="13039" priority="14253">
      <formula>$F44="Ventes Sicli"</formula>
    </cfRule>
    <cfRule type="expression" dxfId="13038" priority="14254">
      <formula>$F44="Ventes Chubb"</formula>
    </cfRule>
    <cfRule type="expression" dxfId="13037" priority="14255">
      <formula>$F44="SAV Sicli"</formula>
    </cfRule>
    <cfRule type="expression" dxfId="13036" priority="14256">
      <formula>$F44="SAV Chubb"</formula>
    </cfRule>
    <cfRule type="expression" dxfId="13035" priority="14257">
      <formula>$F44="Réalisation"</formula>
    </cfRule>
    <cfRule type="expression" dxfId="13034" priority="14258">
      <formula>$F44="Désenfumage"</formula>
    </cfRule>
    <cfRule type="expression" dxfId="13033" priority="14259">
      <formula>$F44="Administratif"</formula>
    </cfRule>
  </conditionalFormatting>
  <conditionalFormatting sqref="D44">
    <cfRule type="expression" dxfId="13032" priority="14250">
      <formula>$H44="non"</formula>
    </cfRule>
  </conditionalFormatting>
  <conditionalFormatting sqref="D43">
    <cfRule type="expression" dxfId="13031" priority="14231">
      <formula>$F43="Formation CCF"</formula>
    </cfRule>
    <cfRule type="expression" dxfId="13030" priority="14232">
      <formula>$F43="Direction"</formula>
    </cfRule>
    <cfRule type="expression" dxfId="13029" priority="14233">
      <formula>$F43="Ventes Sicli"</formula>
    </cfRule>
    <cfRule type="expression" dxfId="13028" priority="14234">
      <formula>$F43="Ventes Chubb"</formula>
    </cfRule>
    <cfRule type="expression" dxfId="13027" priority="14235">
      <formula>$F43="SAV Sicli"</formula>
    </cfRule>
    <cfRule type="expression" dxfId="13026" priority="14236">
      <formula>$F43="SAV Chubb"</formula>
    </cfRule>
    <cfRule type="expression" dxfId="13025" priority="14237">
      <formula>$F43="Réalisation"</formula>
    </cfRule>
    <cfRule type="expression" dxfId="13024" priority="14238">
      <formula>$F43="Désenfumage"</formula>
    </cfRule>
    <cfRule type="expression" dxfId="13023" priority="14239">
      <formula>$F43="Administratif"</formula>
    </cfRule>
  </conditionalFormatting>
  <conditionalFormatting sqref="D43">
    <cfRule type="expression" dxfId="13022" priority="14230">
      <formula>$H43="non"</formula>
    </cfRule>
  </conditionalFormatting>
  <conditionalFormatting sqref="D50">
    <cfRule type="expression" dxfId="13021" priority="14221">
      <formula>$F50="Formation CCF"</formula>
    </cfRule>
    <cfRule type="expression" dxfId="13020" priority="14222">
      <formula>$F50="Direction"</formula>
    </cfRule>
    <cfRule type="expression" dxfId="13019" priority="14223">
      <formula>$F50="Ventes Sicli"</formula>
    </cfRule>
    <cfRule type="expression" dxfId="13018" priority="14224">
      <formula>$F50="Ventes Chubb"</formula>
    </cfRule>
    <cfRule type="expression" dxfId="13017" priority="14225">
      <formula>$F50="SAV Sicli"</formula>
    </cfRule>
    <cfRule type="expression" dxfId="13016" priority="14226">
      <formula>$F50="SAV Chubb"</formula>
    </cfRule>
    <cfRule type="expression" dxfId="13015" priority="14227">
      <formula>$F50="Réalisation"</formula>
    </cfRule>
    <cfRule type="expression" dxfId="13014" priority="14228">
      <formula>$F50="Désenfumage"</formula>
    </cfRule>
    <cfRule type="expression" dxfId="13013" priority="14229">
      <formula>$F50="Administratif"</formula>
    </cfRule>
  </conditionalFormatting>
  <conditionalFormatting sqref="D50">
    <cfRule type="expression" dxfId="13012" priority="14220">
      <formula>$H50="non"</formula>
    </cfRule>
  </conditionalFormatting>
  <conditionalFormatting sqref="D49">
    <cfRule type="expression" dxfId="13011" priority="14201">
      <formula>$F49="Formation CCF"</formula>
    </cfRule>
    <cfRule type="expression" dxfId="13010" priority="14202">
      <formula>$F49="Direction"</formula>
    </cfRule>
    <cfRule type="expression" dxfId="13009" priority="14203">
      <formula>$F49="Ventes Sicli"</formula>
    </cfRule>
    <cfRule type="expression" dxfId="13008" priority="14204">
      <formula>$F49="Ventes Chubb"</formula>
    </cfRule>
    <cfRule type="expression" dxfId="13007" priority="14205">
      <formula>$F49="SAV Sicli"</formula>
    </cfRule>
    <cfRule type="expression" dxfId="13006" priority="14206">
      <formula>$F49="SAV Chubb"</formula>
    </cfRule>
    <cfRule type="expression" dxfId="13005" priority="14207">
      <formula>$F49="Réalisation"</formula>
    </cfRule>
    <cfRule type="expression" dxfId="13004" priority="14208">
      <formula>$F49="Désenfumage"</formula>
    </cfRule>
    <cfRule type="expression" dxfId="13003" priority="14209">
      <formula>$F49="Administratif"</formula>
    </cfRule>
  </conditionalFormatting>
  <conditionalFormatting sqref="D49">
    <cfRule type="expression" dxfId="13002" priority="14200">
      <formula>$H49="non"</formula>
    </cfRule>
  </conditionalFormatting>
  <conditionalFormatting sqref="D48">
    <cfRule type="expression" dxfId="13001" priority="14191">
      <formula>$F48="Formation CCF"</formula>
    </cfRule>
    <cfRule type="expression" dxfId="13000" priority="14192">
      <formula>$F48="Direction"</formula>
    </cfRule>
    <cfRule type="expression" dxfId="12999" priority="14193">
      <formula>$F48="Ventes Sicli"</formula>
    </cfRule>
    <cfRule type="expression" dxfId="12998" priority="14194">
      <formula>$F48="Ventes Chubb"</formula>
    </cfRule>
    <cfRule type="expression" dxfId="12997" priority="14195">
      <formula>$F48="SAV Sicli"</formula>
    </cfRule>
    <cfRule type="expression" dxfId="12996" priority="14196">
      <formula>$F48="SAV Chubb"</formula>
    </cfRule>
    <cfRule type="expression" dxfId="12995" priority="14197">
      <formula>$F48="Réalisation"</formula>
    </cfRule>
    <cfRule type="expression" dxfId="12994" priority="14198">
      <formula>$F48="Désenfumage"</formula>
    </cfRule>
    <cfRule type="expression" dxfId="12993" priority="14199">
      <formula>$F48="Administratif"</formula>
    </cfRule>
  </conditionalFormatting>
  <conditionalFormatting sqref="D48">
    <cfRule type="expression" dxfId="12992" priority="14190">
      <formula>$H48="non"</formula>
    </cfRule>
  </conditionalFormatting>
  <conditionalFormatting sqref="D47">
    <cfRule type="expression" dxfId="12991" priority="14181">
      <formula>$F47="Formation CCF"</formula>
    </cfRule>
    <cfRule type="expression" dxfId="12990" priority="14182">
      <formula>$F47="Direction"</formula>
    </cfRule>
    <cfRule type="expression" dxfId="12989" priority="14183">
      <formula>$F47="Ventes Sicli"</formula>
    </cfRule>
    <cfRule type="expression" dxfId="12988" priority="14184">
      <formula>$F47="Ventes Chubb"</formula>
    </cfRule>
    <cfRule type="expression" dxfId="12987" priority="14185">
      <formula>$F47="SAV Sicli"</formula>
    </cfRule>
    <cfRule type="expression" dxfId="12986" priority="14186">
      <formula>$F47="SAV Chubb"</formula>
    </cfRule>
    <cfRule type="expression" dxfId="12985" priority="14187">
      <formula>$F47="Réalisation"</formula>
    </cfRule>
    <cfRule type="expression" dxfId="12984" priority="14188">
      <formula>$F47="Désenfumage"</formula>
    </cfRule>
    <cfRule type="expression" dxfId="12983" priority="14189">
      <formula>$F47="Administratif"</formula>
    </cfRule>
  </conditionalFormatting>
  <conditionalFormatting sqref="D47">
    <cfRule type="expression" dxfId="12982" priority="14180">
      <formula>$H47="non"</formula>
    </cfRule>
  </conditionalFormatting>
  <conditionalFormatting sqref="D44">
    <cfRule type="expression" dxfId="12981" priority="14171">
      <formula>$F44="Formation CCF"</formula>
    </cfRule>
    <cfRule type="expression" dxfId="12980" priority="14172">
      <formula>$F44="Direction"</formula>
    </cfRule>
    <cfRule type="expression" dxfId="12979" priority="14173">
      <formula>$F44="Ventes Sicli"</formula>
    </cfRule>
    <cfRule type="expression" dxfId="12978" priority="14174">
      <formula>$F44="Ventes Chubb"</formula>
    </cfRule>
    <cfRule type="expression" dxfId="12977" priority="14175">
      <formula>$F44="SAV Sicli"</formula>
    </cfRule>
    <cfRule type="expression" dxfId="12976" priority="14176">
      <formula>$F44="SAV Chubb"</formula>
    </cfRule>
    <cfRule type="expression" dxfId="12975" priority="14177">
      <formula>$F44="Réalisation"</formula>
    </cfRule>
    <cfRule type="expression" dxfId="12974" priority="14178">
      <formula>$F44="Désenfumage"</formula>
    </cfRule>
    <cfRule type="expression" dxfId="12973" priority="14179">
      <formula>$F44="Administratif"</formula>
    </cfRule>
  </conditionalFormatting>
  <conditionalFormatting sqref="D44">
    <cfRule type="expression" dxfId="12972" priority="14170">
      <formula>$H44="non"</formula>
    </cfRule>
  </conditionalFormatting>
  <conditionalFormatting sqref="D43">
    <cfRule type="expression" dxfId="12971" priority="14151">
      <formula>$F43="Formation CCF"</formula>
    </cfRule>
    <cfRule type="expression" dxfId="12970" priority="14152">
      <formula>$F43="Direction"</formula>
    </cfRule>
    <cfRule type="expression" dxfId="12969" priority="14153">
      <formula>$F43="Ventes Sicli"</formula>
    </cfRule>
    <cfRule type="expression" dxfId="12968" priority="14154">
      <formula>$F43="Ventes Chubb"</formula>
    </cfRule>
    <cfRule type="expression" dxfId="12967" priority="14155">
      <formula>$F43="SAV Sicli"</formula>
    </cfRule>
    <cfRule type="expression" dxfId="12966" priority="14156">
      <formula>$F43="SAV Chubb"</formula>
    </cfRule>
    <cfRule type="expression" dxfId="12965" priority="14157">
      <formula>$F43="Réalisation"</formula>
    </cfRule>
    <cfRule type="expression" dxfId="12964" priority="14158">
      <formula>$F43="Désenfumage"</formula>
    </cfRule>
    <cfRule type="expression" dxfId="12963" priority="14159">
      <formula>$F43="Administratif"</formula>
    </cfRule>
  </conditionalFormatting>
  <conditionalFormatting sqref="D43">
    <cfRule type="expression" dxfId="12962" priority="14150">
      <formula>$H43="non"</formula>
    </cfRule>
  </conditionalFormatting>
  <conditionalFormatting sqref="D50">
    <cfRule type="expression" dxfId="12961" priority="14121">
      <formula>$F50="Formation CCF"</formula>
    </cfRule>
    <cfRule type="expression" dxfId="12960" priority="14122">
      <formula>$F50="Direction"</formula>
    </cfRule>
    <cfRule type="expression" dxfId="12959" priority="14123">
      <formula>$F50="Ventes Sicli"</formula>
    </cfRule>
    <cfRule type="expression" dxfId="12958" priority="14124">
      <formula>$F50="Ventes Chubb"</formula>
    </cfRule>
    <cfRule type="expression" dxfId="12957" priority="14125">
      <formula>$F50="SAV Sicli"</formula>
    </cfRule>
    <cfRule type="expression" dxfId="12956" priority="14126">
      <formula>$F50="SAV Chubb"</formula>
    </cfRule>
    <cfRule type="expression" dxfId="12955" priority="14127">
      <formula>$F50="Réalisation"</formula>
    </cfRule>
    <cfRule type="expression" dxfId="12954" priority="14128">
      <formula>$F50="Désenfumage"</formula>
    </cfRule>
    <cfRule type="expression" dxfId="12953" priority="14129">
      <formula>$F50="Administratif"</formula>
    </cfRule>
  </conditionalFormatting>
  <conditionalFormatting sqref="D50">
    <cfRule type="expression" dxfId="12952" priority="14120">
      <formula>$H50="non"</formula>
    </cfRule>
  </conditionalFormatting>
  <conditionalFormatting sqref="D49">
    <cfRule type="expression" dxfId="12951" priority="14101">
      <formula>$F49="Formation CCF"</formula>
    </cfRule>
    <cfRule type="expression" dxfId="12950" priority="14102">
      <formula>$F49="Direction"</formula>
    </cfRule>
    <cfRule type="expression" dxfId="12949" priority="14103">
      <formula>$F49="Ventes Sicli"</formula>
    </cfRule>
    <cfRule type="expression" dxfId="12948" priority="14104">
      <formula>$F49="Ventes Chubb"</formula>
    </cfRule>
    <cfRule type="expression" dxfId="12947" priority="14105">
      <formula>$F49="SAV Sicli"</formula>
    </cfRule>
    <cfRule type="expression" dxfId="12946" priority="14106">
      <formula>$F49="SAV Chubb"</formula>
    </cfRule>
    <cfRule type="expression" dxfId="12945" priority="14107">
      <formula>$F49="Réalisation"</formula>
    </cfRule>
    <cfRule type="expression" dxfId="12944" priority="14108">
      <formula>$F49="Désenfumage"</formula>
    </cfRule>
    <cfRule type="expression" dxfId="12943" priority="14109">
      <formula>$F49="Administratif"</formula>
    </cfRule>
  </conditionalFormatting>
  <conditionalFormatting sqref="D49">
    <cfRule type="expression" dxfId="12942" priority="14100">
      <formula>$H49="non"</formula>
    </cfRule>
  </conditionalFormatting>
  <conditionalFormatting sqref="D48">
    <cfRule type="expression" dxfId="12941" priority="14091">
      <formula>$F48="Formation CCF"</formula>
    </cfRule>
    <cfRule type="expression" dxfId="12940" priority="14092">
      <formula>$F48="Direction"</formula>
    </cfRule>
    <cfRule type="expression" dxfId="12939" priority="14093">
      <formula>$F48="Ventes Sicli"</formula>
    </cfRule>
    <cfRule type="expression" dxfId="12938" priority="14094">
      <formula>$F48="Ventes Chubb"</formula>
    </cfRule>
    <cfRule type="expression" dxfId="12937" priority="14095">
      <formula>$F48="SAV Sicli"</formula>
    </cfRule>
    <cfRule type="expression" dxfId="12936" priority="14096">
      <formula>$F48="SAV Chubb"</formula>
    </cfRule>
    <cfRule type="expression" dxfId="12935" priority="14097">
      <formula>$F48="Réalisation"</formula>
    </cfRule>
    <cfRule type="expression" dxfId="12934" priority="14098">
      <formula>$F48="Désenfumage"</formula>
    </cfRule>
    <cfRule type="expression" dxfId="12933" priority="14099">
      <formula>$F48="Administratif"</formula>
    </cfRule>
  </conditionalFormatting>
  <conditionalFormatting sqref="D48">
    <cfRule type="expression" dxfId="12932" priority="14090">
      <formula>$H48="non"</formula>
    </cfRule>
  </conditionalFormatting>
  <conditionalFormatting sqref="D47">
    <cfRule type="expression" dxfId="12931" priority="14081">
      <formula>$F47="Formation CCF"</formula>
    </cfRule>
    <cfRule type="expression" dxfId="12930" priority="14082">
      <formula>$F47="Direction"</formula>
    </cfRule>
    <cfRule type="expression" dxfId="12929" priority="14083">
      <formula>$F47="Ventes Sicli"</formula>
    </cfRule>
    <cfRule type="expression" dxfId="12928" priority="14084">
      <formula>$F47="Ventes Chubb"</formula>
    </cfRule>
    <cfRule type="expression" dxfId="12927" priority="14085">
      <formula>$F47="SAV Sicli"</formula>
    </cfRule>
    <cfRule type="expression" dxfId="12926" priority="14086">
      <formula>$F47="SAV Chubb"</formula>
    </cfRule>
    <cfRule type="expression" dxfId="12925" priority="14087">
      <formula>$F47="Réalisation"</formula>
    </cfRule>
    <cfRule type="expression" dxfId="12924" priority="14088">
      <formula>$F47="Désenfumage"</formula>
    </cfRule>
    <cfRule type="expression" dxfId="12923" priority="14089">
      <formula>$F47="Administratif"</formula>
    </cfRule>
  </conditionalFormatting>
  <conditionalFormatting sqref="D47">
    <cfRule type="expression" dxfId="12922" priority="14080">
      <formula>$H47="non"</formula>
    </cfRule>
  </conditionalFormatting>
  <conditionalFormatting sqref="D44">
    <cfRule type="expression" dxfId="12921" priority="14071">
      <formula>$F44="Formation CCF"</formula>
    </cfRule>
    <cfRule type="expression" dxfId="12920" priority="14072">
      <formula>$F44="Direction"</formula>
    </cfRule>
    <cfRule type="expression" dxfId="12919" priority="14073">
      <formula>$F44="Ventes Sicli"</formula>
    </cfRule>
    <cfRule type="expression" dxfId="12918" priority="14074">
      <formula>$F44="Ventes Chubb"</formula>
    </cfRule>
    <cfRule type="expression" dxfId="12917" priority="14075">
      <formula>$F44="SAV Sicli"</formula>
    </cfRule>
    <cfRule type="expression" dxfId="12916" priority="14076">
      <formula>$F44="SAV Chubb"</formula>
    </cfRule>
    <cfRule type="expression" dxfId="12915" priority="14077">
      <formula>$F44="Réalisation"</formula>
    </cfRule>
    <cfRule type="expression" dxfId="12914" priority="14078">
      <formula>$F44="Désenfumage"</formula>
    </cfRule>
    <cfRule type="expression" dxfId="12913" priority="14079">
      <formula>$F44="Administratif"</formula>
    </cfRule>
  </conditionalFormatting>
  <conditionalFormatting sqref="D44">
    <cfRule type="expression" dxfId="12912" priority="14070">
      <formula>$H44="non"</formula>
    </cfRule>
  </conditionalFormatting>
  <conditionalFormatting sqref="D43">
    <cfRule type="expression" dxfId="12911" priority="14051">
      <formula>$F43="Formation CCF"</formula>
    </cfRule>
    <cfRule type="expression" dxfId="12910" priority="14052">
      <formula>$F43="Direction"</formula>
    </cfRule>
    <cfRule type="expression" dxfId="12909" priority="14053">
      <formula>$F43="Ventes Sicli"</formula>
    </cfRule>
    <cfRule type="expression" dxfId="12908" priority="14054">
      <formula>$F43="Ventes Chubb"</formula>
    </cfRule>
    <cfRule type="expression" dxfId="12907" priority="14055">
      <formula>$F43="SAV Sicli"</formula>
    </cfRule>
    <cfRule type="expression" dxfId="12906" priority="14056">
      <formula>$F43="SAV Chubb"</formula>
    </cfRule>
    <cfRule type="expression" dxfId="12905" priority="14057">
      <formula>$F43="Réalisation"</formula>
    </cfRule>
    <cfRule type="expression" dxfId="12904" priority="14058">
      <formula>$F43="Désenfumage"</formula>
    </cfRule>
    <cfRule type="expression" dxfId="12903" priority="14059">
      <formula>$F43="Administratif"</formula>
    </cfRule>
  </conditionalFormatting>
  <conditionalFormatting sqref="D43">
    <cfRule type="expression" dxfId="12902" priority="14050">
      <formula>$H43="non"</formula>
    </cfRule>
  </conditionalFormatting>
  <conditionalFormatting sqref="D50">
    <cfRule type="expression" dxfId="12901" priority="14041">
      <formula>$F50="Formation CCF"</formula>
    </cfRule>
    <cfRule type="expression" dxfId="12900" priority="14042">
      <formula>$F50="Direction"</formula>
    </cfRule>
    <cfRule type="expression" dxfId="12899" priority="14043">
      <formula>$F50="Ventes Sicli"</formula>
    </cfRule>
    <cfRule type="expression" dxfId="12898" priority="14044">
      <formula>$F50="Ventes Chubb"</formula>
    </cfRule>
    <cfRule type="expression" dxfId="12897" priority="14045">
      <formula>$F50="SAV Sicli"</formula>
    </cfRule>
    <cfRule type="expression" dxfId="12896" priority="14046">
      <formula>$F50="SAV Chubb"</formula>
    </cfRule>
    <cfRule type="expression" dxfId="12895" priority="14047">
      <formula>$F50="Réalisation"</formula>
    </cfRule>
    <cfRule type="expression" dxfId="12894" priority="14048">
      <formula>$F50="Désenfumage"</formula>
    </cfRule>
    <cfRule type="expression" dxfId="12893" priority="14049">
      <formula>$F50="Administratif"</formula>
    </cfRule>
  </conditionalFormatting>
  <conditionalFormatting sqref="D50">
    <cfRule type="expression" dxfId="12892" priority="14040">
      <formula>$H50="non"</formula>
    </cfRule>
  </conditionalFormatting>
  <conditionalFormatting sqref="D49">
    <cfRule type="expression" dxfId="12891" priority="14021">
      <formula>$F49="Formation CCF"</formula>
    </cfRule>
    <cfRule type="expression" dxfId="12890" priority="14022">
      <formula>$F49="Direction"</formula>
    </cfRule>
    <cfRule type="expression" dxfId="12889" priority="14023">
      <formula>$F49="Ventes Sicli"</formula>
    </cfRule>
    <cfRule type="expression" dxfId="12888" priority="14024">
      <formula>$F49="Ventes Chubb"</formula>
    </cfRule>
    <cfRule type="expression" dxfId="12887" priority="14025">
      <formula>$F49="SAV Sicli"</formula>
    </cfRule>
    <cfRule type="expression" dxfId="12886" priority="14026">
      <formula>$F49="SAV Chubb"</formula>
    </cfRule>
    <cfRule type="expression" dxfId="12885" priority="14027">
      <formula>$F49="Réalisation"</formula>
    </cfRule>
    <cfRule type="expression" dxfId="12884" priority="14028">
      <formula>$F49="Désenfumage"</formula>
    </cfRule>
    <cfRule type="expression" dxfId="12883" priority="14029">
      <formula>$F49="Administratif"</formula>
    </cfRule>
  </conditionalFormatting>
  <conditionalFormatting sqref="D49">
    <cfRule type="expression" dxfId="12882" priority="14020">
      <formula>$H49="non"</formula>
    </cfRule>
  </conditionalFormatting>
  <conditionalFormatting sqref="D48">
    <cfRule type="expression" dxfId="12881" priority="14011">
      <formula>$F48="Formation CCF"</formula>
    </cfRule>
    <cfRule type="expression" dxfId="12880" priority="14012">
      <formula>$F48="Direction"</formula>
    </cfRule>
    <cfRule type="expression" dxfId="12879" priority="14013">
      <formula>$F48="Ventes Sicli"</formula>
    </cfRule>
    <cfRule type="expression" dxfId="12878" priority="14014">
      <formula>$F48="Ventes Chubb"</formula>
    </cfRule>
    <cfRule type="expression" dxfId="12877" priority="14015">
      <formula>$F48="SAV Sicli"</formula>
    </cfRule>
    <cfRule type="expression" dxfId="12876" priority="14016">
      <formula>$F48="SAV Chubb"</formula>
    </cfRule>
    <cfRule type="expression" dxfId="12875" priority="14017">
      <formula>$F48="Réalisation"</formula>
    </cfRule>
    <cfRule type="expression" dxfId="12874" priority="14018">
      <formula>$F48="Désenfumage"</formula>
    </cfRule>
    <cfRule type="expression" dxfId="12873" priority="14019">
      <formula>$F48="Administratif"</formula>
    </cfRule>
  </conditionalFormatting>
  <conditionalFormatting sqref="D48">
    <cfRule type="expression" dxfId="12872" priority="14010">
      <formula>$H48="non"</formula>
    </cfRule>
  </conditionalFormatting>
  <conditionalFormatting sqref="D47">
    <cfRule type="expression" dxfId="12871" priority="14001">
      <formula>$F47="Formation CCF"</formula>
    </cfRule>
    <cfRule type="expression" dxfId="12870" priority="14002">
      <formula>$F47="Direction"</formula>
    </cfRule>
    <cfRule type="expression" dxfId="12869" priority="14003">
      <formula>$F47="Ventes Sicli"</formula>
    </cfRule>
    <cfRule type="expression" dxfId="12868" priority="14004">
      <formula>$F47="Ventes Chubb"</formula>
    </cfRule>
    <cfRule type="expression" dxfId="12867" priority="14005">
      <formula>$F47="SAV Sicli"</formula>
    </cfRule>
    <cfRule type="expression" dxfId="12866" priority="14006">
      <formula>$F47="SAV Chubb"</formula>
    </cfRule>
    <cfRule type="expression" dxfId="12865" priority="14007">
      <formula>$F47="Réalisation"</formula>
    </cfRule>
    <cfRule type="expression" dxfId="12864" priority="14008">
      <formula>$F47="Désenfumage"</formula>
    </cfRule>
    <cfRule type="expression" dxfId="12863" priority="14009">
      <formula>$F47="Administratif"</formula>
    </cfRule>
  </conditionalFormatting>
  <conditionalFormatting sqref="D47">
    <cfRule type="expression" dxfId="12862" priority="14000">
      <formula>$H47="non"</formula>
    </cfRule>
  </conditionalFormatting>
  <conditionalFormatting sqref="D44">
    <cfRule type="expression" dxfId="12861" priority="13991">
      <formula>$F44="Formation CCF"</formula>
    </cfRule>
    <cfRule type="expression" dxfId="12860" priority="13992">
      <formula>$F44="Direction"</formula>
    </cfRule>
    <cfRule type="expression" dxfId="12859" priority="13993">
      <formula>$F44="Ventes Sicli"</formula>
    </cfRule>
    <cfRule type="expression" dxfId="12858" priority="13994">
      <formula>$F44="Ventes Chubb"</formula>
    </cfRule>
    <cfRule type="expression" dxfId="12857" priority="13995">
      <formula>$F44="SAV Sicli"</formula>
    </cfRule>
    <cfRule type="expression" dxfId="12856" priority="13996">
      <formula>$F44="SAV Chubb"</formula>
    </cfRule>
    <cfRule type="expression" dxfId="12855" priority="13997">
      <formula>$F44="Réalisation"</formula>
    </cfRule>
    <cfRule type="expression" dxfId="12854" priority="13998">
      <formula>$F44="Désenfumage"</formula>
    </cfRule>
    <cfRule type="expression" dxfId="12853" priority="13999">
      <formula>$F44="Administratif"</formula>
    </cfRule>
  </conditionalFormatting>
  <conditionalFormatting sqref="D44">
    <cfRule type="expression" dxfId="12852" priority="13990">
      <formula>$H44="non"</formula>
    </cfRule>
  </conditionalFormatting>
  <conditionalFormatting sqref="D43">
    <cfRule type="expression" dxfId="12851" priority="13971">
      <formula>$F43="Formation CCF"</formula>
    </cfRule>
    <cfRule type="expression" dxfId="12850" priority="13972">
      <formula>$F43="Direction"</formula>
    </cfRule>
    <cfRule type="expression" dxfId="12849" priority="13973">
      <formula>$F43="Ventes Sicli"</formula>
    </cfRule>
    <cfRule type="expression" dxfId="12848" priority="13974">
      <formula>$F43="Ventes Chubb"</formula>
    </cfRule>
    <cfRule type="expression" dxfId="12847" priority="13975">
      <formula>$F43="SAV Sicli"</formula>
    </cfRule>
    <cfRule type="expression" dxfId="12846" priority="13976">
      <formula>$F43="SAV Chubb"</formula>
    </cfRule>
    <cfRule type="expression" dxfId="12845" priority="13977">
      <formula>$F43="Réalisation"</formula>
    </cfRule>
    <cfRule type="expression" dxfId="12844" priority="13978">
      <formula>$F43="Désenfumage"</formula>
    </cfRule>
    <cfRule type="expression" dxfId="12843" priority="13979">
      <formula>$F43="Administratif"</formula>
    </cfRule>
  </conditionalFormatting>
  <conditionalFormatting sqref="D43">
    <cfRule type="expression" dxfId="12842" priority="13970">
      <formula>$H43="non"</formula>
    </cfRule>
  </conditionalFormatting>
  <conditionalFormatting sqref="D49">
    <cfRule type="expression" dxfId="12841" priority="13931">
      <formula>$F49="Formation CCF"</formula>
    </cfRule>
    <cfRule type="expression" dxfId="12840" priority="13932">
      <formula>$F49="Direction"</formula>
    </cfRule>
    <cfRule type="expression" dxfId="12839" priority="13933">
      <formula>$F49="Ventes Sicli"</formula>
    </cfRule>
    <cfRule type="expression" dxfId="12838" priority="13934">
      <formula>$F49="Ventes Chubb"</formula>
    </cfRule>
    <cfRule type="expression" dxfId="12837" priority="13935">
      <formula>$F49="SAV Sicli"</formula>
    </cfRule>
    <cfRule type="expression" dxfId="12836" priority="13936">
      <formula>$F49="SAV Chubb"</formula>
    </cfRule>
    <cfRule type="expression" dxfId="12835" priority="13937">
      <formula>$F49="Réalisation"</formula>
    </cfRule>
    <cfRule type="expression" dxfId="12834" priority="13938">
      <formula>$F49="Désenfumage"</formula>
    </cfRule>
    <cfRule type="expression" dxfId="12833" priority="13939">
      <formula>$F49="Administratif"</formula>
    </cfRule>
  </conditionalFormatting>
  <conditionalFormatting sqref="D49">
    <cfRule type="expression" dxfId="12832" priority="13930">
      <formula>$H49="non"</formula>
    </cfRule>
  </conditionalFormatting>
  <conditionalFormatting sqref="D48">
    <cfRule type="expression" dxfId="12831" priority="13921">
      <formula>$F48="Formation CCF"</formula>
    </cfRule>
    <cfRule type="expression" dxfId="12830" priority="13922">
      <formula>$F48="Direction"</formula>
    </cfRule>
    <cfRule type="expression" dxfId="12829" priority="13923">
      <formula>$F48="Ventes Sicli"</formula>
    </cfRule>
    <cfRule type="expression" dxfId="12828" priority="13924">
      <formula>$F48="Ventes Chubb"</formula>
    </cfRule>
    <cfRule type="expression" dxfId="12827" priority="13925">
      <formula>$F48="SAV Sicli"</formula>
    </cfRule>
    <cfRule type="expression" dxfId="12826" priority="13926">
      <formula>$F48="SAV Chubb"</formula>
    </cfRule>
    <cfRule type="expression" dxfId="12825" priority="13927">
      <formula>$F48="Réalisation"</formula>
    </cfRule>
    <cfRule type="expression" dxfId="12824" priority="13928">
      <formula>$F48="Désenfumage"</formula>
    </cfRule>
    <cfRule type="expression" dxfId="12823" priority="13929">
      <formula>$F48="Administratif"</formula>
    </cfRule>
  </conditionalFormatting>
  <conditionalFormatting sqref="D48">
    <cfRule type="expression" dxfId="12822" priority="13920">
      <formula>$H48="non"</formula>
    </cfRule>
  </conditionalFormatting>
  <conditionalFormatting sqref="D47">
    <cfRule type="expression" dxfId="12821" priority="13911">
      <formula>$F47="Formation CCF"</formula>
    </cfRule>
    <cfRule type="expression" dxfId="12820" priority="13912">
      <formula>$F47="Direction"</formula>
    </cfRule>
    <cfRule type="expression" dxfId="12819" priority="13913">
      <formula>$F47="Ventes Sicli"</formula>
    </cfRule>
    <cfRule type="expression" dxfId="12818" priority="13914">
      <formula>$F47="Ventes Chubb"</formula>
    </cfRule>
    <cfRule type="expression" dxfId="12817" priority="13915">
      <formula>$F47="SAV Sicli"</formula>
    </cfRule>
    <cfRule type="expression" dxfId="12816" priority="13916">
      <formula>$F47="SAV Chubb"</formula>
    </cfRule>
    <cfRule type="expression" dxfId="12815" priority="13917">
      <formula>$F47="Réalisation"</formula>
    </cfRule>
    <cfRule type="expression" dxfId="12814" priority="13918">
      <formula>$F47="Désenfumage"</formula>
    </cfRule>
    <cfRule type="expression" dxfId="12813" priority="13919">
      <formula>$F47="Administratif"</formula>
    </cfRule>
  </conditionalFormatting>
  <conditionalFormatting sqref="D47">
    <cfRule type="expression" dxfId="12812" priority="13910">
      <formula>$H47="non"</formula>
    </cfRule>
  </conditionalFormatting>
  <conditionalFormatting sqref="D43">
    <cfRule type="expression" dxfId="12811" priority="13881">
      <formula>$F43="Formation CCF"</formula>
    </cfRule>
    <cfRule type="expression" dxfId="12810" priority="13882">
      <formula>$F43="Direction"</formula>
    </cfRule>
    <cfRule type="expression" dxfId="12809" priority="13883">
      <formula>$F43="Ventes Sicli"</formula>
    </cfRule>
    <cfRule type="expression" dxfId="12808" priority="13884">
      <formula>$F43="Ventes Chubb"</formula>
    </cfRule>
    <cfRule type="expression" dxfId="12807" priority="13885">
      <formula>$F43="SAV Sicli"</formula>
    </cfRule>
    <cfRule type="expression" dxfId="12806" priority="13886">
      <formula>$F43="SAV Chubb"</formula>
    </cfRule>
    <cfRule type="expression" dxfId="12805" priority="13887">
      <formula>$F43="Réalisation"</formula>
    </cfRule>
    <cfRule type="expression" dxfId="12804" priority="13888">
      <formula>$F43="Désenfumage"</formula>
    </cfRule>
    <cfRule type="expression" dxfId="12803" priority="13889">
      <formula>$F43="Administratif"</formula>
    </cfRule>
  </conditionalFormatting>
  <conditionalFormatting sqref="D43">
    <cfRule type="expression" dxfId="12802" priority="13880">
      <formula>$H43="non"</formula>
    </cfRule>
  </conditionalFormatting>
  <conditionalFormatting sqref="C49:D49">
    <cfRule type="expression" dxfId="12801" priority="13861">
      <formula>$F49="Formation CCF"</formula>
    </cfRule>
    <cfRule type="expression" dxfId="12800" priority="13862">
      <formula>$F49="Direction"</formula>
    </cfRule>
    <cfRule type="expression" dxfId="12799" priority="13863">
      <formula>$F49="Ventes Sicli"</formula>
    </cfRule>
    <cfRule type="expression" dxfId="12798" priority="13864">
      <formula>$F49="Ventes Chubb"</formula>
    </cfRule>
    <cfRule type="expression" dxfId="12797" priority="13865">
      <formula>$F49="SAV Sicli"</formula>
    </cfRule>
    <cfRule type="expression" dxfId="12796" priority="13866">
      <formula>$F49="SAV Chubb"</formula>
    </cfRule>
    <cfRule type="expression" dxfId="12795" priority="13867">
      <formula>$F49="Réalisation"</formula>
    </cfRule>
    <cfRule type="expression" dxfId="12794" priority="13868">
      <formula>$F49="Désenfumage"</formula>
    </cfRule>
    <cfRule type="expression" dxfId="12793" priority="13869">
      <formula>$F49="Administratif"</formula>
    </cfRule>
  </conditionalFormatting>
  <conditionalFormatting sqref="C49:D49">
    <cfRule type="expression" dxfId="12792" priority="13860">
      <formula>$H49="non"</formula>
    </cfRule>
  </conditionalFormatting>
  <conditionalFormatting sqref="C48:D48">
    <cfRule type="expression" dxfId="12791" priority="13851">
      <formula>$F48="Formation CCF"</formula>
    </cfRule>
    <cfRule type="expression" dxfId="12790" priority="13852">
      <formula>$F48="Direction"</formula>
    </cfRule>
    <cfRule type="expression" dxfId="12789" priority="13853">
      <formula>$F48="Ventes Sicli"</formula>
    </cfRule>
    <cfRule type="expression" dxfId="12788" priority="13854">
      <formula>$F48="Ventes Chubb"</formula>
    </cfRule>
    <cfRule type="expression" dxfId="12787" priority="13855">
      <formula>$F48="SAV Sicli"</formula>
    </cfRule>
    <cfRule type="expression" dxfId="12786" priority="13856">
      <formula>$F48="SAV Chubb"</formula>
    </cfRule>
    <cfRule type="expression" dxfId="12785" priority="13857">
      <formula>$F48="Réalisation"</formula>
    </cfRule>
    <cfRule type="expression" dxfId="12784" priority="13858">
      <formula>$F48="Désenfumage"</formula>
    </cfRule>
    <cfRule type="expression" dxfId="12783" priority="13859">
      <formula>$F48="Administratif"</formula>
    </cfRule>
  </conditionalFormatting>
  <conditionalFormatting sqref="C48:D48">
    <cfRule type="expression" dxfId="12782" priority="13850">
      <formula>$H48="non"</formula>
    </cfRule>
  </conditionalFormatting>
  <conditionalFormatting sqref="C47:D47">
    <cfRule type="expression" dxfId="12781" priority="13841">
      <formula>$F47="Formation CCF"</formula>
    </cfRule>
    <cfRule type="expression" dxfId="12780" priority="13842">
      <formula>$F47="Direction"</formula>
    </cfRule>
    <cfRule type="expression" dxfId="12779" priority="13843">
      <formula>$F47="Ventes Sicli"</formula>
    </cfRule>
    <cfRule type="expression" dxfId="12778" priority="13844">
      <formula>$F47="Ventes Chubb"</formula>
    </cfRule>
    <cfRule type="expression" dxfId="12777" priority="13845">
      <formula>$F47="SAV Sicli"</formula>
    </cfRule>
    <cfRule type="expression" dxfId="12776" priority="13846">
      <formula>$F47="SAV Chubb"</formula>
    </cfRule>
    <cfRule type="expression" dxfId="12775" priority="13847">
      <formula>$F47="Réalisation"</formula>
    </cfRule>
    <cfRule type="expression" dxfId="12774" priority="13848">
      <formula>$F47="Désenfumage"</formula>
    </cfRule>
    <cfRule type="expression" dxfId="12773" priority="13849">
      <formula>$F47="Administratif"</formula>
    </cfRule>
  </conditionalFormatting>
  <conditionalFormatting sqref="C47:D47">
    <cfRule type="expression" dxfId="12772" priority="13840">
      <formula>$H47="non"</formula>
    </cfRule>
  </conditionalFormatting>
  <conditionalFormatting sqref="C44:D44">
    <cfRule type="expression" dxfId="12771" priority="13831">
      <formula>$F44="Formation CCF"</formula>
    </cfRule>
    <cfRule type="expression" dxfId="12770" priority="13832">
      <formula>$F44="Direction"</formula>
    </cfRule>
    <cfRule type="expression" dxfId="12769" priority="13833">
      <formula>$F44="Ventes Sicli"</formula>
    </cfRule>
    <cfRule type="expression" dxfId="12768" priority="13834">
      <formula>$F44="Ventes Chubb"</formula>
    </cfRule>
    <cfRule type="expression" dxfId="12767" priority="13835">
      <formula>$F44="SAV Sicli"</formula>
    </cfRule>
    <cfRule type="expression" dxfId="12766" priority="13836">
      <formula>$F44="SAV Chubb"</formula>
    </cfRule>
    <cfRule type="expression" dxfId="12765" priority="13837">
      <formula>$F44="Réalisation"</formula>
    </cfRule>
    <cfRule type="expression" dxfId="12764" priority="13838">
      <formula>$F44="Désenfumage"</formula>
    </cfRule>
    <cfRule type="expression" dxfId="12763" priority="13839">
      <formula>$F44="Administratif"</formula>
    </cfRule>
  </conditionalFormatting>
  <conditionalFormatting sqref="C44:D44">
    <cfRule type="expression" dxfId="12762" priority="13830">
      <formula>$H44="non"</formula>
    </cfRule>
  </conditionalFormatting>
  <conditionalFormatting sqref="C43:D43">
    <cfRule type="expression" dxfId="12761" priority="13811">
      <formula>$F43="Formation CCF"</formula>
    </cfRule>
    <cfRule type="expression" dxfId="12760" priority="13812">
      <formula>$F43="Direction"</formula>
    </cfRule>
    <cfRule type="expression" dxfId="12759" priority="13813">
      <formula>$F43="Ventes Sicli"</formula>
    </cfRule>
    <cfRule type="expression" dxfId="12758" priority="13814">
      <formula>$F43="Ventes Chubb"</formula>
    </cfRule>
    <cfRule type="expression" dxfId="12757" priority="13815">
      <formula>$F43="SAV Sicli"</formula>
    </cfRule>
    <cfRule type="expression" dxfId="12756" priority="13816">
      <formula>$F43="SAV Chubb"</formula>
    </cfRule>
    <cfRule type="expression" dxfId="12755" priority="13817">
      <formula>$F43="Réalisation"</formula>
    </cfRule>
    <cfRule type="expression" dxfId="12754" priority="13818">
      <formula>$F43="Désenfumage"</formula>
    </cfRule>
    <cfRule type="expression" dxfId="12753" priority="13819">
      <formula>$F43="Administratif"</formula>
    </cfRule>
  </conditionalFormatting>
  <conditionalFormatting sqref="C43:D43">
    <cfRule type="expression" dxfId="12752" priority="13810">
      <formula>$H43="non"</formula>
    </cfRule>
  </conditionalFormatting>
  <conditionalFormatting sqref="C43:D43">
    <cfRule type="expression" dxfId="12751" priority="13771">
      <formula>$F43="Formation CCF"</formula>
    </cfRule>
    <cfRule type="expression" dxfId="12750" priority="13772">
      <formula>$F43="Direction"</formula>
    </cfRule>
    <cfRule type="expression" dxfId="12749" priority="13773">
      <formula>$F43="Ventes Sicli"</formula>
    </cfRule>
    <cfRule type="expression" dxfId="12748" priority="13774">
      <formula>$F43="Ventes Chubb"</formula>
    </cfRule>
    <cfRule type="expression" dxfId="12747" priority="13775">
      <formula>$F43="SAV Sicli"</formula>
    </cfRule>
    <cfRule type="expression" dxfId="12746" priority="13776">
      <formula>$F43="SAV Chubb"</formula>
    </cfRule>
    <cfRule type="expression" dxfId="12745" priority="13777">
      <formula>$F43="Réalisation"</formula>
    </cfRule>
    <cfRule type="expression" dxfId="12744" priority="13778">
      <formula>$F43="Désenfumage"</formula>
    </cfRule>
    <cfRule type="expression" dxfId="12743" priority="13779">
      <formula>$F43="Administratif"</formula>
    </cfRule>
  </conditionalFormatting>
  <conditionalFormatting sqref="C43:D43">
    <cfRule type="expression" dxfId="12742" priority="13770">
      <formula>$H43="non"</formula>
    </cfRule>
  </conditionalFormatting>
  <conditionalFormatting sqref="C43:D43">
    <cfRule type="expression" dxfId="12741" priority="13731">
      <formula>$F43="Formation CCF"</formula>
    </cfRule>
    <cfRule type="expression" dxfId="12740" priority="13732">
      <formula>$F43="Direction"</formula>
    </cfRule>
    <cfRule type="expression" dxfId="12739" priority="13733">
      <formula>$F43="Ventes Sicli"</formula>
    </cfRule>
    <cfRule type="expression" dxfId="12738" priority="13734">
      <formula>$F43="Ventes Chubb"</formula>
    </cfRule>
    <cfRule type="expression" dxfId="12737" priority="13735">
      <formula>$F43="SAV Sicli"</formula>
    </cfRule>
    <cfRule type="expression" dxfId="12736" priority="13736">
      <formula>$F43="SAV Chubb"</formula>
    </cfRule>
    <cfRule type="expression" dxfId="12735" priority="13737">
      <formula>$F43="Réalisation"</formula>
    </cfRule>
    <cfRule type="expression" dxfId="12734" priority="13738">
      <formula>$F43="Désenfumage"</formula>
    </cfRule>
    <cfRule type="expression" dxfId="12733" priority="13739">
      <formula>$F43="Administratif"</formula>
    </cfRule>
  </conditionalFormatting>
  <conditionalFormatting sqref="C43:D43">
    <cfRule type="expression" dxfId="12732" priority="13730">
      <formula>$H43="non"</formula>
    </cfRule>
  </conditionalFormatting>
  <conditionalFormatting sqref="C43:D43">
    <cfRule type="expression" dxfId="12731" priority="13701">
      <formula>$F43="Formation CCF"</formula>
    </cfRule>
    <cfRule type="expression" dxfId="12730" priority="13702">
      <formula>$F43="Direction"</formula>
    </cfRule>
    <cfRule type="expression" dxfId="12729" priority="13703">
      <formula>$F43="Ventes Sicli"</formula>
    </cfRule>
    <cfRule type="expression" dxfId="12728" priority="13704">
      <formula>$F43="Ventes Chubb"</formula>
    </cfRule>
    <cfRule type="expression" dxfId="12727" priority="13705">
      <formula>$F43="SAV Sicli"</formula>
    </cfRule>
    <cfRule type="expression" dxfId="12726" priority="13706">
      <formula>$F43="SAV Chubb"</formula>
    </cfRule>
    <cfRule type="expression" dxfId="12725" priority="13707">
      <formula>$F43="Réalisation"</formula>
    </cfRule>
    <cfRule type="expression" dxfId="12724" priority="13708">
      <formula>$F43="Désenfumage"</formula>
    </cfRule>
    <cfRule type="expression" dxfId="12723" priority="13709">
      <formula>$F43="Administratif"</formula>
    </cfRule>
  </conditionalFormatting>
  <conditionalFormatting sqref="C43:D43">
    <cfRule type="expression" dxfId="12722" priority="13700">
      <formula>$H43="non"</formula>
    </cfRule>
  </conditionalFormatting>
  <conditionalFormatting sqref="C42:D42">
    <cfRule type="expression" dxfId="12721" priority="13671">
      <formula>$F42="Formation CCF"</formula>
    </cfRule>
    <cfRule type="expression" dxfId="12720" priority="13672">
      <formula>$F42="Direction"</formula>
    </cfRule>
    <cfRule type="expression" dxfId="12719" priority="13673">
      <formula>$F42="Ventes Sicli"</formula>
    </cfRule>
    <cfRule type="expression" dxfId="12718" priority="13674">
      <formula>$F42="Ventes Chubb"</formula>
    </cfRule>
    <cfRule type="expression" dxfId="12717" priority="13675">
      <formula>$F42="SAV Sicli"</formula>
    </cfRule>
    <cfRule type="expression" dxfId="12716" priority="13676">
      <formula>$F42="SAV Chubb"</formula>
    </cfRule>
    <cfRule type="expression" dxfId="12715" priority="13677">
      <formula>$F42="Réalisation"</formula>
    </cfRule>
    <cfRule type="expression" dxfId="12714" priority="13678">
      <formula>$F42="Désenfumage"</formula>
    </cfRule>
    <cfRule type="expression" dxfId="12713" priority="13679">
      <formula>$F42="Administratif"</formula>
    </cfRule>
  </conditionalFormatting>
  <conditionalFormatting sqref="C42:D42">
    <cfRule type="expression" dxfId="12712" priority="13670">
      <formula>$H42="non"</formula>
    </cfRule>
  </conditionalFormatting>
  <conditionalFormatting sqref="C41:D41">
    <cfRule type="expression" dxfId="12711" priority="13661">
      <formula>$F41="Formation CCF"</formula>
    </cfRule>
    <cfRule type="expression" dxfId="12710" priority="13662">
      <formula>$F41="Direction"</formula>
    </cfRule>
    <cfRule type="expression" dxfId="12709" priority="13663">
      <formula>$F41="Ventes Sicli"</formula>
    </cfRule>
    <cfRule type="expression" dxfId="12708" priority="13664">
      <formula>$F41="Ventes Chubb"</formula>
    </cfRule>
    <cfRule type="expression" dxfId="12707" priority="13665">
      <formula>$F41="SAV Sicli"</formula>
    </cfRule>
    <cfRule type="expression" dxfId="12706" priority="13666">
      <formula>$F41="SAV Chubb"</formula>
    </cfRule>
    <cfRule type="expression" dxfId="12705" priority="13667">
      <formula>$F41="Réalisation"</formula>
    </cfRule>
    <cfRule type="expression" dxfId="12704" priority="13668">
      <formula>$F41="Désenfumage"</formula>
    </cfRule>
    <cfRule type="expression" dxfId="12703" priority="13669">
      <formula>$F41="Administratif"</formula>
    </cfRule>
  </conditionalFormatting>
  <conditionalFormatting sqref="C41:D41">
    <cfRule type="expression" dxfId="12702" priority="13660">
      <formula>$H41="non"</formula>
    </cfRule>
  </conditionalFormatting>
  <conditionalFormatting sqref="C40:D40">
    <cfRule type="expression" dxfId="12701" priority="13651">
      <formula>$F40="Formation CCF"</formula>
    </cfRule>
    <cfRule type="expression" dxfId="12700" priority="13652">
      <formula>$F40="Direction"</formula>
    </cfRule>
    <cfRule type="expression" dxfId="12699" priority="13653">
      <formula>$F40="Ventes Sicli"</formula>
    </cfRule>
    <cfRule type="expression" dxfId="12698" priority="13654">
      <formula>$F40="Ventes Chubb"</formula>
    </cfRule>
    <cfRule type="expression" dxfId="12697" priority="13655">
      <formula>$F40="SAV Sicli"</formula>
    </cfRule>
    <cfRule type="expression" dxfId="12696" priority="13656">
      <formula>$F40="SAV Chubb"</formula>
    </cfRule>
    <cfRule type="expression" dxfId="12695" priority="13657">
      <formula>$F40="Réalisation"</formula>
    </cfRule>
    <cfRule type="expression" dxfId="12694" priority="13658">
      <formula>$F40="Désenfumage"</formula>
    </cfRule>
    <cfRule type="expression" dxfId="12693" priority="13659">
      <formula>$F40="Administratif"</formula>
    </cfRule>
  </conditionalFormatting>
  <conditionalFormatting sqref="C40:D40">
    <cfRule type="expression" dxfId="12692" priority="13650">
      <formula>$H40="non"</formula>
    </cfRule>
  </conditionalFormatting>
  <conditionalFormatting sqref="C42:D42">
    <cfRule type="expression" dxfId="12691" priority="13641">
      <formula>$F42="Formation CCF"</formula>
    </cfRule>
    <cfRule type="expression" dxfId="12690" priority="13642">
      <formula>$F42="Direction"</formula>
    </cfRule>
    <cfRule type="expression" dxfId="12689" priority="13643">
      <formula>$F42="Ventes Sicli"</formula>
    </cfRule>
    <cfRule type="expression" dxfId="12688" priority="13644">
      <formula>$F42="Ventes Chubb"</formula>
    </cfRule>
    <cfRule type="expression" dxfId="12687" priority="13645">
      <formula>$F42="SAV Sicli"</formula>
    </cfRule>
    <cfRule type="expression" dxfId="12686" priority="13646">
      <formula>$F42="SAV Chubb"</formula>
    </cfRule>
    <cfRule type="expression" dxfId="12685" priority="13647">
      <formula>$F42="Réalisation"</formula>
    </cfRule>
    <cfRule type="expression" dxfId="12684" priority="13648">
      <formula>$F42="Désenfumage"</formula>
    </cfRule>
    <cfRule type="expression" dxfId="12683" priority="13649">
      <formula>$F42="Administratif"</formula>
    </cfRule>
  </conditionalFormatting>
  <conditionalFormatting sqref="C42:D42">
    <cfRule type="expression" dxfId="12682" priority="13640">
      <formula>$H42="non"</formula>
    </cfRule>
  </conditionalFormatting>
  <conditionalFormatting sqref="C41:D41">
    <cfRule type="expression" dxfId="12681" priority="13631">
      <formula>$F41="Formation CCF"</formula>
    </cfRule>
    <cfRule type="expression" dxfId="12680" priority="13632">
      <formula>$F41="Direction"</formula>
    </cfRule>
    <cfRule type="expression" dxfId="12679" priority="13633">
      <formula>$F41="Ventes Sicli"</formula>
    </cfRule>
    <cfRule type="expression" dxfId="12678" priority="13634">
      <formula>$F41="Ventes Chubb"</formula>
    </cfRule>
    <cfRule type="expression" dxfId="12677" priority="13635">
      <formula>$F41="SAV Sicli"</formula>
    </cfRule>
    <cfRule type="expression" dxfId="12676" priority="13636">
      <formula>$F41="SAV Chubb"</formula>
    </cfRule>
    <cfRule type="expression" dxfId="12675" priority="13637">
      <formula>$F41="Réalisation"</formula>
    </cfRule>
    <cfRule type="expression" dxfId="12674" priority="13638">
      <formula>$F41="Désenfumage"</formula>
    </cfRule>
    <cfRule type="expression" dxfId="12673" priority="13639">
      <formula>$F41="Administratif"</formula>
    </cfRule>
  </conditionalFormatting>
  <conditionalFormatting sqref="C41:D41">
    <cfRule type="expression" dxfId="12672" priority="13630">
      <formula>$H41="non"</formula>
    </cfRule>
  </conditionalFormatting>
  <conditionalFormatting sqref="C40:D40">
    <cfRule type="expression" dxfId="12671" priority="13621">
      <formula>$F40="Formation CCF"</formula>
    </cfRule>
    <cfRule type="expression" dxfId="12670" priority="13622">
      <formula>$F40="Direction"</formula>
    </cfRule>
    <cfRule type="expression" dxfId="12669" priority="13623">
      <formula>$F40="Ventes Sicli"</formula>
    </cfRule>
    <cfRule type="expression" dxfId="12668" priority="13624">
      <formula>$F40="Ventes Chubb"</formula>
    </cfRule>
    <cfRule type="expression" dxfId="12667" priority="13625">
      <formula>$F40="SAV Sicli"</formula>
    </cfRule>
    <cfRule type="expression" dxfId="12666" priority="13626">
      <formula>$F40="SAV Chubb"</formula>
    </cfRule>
    <cfRule type="expression" dxfId="12665" priority="13627">
      <formula>$F40="Réalisation"</formula>
    </cfRule>
    <cfRule type="expression" dxfId="12664" priority="13628">
      <formula>$F40="Désenfumage"</formula>
    </cfRule>
    <cfRule type="expression" dxfId="12663" priority="13629">
      <formula>$F40="Administratif"</formula>
    </cfRule>
  </conditionalFormatting>
  <conditionalFormatting sqref="C40:D40">
    <cfRule type="expression" dxfId="12662" priority="13620">
      <formula>$H40="non"</formula>
    </cfRule>
  </conditionalFormatting>
  <conditionalFormatting sqref="C38:D38">
    <cfRule type="expression" dxfId="12661" priority="13611">
      <formula>$F38="Formation CCF"</formula>
    </cfRule>
    <cfRule type="expression" dxfId="12660" priority="13612">
      <formula>$F38="Direction"</formula>
    </cfRule>
    <cfRule type="expression" dxfId="12659" priority="13613">
      <formula>$F38="Ventes Sicli"</formula>
    </cfRule>
    <cfRule type="expression" dxfId="12658" priority="13614">
      <formula>$F38="Ventes Chubb"</formula>
    </cfRule>
    <cfRule type="expression" dxfId="12657" priority="13615">
      <formula>$F38="SAV Sicli"</formula>
    </cfRule>
    <cfRule type="expression" dxfId="12656" priority="13616">
      <formula>$F38="SAV Chubb"</formula>
    </cfRule>
    <cfRule type="expression" dxfId="12655" priority="13617">
      <formula>$F38="Réalisation"</formula>
    </cfRule>
    <cfRule type="expression" dxfId="12654" priority="13618">
      <formula>$F38="Désenfumage"</formula>
    </cfRule>
    <cfRule type="expression" dxfId="12653" priority="13619">
      <formula>$F38="Administratif"</formula>
    </cfRule>
  </conditionalFormatting>
  <conditionalFormatting sqref="C38:D38">
    <cfRule type="expression" dxfId="12652" priority="13610">
      <formula>$H38="non"</formula>
    </cfRule>
  </conditionalFormatting>
  <conditionalFormatting sqref="C42:D42">
    <cfRule type="expression" dxfId="12651" priority="13601">
      <formula>$F42="Formation CCF"</formula>
    </cfRule>
    <cfRule type="expression" dxfId="12650" priority="13602">
      <formula>$F42="Direction"</formula>
    </cfRule>
    <cfRule type="expression" dxfId="12649" priority="13603">
      <formula>$F42="Ventes Sicli"</formula>
    </cfRule>
    <cfRule type="expression" dxfId="12648" priority="13604">
      <formula>$F42="Ventes Chubb"</formula>
    </cfRule>
    <cfRule type="expression" dxfId="12647" priority="13605">
      <formula>$F42="SAV Sicli"</formula>
    </cfRule>
    <cfRule type="expression" dxfId="12646" priority="13606">
      <formula>$F42="SAV Chubb"</formula>
    </cfRule>
    <cfRule type="expression" dxfId="12645" priority="13607">
      <formula>$F42="Réalisation"</formula>
    </cfRule>
    <cfRule type="expression" dxfId="12644" priority="13608">
      <formula>$F42="Désenfumage"</formula>
    </cfRule>
    <cfRule type="expression" dxfId="12643" priority="13609">
      <formula>$F42="Administratif"</formula>
    </cfRule>
  </conditionalFormatting>
  <conditionalFormatting sqref="C42:D42">
    <cfRule type="expression" dxfId="12642" priority="13600">
      <formula>$H42="non"</formula>
    </cfRule>
  </conditionalFormatting>
  <conditionalFormatting sqref="C41:D41">
    <cfRule type="expression" dxfId="12641" priority="13591">
      <formula>$F41="Formation CCF"</formula>
    </cfRule>
    <cfRule type="expression" dxfId="12640" priority="13592">
      <formula>$F41="Direction"</formula>
    </cfRule>
    <cfRule type="expression" dxfId="12639" priority="13593">
      <formula>$F41="Ventes Sicli"</formula>
    </cfRule>
    <cfRule type="expression" dxfId="12638" priority="13594">
      <formula>$F41="Ventes Chubb"</formula>
    </cfRule>
    <cfRule type="expression" dxfId="12637" priority="13595">
      <formula>$F41="SAV Sicli"</formula>
    </cfRule>
    <cfRule type="expression" dxfId="12636" priority="13596">
      <formula>$F41="SAV Chubb"</formula>
    </cfRule>
    <cfRule type="expression" dxfId="12635" priority="13597">
      <formula>$F41="Réalisation"</formula>
    </cfRule>
    <cfRule type="expression" dxfId="12634" priority="13598">
      <formula>$F41="Désenfumage"</formula>
    </cfRule>
    <cfRule type="expression" dxfId="12633" priority="13599">
      <formula>$F41="Administratif"</formula>
    </cfRule>
  </conditionalFormatting>
  <conditionalFormatting sqref="C41:D41">
    <cfRule type="expression" dxfId="12632" priority="13590">
      <formula>$H41="non"</formula>
    </cfRule>
  </conditionalFormatting>
  <conditionalFormatting sqref="C40:D40">
    <cfRule type="expression" dxfId="12631" priority="13581">
      <formula>$F40="Formation CCF"</formula>
    </cfRule>
    <cfRule type="expression" dxfId="12630" priority="13582">
      <formula>$F40="Direction"</formula>
    </cfRule>
    <cfRule type="expression" dxfId="12629" priority="13583">
      <formula>$F40="Ventes Sicli"</formula>
    </cfRule>
    <cfRule type="expression" dxfId="12628" priority="13584">
      <formula>$F40="Ventes Chubb"</formula>
    </cfRule>
    <cfRule type="expression" dxfId="12627" priority="13585">
      <formula>$F40="SAV Sicli"</formula>
    </cfRule>
    <cfRule type="expression" dxfId="12626" priority="13586">
      <formula>$F40="SAV Chubb"</formula>
    </cfRule>
    <cfRule type="expression" dxfId="12625" priority="13587">
      <formula>$F40="Réalisation"</formula>
    </cfRule>
    <cfRule type="expression" dxfId="12624" priority="13588">
      <formula>$F40="Désenfumage"</formula>
    </cfRule>
    <cfRule type="expression" dxfId="12623" priority="13589">
      <formula>$F40="Administratif"</formula>
    </cfRule>
  </conditionalFormatting>
  <conditionalFormatting sqref="C40:D40">
    <cfRule type="expression" dxfId="12622" priority="13580">
      <formula>$H40="non"</formula>
    </cfRule>
  </conditionalFormatting>
  <conditionalFormatting sqref="C38:D38">
    <cfRule type="expression" dxfId="12621" priority="13571">
      <formula>$F38="Formation CCF"</formula>
    </cfRule>
    <cfRule type="expression" dxfId="12620" priority="13572">
      <formula>$F38="Direction"</formula>
    </cfRule>
    <cfRule type="expression" dxfId="12619" priority="13573">
      <formula>$F38="Ventes Sicli"</formula>
    </cfRule>
    <cfRule type="expression" dxfId="12618" priority="13574">
      <formula>$F38="Ventes Chubb"</formula>
    </cfRule>
    <cfRule type="expression" dxfId="12617" priority="13575">
      <formula>$F38="SAV Sicli"</formula>
    </cfRule>
    <cfRule type="expression" dxfId="12616" priority="13576">
      <formula>$F38="SAV Chubb"</formula>
    </cfRule>
    <cfRule type="expression" dxfId="12615" priority="13577">
      <formula>$F38="Réalisation"</formula>
    </cfRule>
    <cfRule type="expression" dxfId="12614" priority="13578">
      <formula>$F38="Désenfumage"</formula>
    </cfRule>
    <cfRule type="expression" dxfId="12613" priority="13579">
      <formula>$F38="Administratif"</formula>
    </cfRule>
  </conditionalFormatting>
  <conditionalFormatting sqref="C38:D38">
    <cfRule type="expression" dxfId="12612" priority="13570">
      <formula>$H38="non"</formula>
    </cfRule>
  </conditionalFormatting>
  <conditionalFormatting sqref="C42:D42">
    <cfRule type="expression" dxfId="12611" priority="13561">
      <formula>$F42="Formation CCF"</formula>
    </cfRule>
    <cfRule type="expression" dxfId="12610" priority="13562">
      <formula>$F42="Direction"</formula>
    </cfRule>
    <cfRule type="expression" dxfId="12609" priority="13563">
      <formula>$F42="Ventes Sicli"</formula>
    </cfRule>
    <cfRule type="expression" dxfId="12608" priority="13564">
      <formula>$F42="Ventes Chubb"</formula>
    </cfRule>
    <cfRule type="expression" dxfId="12607" priority="13565">
      <formula>$F42="SAV Sicli"</formula>
    </cfRule>
    <cfRule type="expression" dxfId="12606" priority="13566">
      <formula>$F42="SAV Chubb"</formula>
    </cfRule>
    <cfRule type="expression" dxfId="12605" priority="13567">
      <formula>$F42="Réalisation"</formula>
    </cfRule>
    <cfRule type="expression" dxfId="12604" priority="13568">
      <formula>$F42="Désenfumage"</formula>
    </cfRule>
    <cfRule type="expression" dxfId="12603" priority="13569">
      <formula>$F42="Administratif"</formula>
    </cfRule>
  </conditionalFormatting>
  <conditionalFormatting sqref="C42:D42">
    <cfRule type="expression" dxfId="12602" priority="13560">
      <formula>$H42="non"</formula>
    </cfRule>
  </conditionalFormatting>
  <conditionalFormatting sqref="C41:D41">
    <cfRule type="expression" dxfId="12601" priority="13551">
      <formula>$F41="Formation CCF"</formula>
    </cfRule>
    <cfRule type="expression" dxfId="12600" priority="13552">
      <formula>$F41="Direction"</formula>
    </cfRule>
    <cfRule type="expression" dxfId="12599" priority="13553">
      <formula>$F41="Ventes Sicli"</formula>
    </cfRule>
    <cfRule type="expression" dxfId="12598" priority="13554">
      <formula>$F41="Ventes Chubb"</formula>
    </cfRule>
    <cfRule type="expression" dxfId="12597" priority="13555">
      <formula>$F41="SAV Sicli"</formula>
    </cfRule>
    <cfRule type="expression" dxfId="12596" priority="13556">
      <formula>$F41="SAV Chubb"</formula>
    </cfRule>
    <cfRule type="expression" dxfId="12595" priority="13557">
      <formula>$F41="Réalisation"</formula>
    </cfRule>
    <cfRule type="expression" dxfId="12594" priority="13558">
      <formula>$F41="Désenfumage"</formula>
    </cfRule>
    <cfRule type="expression" dxfId="12593" priority="13559">
      <formula>$F41="Administratif"</formula>
    </cfRule>
  </conditionalFormatting>
  <conditionalFormatting sqref="C41:D41">
    <cfRule type="expression" dxfId="12592" priority="13550">
      <formula>$H41="non"</formula>
    </cfRule>
  </conditionalFormatting>
  <conditionalFormatting sqref="C40:D40">
    <cfRule type="expression" dxfId="12591" priority="13541">
      <formula>$F40="Formation CCF"</formula>
    </cfRule>
    <cfRule type="expression" dxfId="12590" priority="13542">
      <formula>$F40="Direction"</formula>
    </cfRule>
    <cfRule type="expression" dxfId="12589" priority="13543">
      <formula>$F40="Ventes Sicli"</formula>
    </cfRule>
    <cfRule type="expression" dxfId="12588" priority="13544">
      <formula>$F40="Ventes Chubb"</formula>
    </cfRule>
    <cfRule type="expression" dxfId="12587" priority="13545">
      <formula>$F40="SAV Sicli"</formula>
    </cfRule>
    <cfRule type="expression" dxfId="12586" priority="13546">
      <formula>$F40="SAV Chubb"</formula>
    </cfRule>
    <cfRule type="expression" dxfId="12585" priority="13547">
      <formula>$F40="Réalisation"</formula>
    </cfRule>
    <cfRule type="expression" dxfId="12584" priority="13548">
      <formula>$F40="Désenfumage"</formula>
    </cfRule>
    <cfRule type="expression" dxfId="12583" priority="13549">
      <formula>$F40="Administratif"</formula>
    </cfRule>
  </conditionalFormatting>
  <conditionalFormatting sqref="C40:D40">
    <cfRule type="expression" dxfId="12582" priority="13540">
      <formula>$H40="non"</formula>
    </cfRule>
  </conditionalFormatting>
  <conditionalFormatting sqref="C38:D38">
    <cfRule type="expression" dxfId="12581" priority="13531">
      <formula>$F38="Formation CCF"</formula>
    </cfRule>
    <cfRule type="expression" dxfId="12580" priority="13532">
      <formula>$F38="Direction"</formula>
    </cfRule>
    <cfRule type="expression" dxfId="12579" priority="13533">
      <formula>$F38="Ventes Sicli"</formula>
    </cfRule>
    <cfRule type="expression" dxfId="12578" priority="13534">
      <formula>$F38="Ventes Chubb"</formula>
    </cfRule>
    <cfRule type="expression" dxfId="12577" priority="13535">
      <formula>$F38="SAV Sicli"</formula>
    </cfRule>
    <cfRule type="expression" dxfId="12576" priority="13536">
      <formula>$F38="SAV Chubb"</formula>
    </cfRule>
    <cfRule type="expression" dxfId="12575" priority="13537">
      <formula>$F38="Réalisation"</formula>
    </cfRule>
    <cfRule type="expression" dxfId="12574" priority="13538">
      <formula>$F38="Désenfumage"</formula>
    </cfRule>
    <cfRule type="expression" dxfId="12573" priority="13539">
      <formula>$F38="Administratif"</formula>
    </cfRule>
  </conditionalFormatting>
  <conditionalFormatting sqref="C38:D38">
    <cfRule type="expression" dxfId="12572" priority="13530">
      <formula>$H38="non"</formula>
    </cfRule>
  </conditionalFormatting>
  <conditionalFormatting sqref="D42">
    <cfRule type="expression" dxfId="12571" priority="13521">
      <formula>$F42="Formation CCF"</formula>
    </cfRule>
    <cfRule type="expression" dxfId="12570" priority="13522">
      <formula>$F42="Direction"</formula>
    </cfRule>
    <cfRule type="expression" dxfId="12569" priority="13523">
      <formula>$F42="Ventes Sicli"</formula>
    </cfRule>
    <cfRule type="expression" dxfId="12568" priority="13524">
      <formula>$F42="Ventes Chubb"</formula>
    </cfRule>
    <cfRule type="expression" dxfId="12567" priority="13525">
      <formula>$F42="SAV Sicli"</formula>
    </cfRule>
    <cfRule type="expression" dxfId="12566" priority="13526">
      <formula>$F42="SAV Chubb"</formula>
    </cfRule>
    <cfRule type="expression" dxfId="12565" priority="13527">
      <formula>$F42="Réalisation"</formula>
    </cfRule>
    <cfRule type="expression" dxfId="12564" priority="13528">
      <formula>$F42="Désenfumage"</formula>
    </cfRule>
    <cfRule type="expression" dxfId="12563" priority="13529">
      <formula>$F42="Administratif"</formula>
    </cfRule>
  </conditionalFormatting>
  <conditionalFormatting sqref="D42">
    <cfRule type="expression" dxfId="12562" priority="13520">
      <formula>$H42="non"</formula>
    </cfRule>
  </conditionalFormatting>
  <conditionalFormatting sqref="D41">
    <cfRule type="expression" dxfId="12561" priority="13511">
      <formula>$F41="Formation CCF"</formula>
    </cfRule>
    <cfRule type="expression" dxfId="12560" priority="13512">
      <formula>$F41="Direction"</formula>
    </cfRule>
    <cfRule type="expression" dxfId="12559" priority="13513">
      <formula>$F41="Ventes Sicli"</formula>
    </cfRule>
    <cfRule type="expression" dxfId="12558" priority="13514">
      <formula>$F41="Ventes Chubb"</formula>
    </cfRule>
    <cfRule type="expression" dxfId="12557" priority="13515">
      <formula>$F41="SAV Sicli"</formula>
    </cfRule>
    <cfRule type="expression" dxfId="12556" priority="13516">
      <formula>$F41="SAV Chubb"</formula>
    </cfRule>
    <cfRule type="expression" dxfId="12555" priority="13517">
      <formula>$F41="Réalisation"</formula>
    </cfRule>
    <cfRule type="expression" dxfId="12554" priority="13518">
      <formula>$F41="Désenfumage"</formula>
    </cfRule>
    <cfRule type="expression" dxfId="12553" priority="13519">
      <formula>$F41="Administratif"</formula>
    </cfRule>
  </conditionalFormatting>
  <conditionalFormatting sqref="D41">
    <cfRule type="expression" dxfId="12552" priority="13510">
      <formula>$H41="non"</formula>
    </cfRule>
  </conditionalFormatting>
  <conditionalFormatting sqref="D40">
    <cfRule type="expression" dxfId="12551" priority="13501">
      <formula>$F40="Formation CCF"</formula>
    </cfRule>
    <cfRule type="expression" dxfId="12550" priority="13502">
      <formula>$F40="Direction"</formula>
    </cfRule>
    <cfRule type="expression" dxfId="12549" priority="13503">
      <formula>$F40="Ventes Sicli"</formula>
    </cfRule>
    <cfRule type="expression" dxfId="12548" priority="13504">
      <formula>$F40="Ventes Chubb"</formula>
    </cfRule>
    <cfRule type="expression" dxfId="12547" priority="13505">
      <formula>$F40="SAV Sicli"</formula>
    </cfRule>
    <cfRule type="expression" dxfId="12546" priority="13506">
      <formula>$F40="SAV Chubb"</formula>
    </cfRule>
    <cfRule type="expression" dxfId="12545" priority="13507">
      <formula>$F40="Réalisation"</formula>
    </cfRule>
    <cfRule type="expression" dxfId="12544" priority="13508">
      <formula>$F40="Désenfumage"</formula>
    </cfRule>
    <cfRule type="expression" dxfId="12543" priority="13509">
      <formula>$F40="Administratif"</formula>
    </cfRule>
  </conditionalFormatting>
  <conditionalFormatting sqref="D40">
    <cfRule type="expression" dxfId="12542" priority="13500">
      <formula>$H40="non"</formula>
    </cfRule>
  </conditionalFormatting>
  <conditionalFormatting sqref="D38">
    <cfRule type="expression" dxfId="12541" priority="13491">
      <formula>$F38="Formation CCF"</formula>
    </cfRule>
    <cfRule type="expression" dxfId="12540" priority="13492">
      <formula>$F38="Direction"</formula>
    </cfRule>
    <cfRule type="expression" dxfId="12539" priority="13493">
      <formula>$F38="Ventes Sicli"</formula>
    </cfRule>
    <cfRule type="expression" dxfId="12538" priority="13494">
      <formula>$F38="Ventes Chubb"</formula>
    </cfRule>
    <cfRule type="expression" dxfId="12537" priority="13495">
      <formula>$F38="SAV Sicli"</formula>
    </cfRule>
    <cfRule type="expression" dxfId="12536" priority="13496">
      <formula>$F38="SAV Chubb"</formula>
    </cfRule>
    <cfRule type="expression" dxfId="12535" priority="13497">
      <formula>$F38="Réalisation"</formula>
    </cfRule>
    <cfRule type="expression" dxfId="12534" priority="13498">
      <formula>$F38="Désenfumage"</formula>
    </cfRule>
    <cfRule type="expression" dxfId="12533" priority="13499">
      <formula>$F38="Administratif"</formula>
    </cfRule>
  </conditionalFormatting>
  <conditionalFormatting sqref="D38">
    <cfRule type="expression" dxfId="12532" priority="13490">
      <formula>$H38="non"</formula>
    </cfRule>
  </conditionalFormatting>
  <conditionalFormatting sqref="D42">
    <cfRule type="expression" dxfId="12531" priority="13481">
      <formula>$F42="Formation CCF"</formula>
    </cfRule>
    <cfRule type="expression" dxfId="12530" priority="13482">
      <formula>$F42="Direction"</formula>
    </cfRule>
    <cfRule type="expression" dxfId="12529" priority="13483">
      <formula>$F42="Ventes Sicli"</formula>
    </cfRule>
    <cfRule type="expression" dxfId="12528" priority="13484">
      <formula>$F42="Ventes Chubb"</formula>
    </cfRule>
    <cfRule type="expression" dxfId="12527" priority="13485">
      <formula>$F42="SAV Sicli"</formula>
    </cfRule>
    <cfRule type="expression" dxfId="12526" priority="13486">
      <formula>$F42="SAV Chubb"</formula>
    </cfRule>
    <cfRule type="expression" dxfId="12525" priority="13487">
      <formula>$F42="Réalisation"</formula>
    </cfRule>
    <cfRule type="expression" dxfId="12524" priority="13488">
      <formula>$F42="Désenfumage"</formula>
    </cfRule>
    <cfRule type="expression" dxfId="12523" priority="13489">
      <formula>$F42="Administratif"</formula>
    </cfRule>
  </conditionalFormatting>
  <conditionalFormatting sqref="D42">
    <cfRule type="expression" dxfId="12522" priority="13480">
      <formula>$H42="non"</formula>
    </cfRule>
  </conditionalFormatting>
  <conditionalFormatting sqref="D42">
    <cfRule type="expression" dxfId="12521" priority="13471">
      <formula>$F42="Formation CCF"</formula>
    </cfRule>
    <cfRule type="expression" dxfId="12520" priority="13472">
      <formula>$F42="Direction"</formula>
    </cfRule>
    <cfRule type="expression" dxfId="12519" priority="13473">
      <formula>$F42="Ventes Sicli"</formula>
    </cfRule>
    <cfRule type="expression" dxfId="12518" priority="13474">
      <formula>$F42="Ventes Chubb"</formula>
    </cfRule>
    <cfRule type="expression" dxfId="12517" priority="13475">
      <formula>$F42="SAV Sicli"</formula>
    </cfRule>
    <cfRule type="expression" dxfId="12516" priority="13476">
      <formula>$F42="SAV Chubb"</formula>
    </cfRule>
    <cfRule type="expression" dxfId="12515" priority="13477">
      <formula>$F42="Réalisation"</formula>
    </cfRule>
    <cfRule type="expression" dxfId="12514" priority="13478">
      <formula>$F42="Désenfumage"</formula>
    </cfRule>
    <cfRule type="expression" dxfId="12513" priority="13479">
      <formula>$F42="Administratif"</formula>
    </cfRule>
  </conditionalFormatting>
  <conditionalFormatting sqref="D42">
    <cfRule type="expression" dxfId="12512" priority="13470">
      <formula>$H42="non"</formula>
    </cfRule>
  </conditionalFormatting>
  <conditionalFormatting sqref="D41">
    <cfRule type="expression" dxfId="12511" priority="13461">
      <formula>$F41="Formation CCF"</formula>
    </cfRule>
    <cfRule type="expression" dxfId="12510" priority="13462">
      <formula>$F41="Direction"</formula>
    </cfRule>
    <cfRule type="expression" dxfId="12509" priority="13463">
      <formula>$F41="Ventes Sicli"</formula>
    </cfRule>
    <cfRule type="expression" dxfId="12508" priority="13464">
      <formula>$F41="Ventes Chubb"</formula>
    </cfRule>
    <cfRule type="expression" dxfId="12507" priority="13465">
      <formula>$F41="SAV Sicli"</formula>
    </cfRule>
    <cfRule type="expression" dxfId="12506" priority="13466">
      <formula>$F41="SAV Chubb"</formula>
    </cfRule>
    <cfRule type="expression" dxfId="12505" priority="13467">
      <formula>$F41="Réalisation"</formula>
    </cfRule>
    <cfRule type="expression" dxfId="12504" priority="13468">
      <formula>$F41="Désenfumage"</formula>
    </cfRule>
    <cfRule type="expression" dxfId="12503" priority="13469">
      <formula>$F41="Administratif"</formula>
    </cfRule>
  </conditionalFormatting>
  <conditionalFormatting sqref="D41">
    <cfRule type="expression" dxfId="12502" priority="13460">
      <formula>$H41="non"</formula>
    </cfRule>
  </conditionalFormatting>
  <conditionalFormatting sqref="D40">
    <cfRule type="expression" dxfId="12501" priority="13451">
      <formula>$F40="Formation CCF"</formula>
    </cfRule>
    <cfRule type="expression" dxfId="12500" priority="13452">
      <formula>$F40="Direction"</formula>
    </cfRule>
    <cfRule type="expression" dxfId="12499" priority="13453">
      <formula>$F40="Ventes Sicli"</formula>
    </cfRule>
    <cfRule type="expression" dxfId="12498" priority="13454">
      <formula>$F40="Ventes Chubb"</formula>
    </cfRule>
    <cfRule type="expression" dxfId="12497" priority="13455">
      <formula>$F40="SAV Sicli"</formula>
    </cfRule>
    <cfRule type="expression" dxfId="12496" priority="13456">
      <formula>$F40="SAV Chubb"</formula>
    </cfRule>
    <cfRule type="expression" dxfId="12495" priority="13457">
      <formula>$F40="Réalisation"</formula>
    </cfRule>
    <cfRule type="expression" dxfId="12494" priority="13458">
      <formula>$F40="Désenfumage"</formula>
    </cfRule>
    <cfRule type="expression" dxfId="12493" priority="13459">
      <formula>$F40="Administratif"</formula>
    </cfRule>
  </conditionalFormatting>
  <conditionalFormatting sqref="D40">
    <cfRule type="expression" dxfId="12492" priority="13450">
      <formula>$H40="non"</formula>
    </cfRule>
  </conditionalFormatting>
  <conditionalFormatting sqref="D38">
    <cfRule type="expression" dxfId="12491" priority="13441">
      <formula>$F38="Formation CCF"</formula>
    </cfRule>
    <cfRule type="expression" dxfId="12490" priority="13442">
      <formula>$F38="Direction"</formula>
    </cfRule>
    <cfRule type="expression" dxfId="12489" priority="13443">
      <formula>$F38="Ventes Sicli"</formula>
    </cfRule>
    <cfRule type="expression" dxfId="12488" priority="13444">
      <formula>$F38="Ventes Chubb"</formula>
    </cfRule>
    <cfRule type="expression" dxfId="12487" priority="13445">
      <formula>$F38="SAV Sicli"</formula>
    </cfRule>
    <cfRule type="expression" dxfId="12486" priority="13446">
      <formula>$F38="SAV Chubb"</formula>
    </cfRule>
    <cfRule type="expression" dxfId="12485" priority="13447">
      <formula>$F38="Réalisation"</formula>
    </cfRule>
    <cfRule type="expression" dxfId="12484" priority="13448">
      <formula>$F38="Désenfumage"</formula>
    </cfRule>
    <cfRule type="expression" dxfId="12483" priority="13449">
      <formula>$F38="Administratif"</formula>
    </cfRule>
  </conditionalFormatting>
  <conditionalFormatting sqref="D38">
    <cfRule type="expression" dxfId="12482" priority="13440">
      <formula>$H38="non"</formula>
    </cfRule>
  </conditionalFormatting>
  <conditionalFormatting sqref="D42">
    <cfRule type="expression" dxfId="12481" priority="13431">
      <formula>$F42="Formation CCF"</formula>
    </cfRule>
    <cfRule type="expression" dxfId="12480" priority="13432">
      <formula>$F42="Direction"</formula>
    </cfRule>
    <cfRule type="expression" dxfId="12479" priority="13433">
      <formula>$F42="Ventes Sicli"</formula>
    </cfRule>
    <cfRule type="expression" dxfId="12478" priority="13434">
      <formula>$F42="Ventes Chubb"</formula>
    </cfRule>
    <cfRule type="expression" dxfId="12477" priority="13435">
      <formula>$F42="SAV Sicli"</formula>
    </cfRule>
    <cfRule type="expression" dxfId="12476" priority="13436">
      <formula>$F42="SAV Chubb"</formula>
    </cfRule>
    <cfRule type="expression" dxfId="12475" priority="13437">
      <formula>$F42="Réalisation"</formula>
    </cfRule>
    <cfRule type="expression" dxfId="12474" priority="13438">
      <formula>$F42="Désenfumage"</formula>
    </cfRule>
    <cfRule type="expression" dxfId="12473" priority="13439">
      <formula>$F42="Administratif"</formula>
    </cfRule>
  </conditionalFormatting>
  <conditionalFormatting sqref="D42">
    <cfRule type="expression" dxfId="12472" priority="13430">
      <formula>$H42="non"</formula>
    </cfRule>
  </conditionalFormatting>
  <conditionalFormatting sqref="D41">
    <cfRule type="expression" dxfId="12471" priority="13421">
      <formula>$F41="Formation CCF"</formula>
    </cfRule>
    <cfRule type="expression" dxfId="12470" priority="13422">
      <formula>$F41="Direction"</formula>
    </cfRule>
    <cfRule type="expression" dxfId="12469" priority="13423">
      <formula>$F41="Ventes Sicli"</formula>
    </cfRule>
    <cfRule type="expression" dxfId="12468" priority="13424">
      <formula>$F41="Ventes Chubb"</formula>
    </cfRule>
    <cfRule type="expression" dxfId="12467" priority="13425">
      <formula>$F41="SAV Sicli"</formula>
    </cfRule>
    <cfRule type="expression" dxfId="12466" priority="13426">
      <formula>$F41="SAV Chubb"</formula>
    </cfRule>
    <cfRule type="expression" dxfId="12465" priority="13427">
      <formula>$F41="Réalisation"</formula>
    </cfRule>
    <cfRule type="expression" dxfId="12464" priority="13428">
      <formula>$F41="Désenfumage"</formula>
    </cfRule>
    <cfRule type="expression" dxfId="12463" priority="13429">
      <formula>$F41="Administratif"</formula>
    </cfRule>
  </conditionalFormatting>
  <conditionalFormatting sqref="D41">
    <cfRule type="expression" dxfId="12462" priority="13420">
      <formula>$H41="non"</formula>
    </cfRule>
  </conditionalFormatting>
  <conditionalFormatting sqref="D41">
    <cfRule type="expression" dxfId="12461" priority="13411">
      <formula>$F41="Formation CCF"</formula>
    </cfRule>
    <cfRule type="expression" dxfId="12460" priority="13412">
      <formula>$F41="Direction"</formula>
    </cfRule>
    <cfRule type="expression" dxfId="12459" priority="13413">
      <formula>$F41="Ventes Sicli"</formula>
    </cfRule>
    <cfRule type="expression" dxfId="12458" priority="13414">
      <formula>$F41="Ventes Chubb"</formula>
    </cfRule>
    <cfRule type="expression" dxfId="12457" priority="13415">
      <formula>$F41="SAV Sicli"</formula>
    </cfRule>
    <cfRule type="expression" dxfId="12456" priority="13416">
      <formula>$F41="SAV Chubb"</formula>
    </cfRule>
    <cfRule type="expression" dxfId="12455" priority="13417">
      <formula>$F41="Réalisation"</formula>
    </cfRule>
    <cfRule type="expression" dxfId="12454" priority="13418">
      <formula>$F41="Désenfumage"</formula>
    </cfRule>
    <cfRule type="expression" dxfId="12453" priority="13419">
      <formula>$F41="Administratif"</formula>
    </cfRule>
  </conditionalFormatting>
  <conditionalFormatting sqref="D41">
    <cfRule type="expression" dxfId="12452" priority="13410">
      <formula>$H41="non"</formula>
    </cfRule>
  </conditionalFormatting>
  <conditionalFormatting sqref="D40">
    <cfRule type="expression" dxfId="12451" priority="13401">
      <formula>$F40="Formation CCF"</formula>
    </cfRule>
    <cfRule type="expression" dxfId="12450" priority="13402">
      <formula>$F40="Direction"</formula>
    </cfRule>
    <cfRule type="expression" dxfId="12449" priority="13403">
      <formula>$F40="Ventes Sicli"</formula>
    </cfRule>
    <cfRule type="expression" dxfId="12448" priority="13404">
      <formula>$F40="Ventes Chubb"</formula>
    </cfRule>
    <cfRule type="expression" dxfId="12447" priority="13405">
      <formula>$F40="SAV Sicli"</formula>
    </cfRule>
    <cfRule type="expression" dxfId="12446" priority="13406">
      <formula>$F40="SAV Chubb"</formula>
    </cfRule>
    <cfRule type="expression" dxfId="12445" priority="13407">
      <formula>$F40="Réalisation"</formula>
    </cfRule>
    <cfRule type="expression" dxfId="12444" priority="13408">
      <formula>$F40="Désenfumage"</formula>
    </cfRule>
    <cfRule type="expression" dxfId="12443" priority="13409">
      <formula>$F40="Administratif"</formula>
    </cfRule>
  </conditionalFormatting>
  <conditionalFormatting sqref="D40">
    <cfRule type="expression" dxfId="12442" priority="13400">
      <formula>$H40="non"</formula>
    </cfRule>
  </conditionalFormatting>
  <conditionalFormatting sqref="D38">
    <cfRule type="expression" dxfId="12441" priority="13391">
      <formula>$F38="Formation CCF"</formula>
    </cfRule>
    <cfRule type="expression" dxfId="12440" priority="13392">
      <formula>$F38="Direction"</formula>
    </cfRule>
    <cfRule type="expression" dxfId="12439" priority="13393">
      <formula>$F38="Ventes Sicli"</formula>
    </cfRule>
    <cfRule type="expression" dxfId="12438" priority="13394">
      <formula>$F38="Ventes Chubb"</formula>
    </cfRule>
    <cfRule type="expression" dxfId="12437" priority="13395">
      <formula>$F38="SAV Sicli"</formula>
    </cfRule>
    <cfRule type="expression" dxfId="12436" priority="13396">
      <formula>$F38="SAV Chubb"</formula>
    </cfRule>
    <cfRule type="expression" dxfId="12435" priority="13397">
      <formula>$F38="Réalisation"</formula>
    </cfRule>
    <cfRule type="expression" dxfId="12434" priority="13398">
      <formula>$F38="Désenfumage"</formula>
    </cfRule>
    <cfRule type="expression" dxfId="12433" priority="13399">
      <formula>$F38="Administratif"</formula>
    </cfRule>
  </conditionalFormatting>
  <conditionalFormatting sqref="D38">
    <cfRule type="expression" dxfId="12432" priority="13390">
      <formula>$H38="non"</formula>
    </cfRule>
  </conditionalFormatting>
  <conditionalFormatting sqref="D40">
    <cfRule type="expression" dxfId="12431" priority="13381">
      <formula>$F40="Formation CCF"</formula>
    </cfRule>
    <cfRule type="expression" dxfId="12430" priority="13382">
      <formula>$F40="Direction"</formula>
    </cfRule>
    <cfRule type="expression" dxfId="12429" priority="13383">
      <formula>$F40="Ventes Sicli"</formula>
    </cfRule>
    <cfRule type="expression" dxfId="12428" priority="13384">
      <formula>$F40="Ventes Chubb"</formula>
    </cfRule>
    <cfRule type="expression" dxfId="12427" priority="13385">
      <formula>$F40="SAV Sicli"</formula>
    </cfRule>
    <cfRule type="expression" dxfId="12426" priority="13386">
      <formula>$F40="SAV Chubb"</formula>
    </cfRule>
    <cfRule type="expression" dxfId="12425" priority="13387">
      <formula>$F40="Réalisation"</formula>
    </cfRule>
    <cfRule type="expression" dxfId="12424" priority="13388">
      <formula>$F40="Désenfumage"</formula>
    </cfRule>
    <cfRule type="expression" dxfId="12423" priority="13389">
      <formula>$F40="Administratif"</formula>
    </cfRule>
  </conditionalFormatting>
  <conditionalFormatting sqref="D40">
    <cfRule type="expression" dxfId="12422" priority="13380">
      <formula>$H40="non"</formula>
    </cfRule>
  </conditionalFormatting>
  <conditionalFormatting sqref="D38">
    <cfRule type="expression" dxfId="12421" priority="13371">
      <formula>$F38="Formation CCF"</formula>
    </cfRule>
    <cfRule type="expression" dxfId="12420" priority="13372">
      <formula>$F38="Direction"</formula>
    </cfRule>
    <cfRule type="expression" dxfId="12419" priority="13373">
      <formula>$F38="Ventes Sicli"</formula>
    </cfRule>
    <cfRule type="expression" dxfId="12418" priority="13374">
      <formula>$F38="Ventes Chubb"</formula>
    </cfRule>
    <cfRule type="expression" dxfId="12417" priority="13375">
      <formula>$F38="SAV Sicli"</formula>
    </cfRule>
    <cfRule type="expression" dxfId="12416" priority="13376">
      <formula>$F38="SAV Chubb"</formula>
    </cfRule>
    <cfRule type="expression" dxfId="12415" priority="13377">
      <formula>$F38="Réalisation"</formula>
    </cfRule>
    <cfRule type="expression" dxfId="12414" priority="13378">
      <formula>$F38="Désenfumage"</formula>
    </cfRule>
    <cfRule type="expression" dxfId="12413" priority="13379">
      <formula>$F38="Administratif"</formula>
    </cfRule>
  </conditionalFormatting>
  <conditionalFormatting sqref="D38">
    <cfRule type="expression" dxfId="12412" priority="13370">
      <formula>$H38="non"</formula>
    </cfRule>
  </conditionalFormatting>
  <conditionalFormatting sqref="C42:D42">
    <cfRule type="expression" dxfId="12411" priority="13361">
      <formula>$F42="Formation CCF"</formula>
    </cfRule>
    <cfRule type="expression" dxfId="12410" priority="13362">
      <formula>$F42="Direction"</formula>
    </cfRule>
    <cfRule type="expression" dxfId="12409" priority="13363">
      <formula>$F42="Ventes Sicli"</formula>
    </cfRule>
    <cfRule type="expression" dxfId="12408" priority="13364">
      <formula>$F42="Ventes Chubb"</formula>
    </cfRule>
    <cfRule type="expression" dxfId="12407" priority="13365">
      <formula>$F42="SAV Sicli"</formula>
    </cfRule>
    <cfRule type="expression" dxfId="12406" priority="13366">
      <formula>$F42="SAV Chubb"</formula>
    </cfRule>
    <cfRule type="expression" dxfId="12405" priority="13367">
      <formula>$F42="Réalisation"</formula>
    </cfRule>
    <cfRule type="expression" dxfId="12404" priority="13368">
      <formula>$F42="Désenfumage"</formula>
    </cfRule>
    <cfRule type="expression" dxfId="12403" priority="13369">
      <formula>$F42="Administratif"</formula>
    </cfRule>
  </conditionalFormatting>
  <conditionalFormatting sqref="C42:D42">
    <cfRule type="expression" dxfId="12402" priority="13360">
      <formula>$H42="non"</formula>
    </cfRule>
  </conditionalFormatting>
  <conditionalFormatting sqref="D40">
    <cfRule type="expression" dxfId="12401" priority="13351">
      <formula>$F40="Formation CCF"</formula>
    </cfRule>
    <cfRule type="expression" dxfId="12400" priority="13352">
      <formula>$F40="Direction"</formula>
    </cfRule>
    <cfRule type="expression" dxfId="12399" priority="13353">
      <formula>$F40="Ventes Sicli"</formula>
    </cfRule>
    <cfRule type="expression" dxfId="12398" priority="13354">
      <formula>$F40="Ventes Chubb"</formula>
    </cfRule>
    <cfRule type="expression" dxfId="12397" priority="13355">
      <formula>$F40="SAV Sicli"</formula>
    </cfRule>
    <cfRule type="expression" dxfId="12396" priority="13356">
      <formula>$F40="SAV Chubb"</formula>
    </cfRule>
    <cfRule type="expression" dxfId="12395" priority="13357">
      <formula>$F40="Réalisation"</formula>
    </cfRule>
    <cfRule type="expression" dxfId="12394" priority="13358">
      <formula>$F40="Désenfumage"</formula>
    </cfRule>
    <cfRule type="expression" dxfId="12393" priority="13359">
      <formula>$F40="Administratif"</formula>
    </cfRule>
  </conditionalFormatting>
  <conditionalFormatting sqref="D40">
    <cfRule type="expression" dxfId="12392" priority="13350">
      <formula>$H40="non"</formula>
    </cfRule>
  </conditionalFormatting>
  <conditionalFormatting sqref="D38">
    <cfRule type="expression" dxfId="12391" priority="13341">
      <formula>$F38="Formation CCF"</formula>
    </cfRule>
    <cfRule type="expression" dxfId="12390" priority="13342">
      <formula>$F38="Direction"</formula>
    </cfRule>
    <cfRule type="expression" dxfId="12389" priority="13343">
      <formula>$F38="Ventes Sicli"</formula>
    </cfRule>
    <cfRule type="expression" dxfId="12388" priority="13344">
      <formula>$F38="Ventes Chubb"</formula>
    </cfRule>
    <cfRule type="expression" dxfId="12387" priority="13345">
      <formula>$F38="SAV Sicli"</formula>
    </cfRule>
    <cfRule type="expression" dxfId="12386" priority="13346">
      <formula>$F38="SAV Chubb"</formula>
    </cfRule>
    <cfRule type="expression" dxfId="12385" priority="13347">
      <formula>$F38="Réalisation"</formula>
    </cfRule>
    <cfRule type="expression" dxfId="12384" priority="13348">
      <formula>$F38="Désenfumage"</formula>
    </cfRule>
    <cfRule type="expression" dxfId="12383" priority="13349">
      <formula>$F38="Administratif"</formula>
    </cfRule>
  </conditionalFormatting>
  <conditionalFormatting sqref="D38">
    <cfRule type="expression" dxfId="12382" priority="13340">
      <formula>$H38="non"</formula>
    </cfRule>
  </conditionalFormatting>
  <conditionalFormatting sqref="D38">
    <cfRule type="expression" dxfId="12381" priority="13331">
      <formula>$F38="Formation CCF"</formula>
    </cfRule>
    <cfRule type="expression" dxfId="12380" priority="13332">
      <formula>$F38="Direction"</formula>
    </cfRule>
    <cfRule type="expression" dxfId="12379" priority="13333">
      <formula>$F38="Ventes Sicli"</formula>
    </cfRule>
    <cfRule type="expression" dxfId="12378" priority="13334">
      <formula>$F38="Ventes Chubb"</formula>
    </cfRule>
    <cfRule type="expression" dxfId="12377" priority="13335">
      <formula>$F38="SAV Sicli"</formula>
    </cfRule>
    <cfRule type="expression" dxfId="12376" priority="13336">
      <formula>$F38="SAV Chubb"</formula>
    </cfRule>
    <cfRule type="expression" dxfId="12375" priority="13337">
      <formula>$F38="Réalisation"</formula>
    </cfRule>
    <cfRule type="expression" dxfId="12374" priority="13338">
      <formula>$F38="Désenfumage"</formula>
    </cfRule>
    <cfRule type="expression" dxfId="12373" priority="13339">
      <formula>$F38="Administratif"</formula>
    </cfRule>
  </conditionalFormatting>
  <conditionalFormatting sqref="D38">
    <cfRule type="expression" dxfId="12372" priority="13330">
      <formula>$H38="non"</formula>
    </cfRule>
  </conditionalFormatting>
  <conditionalFormatting sqref="C42:D42">
    <cfRule type="expression" dxfId="12371" priority="13321">
      <formula>$F42="Formation CCF"</formula>
    </cfRule>
    <cfRule type="expression" dxfId="12370" priority="13322">
      <formula>$F42="Direction"</formula>
    </cfRule>
    <cfRule type="expression" dxfId="12369" priority="13323">
      <formula>$F42="Ventes Sicli"</formula>
    </cfRule>
    <cfRule type="expression" dxfId="12368" priority="13324">
      <formula>$F42="Ventes Chubb"</formula>
    </cfRule>
    <cfRule type="expression" dxfId="12367" priority="13325">
      <formula>$F42="SAV Sicli"</formula>
    </cfRule>
    <cfRule type="expression" dxfId="12366" priority="13326">
      <formula>$F42="SAV Chubb"</formula>
    </cfRule>
    <cfRule type="expression" dxfId="12365" priority="13327">
      <formula>$F42="Réalisation"</formula>
    </cfRule>
    <cfRule type="expression" dxfId="12364" priority="13328">
      <formula>$F42="Désenfumage"</formula>
    </cfRule>
    <cfRule type="expression" dxfId="12363" priority="13329">
      <formula>$F42="Administratif"</formula>
    </cfRule>
  </conditionalFormatting>
  <conditionalFormatting sqref="C42:D42">
    <cfRule type="expression" dxfId="12362" priority="13320">
      <formula>$H42="non"</formula>
    </cfRule>
  </conditionalFormatting>
  <conditionalFormatting sqref="D40">
    <cfRule type="expression" dxfId="12361" priority="13311">
      <formula>$F40="Formation CCF"</formula>
    </cfRule>
    <cfRule type="expression" dxfId="12360" priority="13312">
      <formula>$F40="Direction"</formula>
    </cfRule>
    <cfRule type="expression" dxfId="12359" priority="13313">
      <formula>$F40="Ventes Sicli"</formula>
    </cfRule>
    <cfRule type="expression" dxfId="12358" priority="13314">
      <formula>$F40="Ventes Chubb"</formula>
    </cfRule>
    <cfRule type="expression" dxfId="12357" priority="13315">
      <formula>$F40="SAV Sicli"</formula>
    </cfRule>
    <cfRule type="expression" dxfId="12356" priority="13316">
      <formula>$F40="SAV Chubb"</formula>
    </cfRule>
    <cfRule type="expression" dxfId="12355" priority="13317">
      <formula>$F40="Réalisation"</formula>
    </cfRule>
    <cfRule type="expression" dxfId="12354" priority="13318">
      <formula>$F40="Désenfumage"</formula>
    </cfRule>
    <cfRule type="expression" dxfId="12353" priority="13319">
      <formula>$F40="Administratif"</formula>
    </cfRule>
  </conditionalFormatting>
  <conditionalFormatting sqref="D40">
    <cfRule type="expression" dxfId="12352" priority="13310">
      <formula>$H40="non"</formula>
    </cfRule>
  </conditionalFormatting>
  <conditionalFormatting sqref="D38">
    <cfRule type="expression" dxfId="12351" priority="13301">
      <formula>$F38="Formation CCF"</formula>
    </cfRule>
    <cfRule type="expression" dxfId="12350" priority="13302">
      <formula>$F38="Direction"</formula>
    </cfRule>
    <cfRule type="expression" dxfId="12349" priority="13303">
      <formula>$F38="Ventes Sicli"</formula>
    </cfRule>
    <cfRule type="expression" dxfId="12348" priority="13304">
      <formula>$F38="Ventes Chubb"</formula>
    </cfRule>
    <cfRule type="expression" dxfId="12347" priority="13305">
      <formula>$F38="SAV Sicli"</formula>
    </cfRule>
    <cfRule type="expression" dxfId="12346" priority="13306">
      <formula>$F38="SAV Chubb"</formula>
    </cfRule>
    <cfRule type="expression" dxfId="12345" priority="13307">
      <formula>$F38="Réalisation"</formula>
    </cfRule>
    <cfRule type="expression" dxfId="12344" priority="13308">
      <formula>$F38="Désenfumage"</formula>
    </cfRule>
    <cfRule type="expression" dxfId="12343" priority="13309">
      <formula>$F38="Administratif"</formula>
    </cfRule>
  </conditionalFormatting>
  <conditionalFormatting sqref="D38">
    <cfRule type="expression" dxfId="12342" priority="13300">
      <formula>$H38="non"</formula>
    </cfRule>
  </conditionalFormatting>
  <conditionalFormatting sqref="D38">
    <cfRule type="expression" dxfId="12341" priority="13291">
      <formula>$F38="Formation CCF"</formula>
    </cfRule>
    <cfRule type="expression" dxfId="12340" priority="13292">
      <formula>$F38="Direction"</formula>
    </cfRule>
    <cfRule type="expression" dxfId="12339" priority="13293">
      <formula>$F38="Ventes Sicli"</formula>
    </cfRule>
    <cfRule type="expression" dxfId="12338" priority="13294">
      <formula>$F38="Ventes Chubb"</formula>
    </cfRule>
    <cfRule type="expression" dxfId="12337" priority="13295">
      <formula>$F38="SAV Sicli"</formula>
    </cfRule>
    <cfRule type="expression" dxfId="12336" priority="13296">
      <formula>$F38="SAV Chubb"</formula>
    </cfRule>
    <cfRule type="expression" dxfId="12335" priority="13297">
      <formula>$F38="Réalisation"</formula>
    </cfRule>
    <cfRule type="expression" dxfId="12334" priority="13298">
      <formula>$F38="Désenfumage"</formula>
    </cfRule>
    <cfRule type="expression" dxfId="12333" priority="13299">
      <formula>$F38="Administratif"</formula>
    </cfRule>
  </conditionalFormatting>
  <conditionalFormatting sqref="D38">
    <cfRule type="expression" dxfId="12332" priority="13290">
      <formula>$H38="non"</formula>
    </cfRule>
  </conditionalFormatting>
  <conditionalFormatting sqref="C42:D42">
    <cfRule type="expression" dxfId="12331" priority="13281">
      <formula>$F42="Formation CCF"</formula>
    </cfRule>
    <cfRule type="expression" dxfId="12330" priority="13282">
      <formula>$F42="Direction"</formula>
    </cfRule>
    <cfRule type="expression" dxfId="12329" priority="13283">
      <formula>$F42="Ventes Sicli"</formula>
    </cfRule>
    <cfRule type="expression" dxfId="12328" priority="13284">
      <formula>$F42="Ventes Chubb"</formula>
    </cfRule>
    <cfRule type="expression" dxfId="12327" priority="13285">
      <formula>$F42="SAV Sicli"</formula>
    </cfRule>
    <cfRule type="expression" dxfId="12326" priority="13286">
      <formula>$F42="SAV Chubb"</formula>
    </cfRule>
    <cfRule type="expression" dxfId="12325" priority="13287">
      <formula>$F42="Réalisation"</formula>
    </cfRule>
    <cfRule type="expression" dxfId="12324" priority="13288">
      <formula>$F42="Désenfumage"</formula>
    </cfRule>
    <cfRule type="expression" dxfId="12323" priority="13289">
      <formula>$F42="Administratif"</formula>
    </cfRule>
  </conditionalFormatting>
  <conditionalFormatting sqref="C42:D42">
    <cfRule type="expression" dxfId="12322" priority="13280">
      <formula>$H42="non"</formula>
    </cfRule>
  </conditionalFormatting>
  <conditionalFormatting sqref="C41:D41">
    <cfRule type="expression" dxfId="12321" priority="13271">
      <formula>$F41="Formation CCF"</formula>
    </cfRule>
    <cfRule type="expression" dxfId="12320" priority="13272">
      <formula>$F41="Direction"</formula>
    </cfRule>
    <cfRule type="expression" dxfId="12319" priority="13273">
      <formula>$F41="Ventes Sicli"</formula>
    </cfRule>
    <cfRule type="expression" dxfId="12318" priority="13274">
      <formula>$F41="Ventes Chubb"</formula>
    </cfRule>
    <cfRule type="expression" dxfId="12317" priority="13275">
      <formula>$F41="SAV Sicli"</formula>
    </cfRule>
    <cfRule type="expression" dxfId="12316" priority="13276">
      <formula>$F41="SAV Chubb"</formula>
    </cfRule>
    <cfRule type="expression" dxfId="12315" priority="13277">
      <formula>$F41="Réalisation"</formula>
    </cfRule>
    <cfRule type="expression" dxfId="12314" priority="13278">
      <formula>$F41="Désenfumage"</formula>
    </cfRule>
    <cfRule type="expression" dxfId="12313" priority="13279">
      <formula>$F41="Administratif"</formula>
    </cfRule>
  </conditionalFormatting>
  <conditionalFormatting sqref="C41:D41">
    <cfRule type="expression" dxfId="12312" priority="13270">
      <formula>$H41="non"</formula>
    </cfRule>
  </conditionalFormatting>
  <conditionalFormatting sqref="D38">
    <cfRule type="expression" dxfId="12311" priority="13261">
      <formula>$F38="Formation CCF"</formula>
    </cfRule>
    <cfRule type="expression" dxfId="12310" priority="13262">
      <formula>$F38="Direction"</formula>
    </cfRule>
    <cfRule type="expression" dxfId="12309" priority="13263">
      <formula>$F38="Ventes Sicli"</formula>
    </cfRule>
    <cfRule type="expression" dxfId="12308" priority="13264">
      <formula>$F38="Ventes Chubb"</formula>
    </cfRule>
    <cfRule type="expression" dxfId="12307" priority="13265">
      <formula>$F38="SAV Sicli"</formula>
    </cfRule>
    <cfRule type="expression" dxfId="12306" priority="13266">
      <formula>$F38="SAV Chubb"</formula>
    </cfRule>
    <cfRule type="expression" dxfId="12305" priority="13267">
      <formula>$F38="Réalisation"</formula>
    </cfRule>
    <cfRule type="expression" dxfId="12304" priority="13268">
      <formula>$F38="Désenfumage"</formula>
    </cfRule>
    <cfRule type="expression" dxfId="12303" priority="13269">
      <formula>$F38="Administratif"</formula>
    </cfRule>
  </conditionalFormatting>
  <conditionalFormatting sqref="D38">
    <cfRule type="expression" dxfId="12302" priority="13260">
      <formula>$H38="non"</formula>
    </cfRule>
  </conditionalFormatting>
  <conditionalFormatting sqref="C60:D60">
    <cfRule type="expression" dxfId="12301" priority="13251">
      <formula>$F60="Formation CCF"</formula>
    </cfRule>
    <cfRule type="expression" dxfId="12300" priority="13252">
      <formula>$F60="Direction"</formula>
    </cfRule>
    <cfRule type="expression" dxfId="12299" priority="13253">
      <formula>$F60="Ventes Sicli"</formula>
    </cfRule>
    <cfRule type="expression" dxfId="12298" priority="13254">
      <formula>$F60="Ventes Chubb"</formula>
    </cfRule>
    <cfRule type="expression" dxfId="12297" priority="13255">
      <formula>$F60="SAV Sicli"</formula>
    </cfRule>
    <cfRule type="expression" dxfId="12296" priority="13256">
      <formula>$F60="SAV Chubb"</formula>
    </cfRule>
    <cfRule type="expression" dxfId="12295" priority="13257">
      <formula>$F60="Réalisation"</formula>
    </cfRule>
    <cfRule type="expression" dxfId="12294" priority="13258">
      <formula>$F60="Désenfumage"</formula>
    </cfRule>
    <cfRule type="expression" dxfId="12293" priority="13259">
      <formula>$F60="Administratif"</formula>
    </cfRule>
  </conditionalFormatting>
  <conditionalFormatting sqref="C60:D60">
    <cfRule type="expression" dxfId="12292" priority="13250">
      <formula>$H60="non"</formula>
    </cfRule>
  </conditionalFormatting>
  <conditionalFormatting sqref="C59:D59">
    <cfRule type="expression" dxfId="12291" priority="13241">
      <formula>$F59="Formation CCF"</formula>
    </cfRule>
    <cfRule type="expression" dxfId="12290" priority="13242">
      <formula>$F59="Direction"</formula>
    </cfRule>
    <cfRule type="expression" dxfId="12289" priority="13243">
      <formula>$F59="Ventes Sicli"</formula>
    </cfRule>
    <cfRule type="expression" dxfId="12288" priority="13244">
      <formula>$F59="Ventes Chubb"</formula>
    </cfRule>
    <cfRule type="expression" dxfId="12287" priority="13245">
      <formula>$F59="SAV Sicli"</formula>
    </cfRule>
    <cfRule type="expression" dxfId="12286" priority="13246">
      <formula>$F59="SAV Chubb"</formula>
    </cfRule>
    <cfRule type="expression" dxfId="12285" priority="13247">
      <formula>$F59="Réalisation"</formula>
    </cfRule>
    <cfRule type="expression" dxfId="12284" priority="13248">
      <formula>$F59="Désenfumage"</formula>
    </cfRule>
    <cfRule type="expression" dxfId="12283" priority="13249">
      <formula>$F59="Administratif"</formula>
    </cfRule>
  </conditionalFormatting>
  <conditionalFormatting sqref="C59:D59">
    <cfRule type="expression" dxfId="12282" priority="13240">
      <formula>$H59="non"</formula>
    </cfRule>
  </conditionalFormatting>
  <conditionalFormatting sqref="C58:D58">
    <cfRule type="expression" dxfId="12281" priority="13231">
      <formula>$F58="Formation CCF"</formula>
    </cfRule>
    <cfRule type="expression" dxfId="12280" priority="13232">
      <formula>$F58="Direction"</formula>
    </cfRule>
    <cfRule type="expression" dxfId="12279" priority="13233">
      <formula>$F58="Ventes Sicli"</formula>
    </cfRule>
    <cfRule type="expression" dxfId="12278" priority="13234">
      <formula>$F58="Ventes Chubb"</formula>
    </cfRule>
    <cfRule type="expression" dxfId="12277" priority="13235">
      <formula>$F58="SAV Sicli"</formula>
    </cfRule>
    <cfRule type="expression" dxfId="12276" priority="13236">
      <formula>$F58="SAV Chubb"</formula>
    </cfRule>
    <cfRule type="expression" dxfId="12275" priority="13237">
      <formula>$F58="Réalisation"</formula>
    </cfRule>
    <cfRule type="expression" dxfId="12274" priority="13238">
      <formula>$F58="Désenfumage"</formula>
    </cfRule>
    <cfRule type="expression" dxfId="12273" priority="13239">
      <formula>$F58="Administratif"</formula>
    </cfRule>
  </conditionalFormatting>
  <conditionalFormatting sqref="C58:D58">
    <cfRule type="expression" dxfId="12272" priority="13230">
      <formula>$H58="non"</formula>
    </cfRule>
  </conditionalFormatting>
  <conditionalFormatting sqref="C57:D57">
    <cfRule type="expression" dxfId="12271" priority="13221">
      <formula>$F57="Formation CCF"</formula>
    </cfRule>
    <cfRule type="expression" dxfId="12270" priority="13222">
      <formula>$F57="Direction"</formula>
    </cfRule>
    <cfRule type="expression" dxfId="12269" priority="13223">
      <formula>$F57="Ventes Sicli"</formula>
    </cfRule>
    <cfRule type="expression" dxfId="12268" priority="13224">
      <formula>$F57="Ventes Chubb"</formula>
    </cfRule>
    <cfRule type="expression" dxfId="12267" priority="13225">
      <formula>$F57="SAV Sicli"</formula>
    </cfRule>
    <cfRule type="expression" dxfId="12266" priority="13226">
      <formula>$F57="SAV Chubb"</formula>
    </cfRule>
    <cfRule type="expression" dxfId="12265" priority="13227">
      <formula>$F57="Réalisation"</formula>
    </cfRule>
    <cfRule type="expression" dxfId="12264" priority="13228">
      <formula>$F57="Désenfumage"</formula>
    </cfRule>
    <cfRule type="expression" dxfId="12263" priority="13229">
      <formula>$F57="Administratif"</formula>
    </cfRule>
  </conditionalFormatting>
  <conditionalFormatting sqref="C57:D57">
    <cfRule type="expression" dxfId="12262" priority="13220">
      <formula>$H57="non"</formula>
    </cfRule>
  </conditionalFormatting>
  <conditionalFormatting sqref="C56:D56">
    <cfRule type="expression" dxfId="12261" priority="13211">
      <formula>$F56="Formation CCF"</formula>
    </cfRule>
    <cfRule type="expression" dxfId="12260" priority="13212">
      <formula>$F56="Direction"</formula>
    </cfRule>
    <cfRule type="expression" dxfId="12259" priority="13213">
      <formula>$F56="Ventes Sicli"</formula>
    </cfRule>
    <cfRule type="expression" dxfId="12258" priority="13214">
      <formula>$F56="Ventes Chubb"</formula>
    </cfRule>
    <cfRule type="expression" dxfId="12257" priority="13215">
      <formula>$F56="SAV Sicli"</formula>
    </cfRule>
    <cfRule type="expression" dxfId="12256" priority="13216">
      <formula>$F56="SAV Chubb"</formula>
    </cfRule>
    <cfRule type="expression" dxfId="12255" priority="13217">
      <formula>$F56="Réalisation"</formula>
    </cfRule>
    <cfRule type="expression" dxfId="12254" priority="13218">
      <formula>$F56="Désenfumage"</formula>
    </cfRule>
    <cfRule type="expression" dxfId="12253" priority="13219">
      <formula>$F56="Administratif"</formula>
    </cfRule>
  </conditionalFormatting>
  <conditionalFormatting sqref="C56:D56">
    <cfRule type="expression" dxfId="12252" priority="13210">
      <formula>$H56="non"</formula>
    </cfRule>
  </conditionalFormatting>
  <conditionalFormatting sqref="C55:D55">
    <cfRule type="expression" dxfId="12251" priority="13201">
      <formula>$F55="Formation CCF"</formula>
    </cfRule>
    <cfRule type="expression" dxfId="12250" priority="13202">
      <formula>$F55="Direction"</formula>
    </cfRule>
    <cfRule type="expression" dxfId="12249" priority="13203">
      <formula>$F55="Ventes Sicli"</formula>
    </cfRule>
    <cfRule type="expression" dxfId="12248" priority="13204">
      <formula>$F55="Ventes Chubb"</formula>
    </cfRule>
    <cfRule type="expression" dxfId="12247" priority="13205">
      <formula>$F55="SAV Sicli"</formula>
    </cfRule>
    <cfRule type="expression" dxfId="12246" priority="13206">
      <formula>$F55="SAV Chubb"</formula>
    </cfRule>
    <cfRule type="expression" dxfId="12245" priority="13207">
      <formula>$F55="Réalisation"</formula>
    </cfRule>
    <cfRule type="expression" dxfId="12244" priority="13208">
      <formula>$F55="Désenfumage"</formula>
    </cfRule>
    <cfRule type="expression" dxfId="12243" priority="13209">
      <formula>$F55="Administratif"</formula>
    </cfRule>
  </conditionalFormatting>
  <conditionalFormatting sqref="C55:D55">
    <cfRule type="expression" dxfId="12242" priority="13200">
      <formula>$H55="non"</formula>
    </cfRule>
  </conditionalFormatting>
  <conditionalFormatting sqref="C54:D54">
    <cfRule type="expression" dxfId="12241" priority="13191">
      <formula>$F54="Formation CCF"</formula>
    </cfRule>
    <cfRule type="expression" dxfId="12240" priority="13192">
      <formula>$F54="Direction"</formula>
    </cfRule>
    <cfRule type="expression" dxfId="12239" priority="13193">
      <formula>$F54="Ventes Sicli"</formula>
    </cfRule>
    <cfRule type="expression" dxfId="12238" priority="13194">
      <formula>$F54="Ventes Chubb"</formula>
    </cfRule>
    <cfRule type="expression" dxfId="12237" priority="13195">
      <formula>$F54="SAV Sicli"</formula>
    </cfRule>
    <cfRule type="expression" dxfId="12236" priority="13196">
      <formula>$F54="SAV Chubb"</formula>
    </cfRule>
    <cfRule type="expression" dxfId="12235" priority="13197">
      <formula>$F54="Réalisation"</formula>
    </cfRule>
    <cfRule type="expression" dxfId="12234" priority="13198">
      <formula>$F54="Désenfumage"</formula>
    </cfRule>
    <cfRule type="expression" dxfId="12233" priority="13199">
      <formula>$F54="Administratif"</formula>
    </cfRule>
  </conditionalFormatting>
  <conditionalFormatting sqref="C54:D54">
    <cfRule type="expression" dxfId="12232" priority="13190">
      <formula>$H54="non"</formula>
    </cfRule>
  </conditionalFormatting>
  <conditionalFormatting sqref="D52">
    <cfRule type="expression" dxfId="12231" priority="13181">
      <formula>$F52="Formation CCF"</formula>
    </cfRule>
    <cfRule type="expression" dxfId="12230" priority="13182">
      <formula>$F52="Direction"</formula>
    </cfRule>
    <cfRule type="expression" dxfId="12229" priority="13183">
      <formula>$F52="Ventes Sicli"</formula>
    </cfRule>
    <cfRule type="expression" dxfId="12228" priority="13184">
      <formula>$F52="Ventes Chubb"</formula>
    </cfRule>
    <cfRule type="expression" dxfId="12227" priority="13185">
      <formula>$F52="SAV Sicli"</formula>
    </cfRule>
    <cfRule type="expression" dxfId="12226" priority="13186">
      <formula>$F52="SAV Chubb"</formula>
    </cfRule>
    <cfRule type="expression" dxfId="12225" priority="13187">
      <formula>$F52="Réalisation"</formula>
    </cfRule>
    <cfRule type="expression" dxfId="12224" priority="13188">
      <formula>$F52="Désenfumage"</formula>
    </cfRule>
    <cfRule type="expression" dxfId="12223" priority="13189">
      <formula>$F52="Administratif"</formula>
    </cfRule>
  </conditionalFormatting>
  <conditionalFormatting sqref="D52">
    <cfRule type="expression" dxfId="12222" priority="13180">
      <formula>$H52="non"</formula>
    </cfRule>
  </conditionalFormatting>
  <conditionalFormatting sqref="C57:D57">
    <cfRule type="expression" dxfId="12221" priority="13171">
      <formula>$F57="Formation CCF"</formula>
    </cfRule>
    <cfRule type="expression" dxfId="12220" priority="13172">
      <formula>$F57="Direction"</formula>
    </cfRule>
    <cfRule type="expression" dxfId="12219" priority="13173">
      <formula>$F57="Ventes Sicli"</formula>
    </cfRule>
    <cfRule type="expression" dxfId="12218" priority="13174">
      <formula>$F57="Ventes Chubb"</formula>
    </cfRule>
    <cfRule type="expression" dxfId="12217" priority="13175">
      <formula>$F57="SAV Sicli"</formula>
    </cfRule>
    <cfRule type="expression" dxfId="12216" priority="13176">
      <formula>$F57="SAV Chubb"</formula>
    </cfRule>
    <cfRule type="expression" dxfId="12215" priority="13177">
      <formula>$F57="Réalisation"</formula>
    </cfRule>
    <cfRule type="expression" dxfId="12214" priority="13178">
      <formula>$F57="Désenfumage"</formula>
    </cfRule>
    <cfRule type="expression" dxfId="12213" priority="13179">
      <formula>$F57="Administratif"</formula>
    </cfRule>
  </conditionalFormatting>
  <conditionalFormatting sqref="C57:D57">
    <cfRule type="expression" dxfId="12212" priority="13170">
      <formula>$H57="non"</formula>
    </cfRule>
  </conditionalFormatting>
  <conditionalFormatting sqref="C56:D56">
    <cfRule type="expression" dxfId="12211" priority="13161">
      <formula>$F56="Formation CCF"</formula>
    </cfRule>
    <cfRule type="expression" dxfId="12210" priority="13162">
      <formula>$F56="Direction"</formula>
    </cfRule>
    <cfRule type="expression" dxfId="12209" priority="13163">
      <formula>$F56="Ventes Sicli"</formula>
    </cfRule>
    <cfRule type="expression" dxfId="12208" priority="13164">
      <formula>$F56="Ventes Chubb"</formula>
    </cfRule>
    <cfRule type="expression" dxfId="12207" priority="13165">
      <formula>$F56="SAV Sicli"</formula>
    </cfRule>
    <cfRule type="expression" dxfId="12206" priority="13166">
      <formula>$F56="SAV Chubb"</formula>
    </cfRule>
    <cfRule type="expression" dxfId="12205" priority="13167">
      <formula>$F56="Réalisation"</formula>
    </cfRule>
    <cfRule type="expression" dxfId="12204" priority="13168">
      <formula>$F56="Désenfumage"</formula>
    </cfRule>
    <cfRule type="expression" dxfId="12203" priority="13169">
      <formula>$F56="Administratif"</formula>
    </cfRule>
  </conditionalFormatting>
  <conditionalFormatting sqref="C56:D56">
    <cfRule type="expression" dxfId="12202" priority="13160">
      <formula>$H56="non"</formula>
    </cfRule>
  </conditionalFormatting>
  <conditionalFormatting sqref="C55:D55">
    <cfRule type="expression" dxfId="12201" priority="13151">
      <formula>$F55="Formation CCF"</formula>
    </cfRule>
    <cfRule type="expression" dxfId="12200" priority="13152">
      <formula>$F55="Direction"</formula>
    </cfRule>
    <cfRule type="expression" dxfId="12199" priority="13153">
      <formula>$F55="Ventes Sicli"</formula>
    </cfRule>
    <cfRule type="expression" dxfId="12198" priority="13154">
      <formula>$F55="Ventes Chubb"</formula>
    </cfRule>
    <cfRule type="expression" dxfId="12197" priority="13155">
      <formula>$F55="SAV Sicli"</formula>
    </cfRule>
    <cfRule type="expression" dxfId="12196" priority="13156">
      <formula>$F55="SAV Chubb"</formula>
    </cfRule>
    <cfRule type="expression" dxfId="12195" priority="13157">
      <formula>$F55="Réalisation"</formula>
    </cfRule>
    <cfRule type="expression" dxfId="12194" priority="13158">
      <formula>$F55="Désenfumage"</formula>
    </cfRule>
    <cfRule type="expression" dxfId="12193" priority="13159">
      <formula>$F55="Administratif"</formula>
    </cfRule>
  </conditionalFormatting>
  <conditionalFormatting sqref="C55:D55">
    <cfRule type="expression" dxfId="12192" priority="13150">
      <formula>$H55="non"</formula>
    </cfRule>
  </conditionalFormatting>
  <conditionalFormatting sqref="C54:D54">
    <cfRule type="expression" dxfId="12191" priority="13141">
      <formula>$F54="Formation CCF"</formula>
    </cfRule>
    <cfRule type="expression" dxfId="12190" priority="13142">
      <formula>$F54="Direction"</formula>
    </cfRule>
    <cfRule type="expression" dxfId="12189" priority="13143">
      <formula>$F54="Ventes Sicli"</formula>
    </cfRule>
    <cfRule type="expression" dxfId="12188" priority="13144">
      <formula>$F54="Ventes Chubb"</formula>
    </cfRule>
    <cfRule type="expression" dxfId="12187" priority="13145">
      <formula>$F54="SAV Sicli"</formula>
    </cfRule>
    <cfRule type="expression" dxfId="12186" priority="13146">
      <formula>$F54="SAV Chubb"</formula>
    </cfRule>
    <cfRule type="expression" dxfId="12185" priority="13147">
      <formula>$F54="Réalisation"</formula>
    </cfRule>
    <cfRule type="expression" dxfId="12184" priority="13148">
      <formula>$F54="Désenfumage"</formula>
    </cfRule>
    <cfRule type="expression" dxfId="12183" priority="13149">
      <formula>$F54="Administratif"</formula>
    </cfRule>
  </conditionalFormatting>
  <conditionalFormatting sqref="C54:D54">
    <cfRule type="expression" dxfId="12182" priority="13140">
      <formula>$H54="non"</formula>
    </cfRule>
  </conditionalFormatting>
  <conditionalFormatting sqref="C53:D53">
    <cfRule type="expression" dxfId="12181" priority="13131">
      <formula>$F53="Formation CCF"</formula>
    </cfRule>
    <cfRule type="expression" dxfId="12180" priority="13132">
      <formula>$F53="Direction"</formula>
    </cfRule>
    <cfRule type="expression" dxfId="12179" priority="13133">
      <formula>$F53="Ventes Sicli"</formula>
    </cfRule>
    <cfRule type="expression" dxfId="12178" priority="13134">
      <formula>$F53="Ventes Chubb"</formula>
    </cfRule>
    <cfRule type="expression" dxfId="12177" priority="13135">
      <formula>$F53="SAV Sicli"</formula>
    </cfRule>
    <cfRule type="expression" dxfId="12176" priority="13136">
      <formula>$F53="SAV Chubb"</formula>
    </cfRule>
    <cfRule type="expression" dxfId="12175" priority="13137">
      <formula>$F53="Réalisation"</formula>
    </cfRule>
    <cfRule type="expression" dxfId="12174" priority="13138">
      <formula>$F53="Désenfumage"</formula>
    </cfRule>
    <cfRule type="expression" dxfId="12173" priority="13139">
      <formula>$F53="Administratif"</formula>
    </cfRule>
  </conditionalFormatting>
  <conditionalFormatting sqref="C53:D53">
    <cfRule type="expression" dxfId="12172" priority="13130">
      <formula>$H53="non"</formula>
    </cfRule>
  </conditionalFormatting>
  <conditionalFormatting sqref="C57:D57">
    <cfRule type="expression" dxfId="12171" priority="13121">
      <formula>$F57="Formation CCF"</formula>
    </cfRule>
    <cfRule type="expression" dxfId="12170" priority="13122">
      <formula>$F57="Direction"</formula>
    </cfRule>
    <cfRule type="expression" dxfId="12169" priority="13123">
      <formula>$F57="Ventes Sicli"</formula>
    </cfRule>
    <cfRule type="expression" dxfId="12168" priority="13124">
      <formula>$F57="Ventes Chubb"</formula>
    </cfRule>
    <cfRule type="expression" dxfId="12167" priority="13125">
      <formula>$F57="SAV Sicli"</formula>
    </cfRule>
    <cfRule type="expression" dxfId="12166" priority="13126">
      <formula>$F57="SAV Chubb"</formula>
    </cfRule>
    <cfRule type="expression" dxfId="12165" priority="13127">
      <formula>$F57="Réalisation"</formula>
    </cfRule>
    <cfRule type="expression" dxfId="12164" priority="13128">
      <formula>$F57="Désenfumage"</formula>
    </cfRule>
    <cfRule type="expression" dxfId="12163" priority="13129">
      <formula>$F57="Administratif"</formula>
    </cfRule>
  </conditionalFormatting>
  <conditionalFormatting sqref="C57:D57">
    <cfRule type="expression" dxfId="12162" priority="13120">
      <formula>$H57="non"</formula>
    </cfRule>
  </conditionalFormatting>
  <conditionalFormatting sqref="C56:D56">
    <cfRule type="expression" dxfId="12161" priority="13111">
      <formula>$F56="Formation CCF"</formula>
    </cfRule>
    <cfRule type="expression" dxfId="12160" priority="13112">
      <formula>$F56="Direction"</formula>
    </cfRule>
    <cfRule type="expression" dxfId="12159" priority="13113">
      <formula>$F56="Ventes Sicli"</formula>
    </cfRule>
    <cfRule type="expression" dxfId="12158" priority="13114">
      <formula>$F56="Ventes Chubb"</formula>
    </cfRule>
    <cfRule type="expression" dxfId="12157" priority="13115">
      <formula>$F56="SAV Sicli"</formula>
    </cfRule>
    <cfRule type="expression" dxfId="12156" priority="13116">
      <formula>$F56="SAV Chubb"</formula>
    </cfRule>
    <cfRule type="expression" dxfId="12155" priority="13117">
      <formula>$F56="Réalisation"</formula>
    </cfRule>
    <cfRule type="expression" dxfId="12154" priority="13118">
      <formula>$F56="Désenfumage"</formula>
    </cfRule>
    <cfRule type="expression" dxfId="12153" priority="13119">
      <formula>$F56="Administratif"</formula>
    </cfRule>
  </conditionalFormatting>
  <conditionalFormatting sqref="C56:D56">
    <cfRule type="expression" dxfId="12152" priority="13110">
      <formula>$H56="non"</formula>
    </cfRule>
  </conditionalFormatting>
  <conditionalFormatting sqref="C55:D55">
    <cfRule type="expression" dxfId="12151" priority="13101">
      <formula>$F55="Formation CCF"</formula>
    </cfRule>
    <cfRule type="expression" dxfId="12150" priority="13102">
      <formula>$F55="Direction"</formula>
    </cfRule>
    <cfRule type="expression" dxfId="12149" priority="13103">
      <formula>$F55="Ventes Sicli"</formula>
    </cfRule>
    <cfRule type="expression" dxfId="12148" priority="13104">
      <formula>$F55="Ventes Chubb"</formula>
    </cfRule>
    <cfRule type="expression" dxfId="12147" priority="13105">
      <formula>$F55="SAV Sicli"</formula>
    </cfRule>
    <cfRule type="expression" dxfId="12146" priority="13106">
      <formula>$F55="SAV Chubb"</formula>
    </cfRule>
    <cfRule type="expression" dxfId="12145" priority="13107">
      <formula>$F55="Réalisation"</formula>
    </cfRule>
    <cfRule type="expression" dxfId="12144" priority="13108">
      <formula>$F55="Désenfumage"</formula>
    </cfRule>
    <cfRule type="expression" dxfId="12143" priority="13109">
      <formula>$F55="Administratif"</formula>
    </cfRule>
  </conditionalFormatting>
  <conditionalFormatting sqref="C55:D55">
    <cfRule type="expression" dxfId="12142" priority="13100">
      <formula>$H55="non"</formula>
    </cfRule>
  </conditionalFormatting>
  <conditionalFormatting sqref="C54:D54">
    <cfRule type="expression" dxfId="12141" priority="13091">
      <formula>$F54="Formation CCF"</formula>
    </cfRule>
    <cfRule type="expression" dxfId="12140" priority="13092">
      <formula>$F54="Direction"</formula>
    </cfRule>
    <cfRule type="expression" dxfId="12139" priority="13093">
      <formula>$F54="Ventes Sicli"</formula>
    </cfRule>
    <cfRule type="expression" dxfId="12138" priority="13094">
      <formula>$F54="Ventes Chubb"</formula>
    </cfRule>
    <cfRule type="expression" dxfId="12137" priority="13095">
      <formula>$F54="SAV Sicli"</formula>
    </cfRule>
    <cfRule type="expression" dxfId="12136" priority="13096">
      <formula>$F54="SAV Chubb"</formula>
    </cfRule>
    <cfRule type="expression" dxfId="12135" priority="13097">
      <formula>$F54="Réalisation"</formula>
    </cfRule>
    <cfRule type="expression" dxfId="12134" priority="13098">
      <formula>$F54="Désenfumage"</formula>
    </cfRule>
    <cfRule type="expression" dxfId="12133" priority="13099">
      <formula>$F54="Administratif"</formula>
    </cfRule>
  </conditionalFormatting>
  <conditionalFormatting sqref="C54:D54">
    <cfRule type="expression" dxfId="12132" priority="13090">
      <formula>$H54="non"</formula>
    </cfRule>
  </conditionalFormatting>
  <conditionalFormatting sqref="C53:D53">
    <cfRule type="expression" dxfId="12131" priority="13081">
      <formula>$F53="Formation CCF"</formula>
    </cfRule>
    <cfRule type="expression" dxfId="12130" priority="13082">
      <formula>$F53="Direction"</formula>
    </cfRule>
    <cfRule type="expression" dxfId="12129" priority="13083">
      <formula>$F53="Ventes Sicli"</formula>
    </cfRule>
    <cfRule type="expression" dxfId="12128" priority="13084">
      <formula>$F53="Ventes Chubb"</formula>
    </cfRule>
    <cfRule type="expression" dxfId="12127" priority="13085">
      <formula>$F53="SAV Sicli"</formula>
    </cfRule>
    <cfRule type="expression" dxfId="12126" priority="13086">
      <formula>$F53="SAV Chubb"</formula>
    </cfRule>
    <cfRule type="expression" dxfId="12125" priority="13087">
      <formula>$F53="Réalisation"</formula>
    </cfRule>
    <cfRule type="expression" dxfId="12124" priority="13088">
      <formula>$F53="Désenfumage"</formula>
    </cfRule>
    <cfRule type="expression" dxfId="12123" priority="13089">
      <formula>$F53="Administratif"</formula>
    </cfRule>
  </conditionalFormatting>
  <conditionalFormatting sqref="C53:D53">
    <cfRule type="expression" dxfId="12122" priority="13080">
      <formula>$H53="non"</formula>
    </cfRule>
  </conditionalFormatting>
  <conditionalFormatting sqref="C56:D56">
    <cfRule type="expression" dxfId="12121" priority="13071">
      <formula>$F56="Formation CCF"</formula>
    </cfRule>
    <cfRule type="expression" dxfId="12120" priority="13072">
      <formula>$F56="Direction"</formula>
    </cfRule>
    <cfRule type="expression" dxfId="12119" priority="13073">
      <formula>$F56="Ventes Sicli"</formula>
    </cfRule>
    <cfRule type="expression" dxfId="12118" priority="13074">
      <formula>$F56="Ventes Chubb"</formula>
    </cfRule>
    <cfRule type="expression" dxfId="12117" priority="13075">
      <formula>$F56="SAV Sicli"</formula>
    </cfRule>
    <cfRule type="expression" dxfId="12116" priority="13076">
      <formula>$F56="SAV Chubb"</formula>
    </cfRule>
    <cfRule type="expression" dxfId="12115" priority="13077">
      <formula>$F56="Réalisation"</formula>
    </cfRule>
    <cfRule type="expression" dxfId="12114" priority="13078">
      <formula>$F56="Désenfumage"</formula>
    </cfRule>
    <cfRule type="expression" dxfId="12113" priority="13079">
      <formula>$F56="Administratif"</formula>
    </cfRule>
  </conditionalFormatting>
  <conditionalFormatting sqref="C56:D56">
    <cfRule type="expression" dxfId="12112" priority="13070">
      <formula>$H56="non"</formula>
    </cfRule>
  </conditionalFormatting>
  <conditionalFormatting sqref="C55:D55">
    <cfRule type="expression" dxfId="12111" priority="13061">
      <formula>$F55="Formation CCF"</formula>
    </cfRule>
    <cfRule type="expression" dxfId="12110" priority="13062">
      <formula>$F55="Direction"</formula>
    </cfRule>
    <cfRule type="expression" dxfId="12109" priority="13063">
      <formula>$F55="Ventes Sicli"</formula>
    </cfRule>
    <cfRule type="expression" dxfId="12108" priority="13064">
      <formula>$F55="Ventes Chubb"</formula>
    </cfRule>
    <cfRule type="expression" dxfId="12107" priority="13065">
      <formula>$F55="SAV Sicli"</formula>
    </cfRule>
    <cfRule type="expression" dxfId="12106" priority="13066">
      <formula>$F55="SAV Chubb"</formula>
    </cfRule>
    <cfRule type="expression" dxfId="12105" priority="13067">
      <formula>$F55="Réalisation"</formula>
    </cfRule>
    <cfRule type="expression" dxfId="12104" priority="13068">
      <formula>$F55="Désenfumage"</formula>
    </cfRule>
    <cfRule type="expression" dxfId="12103" priority="13069">
      <formula>$F55="Administratif"</formula>
    </cfRule>
  </conditionalFormatting>
  <conditionalFormatting sqref="C55:D55">
    <cfRule type="expression" dxfId="12102" priority="13060">
      <formula>$H55="non"</formula>
    </cfRule>
  </conditionalFormatting>
  <conditionalFormatting sqref="C54:D54">
    <cfRule type="expression" dxfId="12101" priority="13051">
      <formula>$F54="Formation CCF"</formula>
    </cfRule>
    <cfRule type="expression" dxfId="12100" priority="13052">
      <formula>$F54="Direction"</formula>
    </cfRule>
    <cfRule type="expression" dxfId="12099" priority="13053">
      <formula>$F54="Ventes Sicli"</formula>
    </cfRule>
    <cfRule type="expression" dxfId="12098" priority="13054">
      <formula>$F54="Ventes Chubb"</formula>
    </cfRule>
    <cfRule type="expression" dxfId="12097" priority="13055">
      <formula>$F54="SAV Sicli"</formula>
    </cfRule>
    <cfRule type="expression" dxfId="12096" priority="13056">
      <formula>$F54="SAV Chubb"</formula>
    </cfRule>
    <cfRule type="expression" dxfId="12095" priority="13057">
      <formula>$F54="Réalisation"</formula>
    </cfRule>
    <cfRule type="expression" dxfId="12094" priority="13058">
      <formula>$F54="Désenfumage"</formula>
    </cfRule>
    <cfRule type="expression" dxfId="12093" priority="13059">
      <formula>$F54="Administratif"</formula>
    </cfRule>
  </conditionalFormatting>
  <conditionalFormatting sqref="C54:D54">
    <cfRule type="expression" dxfId="12092" priority="13050">
      <formula>$H54="non"</formula>
    </cfRule>
  </conditionalFormatting>
  <conditionalFormatting sqref="C53:D53">
    <cfRule type="expression" dxfId="12091" priority="13041">
      <formula>$F53="Formation CCF"</formula>
    </cfRule>
    <cfRule type="expression" dxfId="12090" priority="13042">
      <formula>$F53="Direction"</formula>
    </cfRule>
    <cfRule type="expression" dxfId="12089" priority="13043">
      <formula>$F53="Ventes Sicli"</formula>
    </cfRule>
    <cfRule type="expression" dxfId="12088" priority="13044">
      <formula>$F53="Ventes Chubb"</formula>
    </cfRule>
    <cfRule type="expression" dxfId="12087" priority="13045">
      <formula>$F53="SAV Sicli"</formula>
    </cfRule>
    <cfRule type="expression" dxfId="12086" priority="13046">
      <formula>$F53="SAV Chubb"</formula>
    </cfRule>
    <cfRule type="expression" dxfId="12085" priority="13047">
      <formula>$F53="Réalisation"</formula>
    </cfRule>
    <cfRule type="expression" dxfId="12084" priority="13048">
      <formula>$F53="Désenfumage"</formula>
    </cfRule>
    <cfRule type="expression" dxfId="12083" priority="13049">
      <formula>$F53="Administratif"</formula>
    </cfRule>
  </conditionalFormatting>
  <conditionalFormatting sqref="C53:D53">
    <cfRule type="expression" dxfId="12082" priority="13040">
      <formula>$H53="non"</formula>
    </cfRule>
  </conditionalFormatting>
  <conditionalFormatting sqref="C52:D52">
    <cfRule type="expression" dxfId="12081" priority="13031">
      <formula>$F52="Formation CCF"</formula>
    </cfRule>
    <cfRule type="expression" dxfId="12080" priority="13032">
      <formula>$F52="Direction"</formula>
    </cfRule>
    <cfRule type="expression" dxfId="12079" priority="13033">
      <formula>$F52="Ventes Sicli"</formula>
    </cfRule>
    <cfRule type="expression" dxfId="12078" priority="13034">
      <formula>$F52="Ventes Chubb"</formula>
    </cfRule>
    <cfRule type="expression" dxfId="12077" priority="13035">
      <formula>$F52="SAV Sicli"</formula>
    </cfRule>
    <cfRule type="expression" dxfId="12076" priority="13036">
      <formula>$F52="SAV Chubb"</formula>
    </cfRule>
    <cfRule type="expression" dxfId="12075" priority="13037">
      <formula>$F52="Réalisation"</formula>
    </cfRule>
    <cfRule type="expression" dxfId="12074" priority="13038">
      <formula>$F52="Désenfumage"</formula>
    </cfRule>
    <cfRule type="expression" dxfId="12073" priority="13039">
      <formula>$F52="Administratif"</formula>
    </cfRule>
  </conditionalFormatting>
  <conditionalFormatting sqref="C52:D52">
    <cfRule type="expression" dxfId="12072" priority="13030">
      <formula>$H52="non"</formula>
    </cfRule>
  </conditionalFormatting>
  <conditionalFormatting sqref="C60:D60">
    <cfRule type="expression" dxfId="12071" priority="13021">
      <formula>$F60="Formation CCF"</formula>
    </cfRule>
    <cfRule type="expression" dxfId="12070" priority="13022">
      <formula>$F60="Direction"</formula>
    </cfRule>
    <cfRule type="expression" dxfId="12069" priority="13023">
      <formula>$F60="Ventes Sicli"</formula>
    </cfRule>
    <cfRule type="expression" dxfId="12068" priority="13024">
      <formula>$F60="Ventes Chubb"</formula>
    </cfRule>
    <cfRule type="expression" dxfId="12067" priority="13025">
      <formula>$F60="SAV Sicli"</formula>
    </cfRule>
    <cfRule type="expression" dxfId="12066" priority="13026">
      <formula>$F60="SAV Chubb"</formula>
    </cfRule>
    <cfRule type="expression" dxfId="12065" priority="13027">
      <formula>$F60="Réalisation"</formula>
    </cfRule>
    <cfRule type="expression" dxfId="12064" priority="13028">
      <formula>$F60="Désenfumage"</formula>
    </cfRule>
    <cfRule type="expression" dxfId="12063" priority="13029">
      <formula>$F60="Administratif"</formula>
    </cfRule>
  </conditionalFormatting>
  <conditionalFormatting sqref="C60:D60">
    <cfRule type="expression" dxfId="12062" priority="13020">
      <formula>$H60="non"</formula>
    </cfRule>
  </conditionalFormatting>
  <conditionalFormatting sqref="C59:D59">
    <cfRule type="expression" dxfId="12061" priority="13011">
      <formula>$F59="Formation CCF"</formula>
    </cfRule>
    <cfRule type="expression" dxfId="12060" priority="13012">
      <formula>$F59="Direction"</formula>
    </cfRule>
    <cfRule type="expression" dxfId="12059" priority="13013">
      <formula>$F59="Ventes Sicli"</formula>
    </cfRule>
    <cfRule type="expression" dxfId="12058" priority="13014">
      <formula>$F59="Ventes Chubb"</formula>
    </cfRule>
    <cfRule type="expression" dxfId="12057" priority="13015">
      <formula>$F59="SAV Sicli"</formula>
    </cfRule>
    <cfRule type="expression" dxfId="12056" priority="13016">
      <formula>$F59="SAV Chubb"</formula>
    </cfRule>
    <cfRule type="expression" dxfId="12055" priority="13017">
      <formula>$F59="Réalisation"</formula>
    </cfRule>
    <cfRule type="expression" dxfId="12054" priority="13018">
      <formula>$F59="Désenfumage"</formula>
    </cfRule>
    <cfRule type="expression" dxfId="12053" priority="13019">
      <formula>$F59="Administratif"</formula>
    </cfRule>
  </conditionalFormatting>
  <conditionalFormatting sqref="C59:D59">
    <cfRule type="expression" dxfId="12052" priority="13010">
      <formula>$H59="non"</formula>
    </cfRule>
  </conditionalFormatting>
  <conditionalFormatting sqref="C58:D58">
    <cfRule type="expression" dxfId="12051" priority="13001">
      <formula>$F58="Formation CCF"</formula>
    </cfRule>
    <cfRule type="expression" dxfId="12050" priority="13002">
      <formula>$F58="Direction"</formula>
    </cfRule>
    <cfRule type="expression" dxfId="12049" priority="13003">
      <formula>$F58="Ventes Sicli"</formula>
    </cfRule>
    <cfRule type="expression" dxfId="12048" priority="13004">
      <formula>$F58="Ventes Chubb"</formula>
    </cfRule>
    <cfRule type="expression" dxfId="12047" priority="13005">
      <formula>$F58="SAV Sicli"</formula>
    </cfRule>
    <cfRule type="expression" dxfId="12046" priority="13006">
      <formula>$F58="SAV Chubb"</formula>
    </cfRule>
    <cfRule type="expression" dxfId="12045" priority="13007">
      <formula>$F58="Réalisation"</formula>
    </cfRule>
    <cfRule type="expression" dxfId="12044" priority="13008">
      <formula>$F58="Désenfumage"</formula>
    </cfRule>
    <cfRule type="expression" dxfId="12043" priority="13009">
      <formula>$F58="Administratif"</formula>
    </cfRule>
  </conditionalFormatting>
  <conditionalFormatting sqref="C58:D58">
    <cfRule type="expression" dxfId="12042" priority="13000">
      <formula>$H58="non"</formula>
    </cfRule>
  </conditionalFormatting>
  <conditionalFormatting sqref="C57:D57">
    <cfRule type="expression" dxfId="12041" priority="12991">
      <formula>$F57="Formation CCF"</formula>
    </cfRule>
    <cfRule type="expression" dxfId="12040" priority="12992">
      <formula>$F57="Direction"</formula>
    </cfRule>
    <cfRule type="expression" dxfId="12039" priority="12993">
      <formula>$F57="Ventes Sicli"</formula>
    </cfRule>
    <cfRule type="expression" dxfId="12038" priority="12994">
      <formula>$F57="Ventes Chubb"</formula>
    </cfRule>
    <cfRule type="expression" dxfId="12037" priority="12995">
      <formula>$F57="SAV Sicli"</formula>
    </cfRule>
    <cfRule type="expression" dxfId="12036" priority="12996">
      <formula>$F57="SAV Chubb"</formula>
    </cfRule>
    <cfRule type="expression" dxfId="12035" priority="12997">
      <formula>$F57="Réalisation"</formula>
    </cfRule>
    <cfRule type="expression" dxfId="12034" priority="12998">
      <formula>$F57="Désenfumage"</formula>
    </cfRule>
    <cfRule type="expression" dxfId="12033" priority="12999">
      <formula>$F57="Administratif"</formula>
    </cfRule>
  </conditionalFormatting>
  <conditionalFormatting sqref="C57:D57">
    <cfRule type="expression" dxfId="12032" priority="12990">
      <formula>$H57="non"</formula>
    </cfRule>
  </conditionalFormatting>
  <conditionalFormatting sqref="C56:D56">
    <cfRule type="expression" dxfId="12031" priority="12981">
      <formula>$F56="Formation CCF"</formula>
    </cfRule>
    <cfRule type="expression" dxfId="12030" priority="12982">
      <formula>$F56="Direction"</formula>
    </cfRule>
    <cfRule type="expression" dxfId="12029" priority="12983">
      <formula>$F56="Ventes Sicli"</formula>
    </cfRule>
    <cfRule type="expression" dxfId="12028" priority="12984">
      <formula>$F56="Ventes Chubb"</formula>
    </cfRule>
    <cfRule type="expression" dxfId="12027" priority="12985">
      <formula>$F56="SAV Sicli"</formula>
    </cfRule>
    <cfRule type="expression" dxfId="12026" priority="12986">
      <formula>$F56="SAV Chubb"</formula>
    </cfRule>
    <cfRule type="expression" dxfId="12025" priority="12987">
      <formula>$F56="Réalisation"</formula>
    </cfRule>
    <cfRule type="expression" dxfId="12024" priority="12988">
      <formula>$F56="Désenfumage"</formula>
    </cfRule>
    <cfRule type="expression" dxfId="12023" priority="12989">
      <formula>$F56="Administratif"</formula>
    </cfRule>
  </conditionalFormatting>
  <conditionalFormatting sqref="C56:D56">
    <cfRule type="expression" dxfId="12022" priority="12980">
      <formula>$H56="non"</formula>
    </cfRule>
  </conditionalFormatting>
  <conditionalFormatting sqref="C55:D55">
    <cfRule type="expression" dxfId="12021" priority="12971">
      <formula>$F55="Formation CCF"</formula>
    </cfRule>
    <cfRule type="expression" dxfId="12020" priority="12972">
      <formula>$F55="Direction"</formula>
    </cfRule>
    <cfRule type="expression" dxfId="12019" priority="12973">
      <formula>$F55="Ventes Sicli"</formula>
    </cfRule>
    <cfRule type="expression" dxfId="12018" priority="12974">
      <formula>$F55="Ventes Chubb"</formula>
    </cfRule>
    <cfRule type="expression" dxfId="12017" priority="12975">
      <formula>$F55="SAV Sicli"</formula>
    </cfRule>
    <cfRule type="expression" dxfId="12016" priority="12976">
      <formula>$F55="SAV Chubb"</formula>
    </cfRule>
    <cfRule type="expression" dxfId="12015" priority="12977">
      <formula>$F55="Réalisation"</formula>
    </cfRule>
    <cfRule type="expression" dxfId="12014" priority="12978">
      <formula>$F55="Désenfumage"</formula>
    </cfRule>
    <cfRule type="expression" dxfId="12013" priority="12979">
      <formula>$F55="Administratif"</formula>
    </cfRule>
  </conditionalFormatting>
  <conditionalFormatting sqref="C55:D55">
    <cfRule type="expression" dxfId="12012" priority="12970">
      <formula>$H55="non"</formula>
    </cfRule>
  </conditionalFormatting>
  <conditionalFormatting sqref="D53">
    <cfRule type="expression" dxfId="12011" priority="12961">
      <formula>$F53="Formation CCF"</formula>
    </cfRule>
    <cfRule type="expression" dxfId="12010" priority="12962">
      <formula>$F53="Direction"</formula>
    </cfRule>
    <cfRule type="expression" dxfId="12009" priority="12963">
      <formula>$F53="Ventes Sicli"</formula>
    </cfRule>
    <cfRule type="expression" dxfId="12008" priority="12964">
      <formula>$F53="Ventes Chubb"</formula>
    </cfRule>
    <cfRule type="expression" dxfId="12007" priority="12965">
      <formula>$F53="SAV Sicli"</formula>
    </cfRule>
    <cfRule type="expression" dxfId="12006" priority="12966">
      <formula>$F53="SAV Chubb"</formula>
    </cfRule>
    <cfRule type="expression" dxfId="12005" priority="12967">
      <formula>$F53="Réalisation"</formula>
    </cfRule>
    <cfRule type="expression" dxfId="12004" priority="12968">
      <formula>$F53="Désenfumage"</formula>
    </cfRule>
    <cfRule type="expression" dxfId="12003" priority="12969">
      <formula>$F53="Administratif"</formula>
    </cfRule>
  </conditionalFormatting>
  <conditionalFormatting sqref="D53">
    <cfRule type="expression" dxfId="12002" priority="12960">
      <formula>$H53="non"</formula>
    </cfRule>
  </conditionalFormatting>
  <conditionalFormatting sqref="D52">
    <cfRule type="expression" dxfId="12001" priority="12951">
      <formula>$F52="Formation CCF"</formula>
    </cfRule>
    <cfRule type="expression" dxfId="12000" priority="12952">
      <formula>$F52="Direction"</formula>
    </cfRule>
    <cfRule type="expression" dxfId="11999" priority="12953">
      <formula>$F52="Ventes Sicli"</formula>
    </cfRule>
    <cfRule type="expression" dxfId="11998" priority="12954">
      <formula>$F52="Ventes Chubb"</formula>
    </cfRule>
    <cfRule type="expression" dxfId="11997" priority="12955">
      <formula>$F52="SAV Sicli"</formula>
    </cfRule>
    <cfRule type="expression" dxfId="11996" priority="12956">
      <formula>$F52="SAV Chubb"</formula>
    </cfRule>
    <cfRule type="expression" dxfId="11995" priority="12957">
      <formula>$F52="Réalisation"</formula>
    </cfRule>
    <cfRule type="expression" dxfId="11994" priority="12958">
      <formula>$F52="Désenfumage"</formula>
    </cfRule>
    <cfRule type="expression" dxfId="11993" priority="12959">
      <formula>$F52="Administratif"</formula>
    </cfRule>
  </conditionalFormatting>
  <conditionalFormatting sqref="D52">
    <cfRule type="expression" dxfId="11992" priority="12950">
      <formula>$H52="non"</formula>
    </cfRule>
  </conditionalFormatting>
  <conditionalFormatting sqref="D52">
    <cfRule type="expression" dxfId="11991" priority="12941">
      <formula>$F52="Formation CCF"</formula>
    </cfRule>
    <cfRule type="expression" dxfId="11990" priority="12942">
      <formula>$F52="Direction"</formula>
    </cfRule>
    <cfRule type="expression" dxfId="11989" priority="12943">
      <formula>$F52="Ventes Sicli"</formula>
    </cfRule>
    <cfRule type="expression" dxfId="11988" priority="12944">
      <formula>$F52="Ventes Chubb"</formula>
    </cfRule>
    <cfRule type="expression" dxfId="11987" priority="12945">
      <formula>$F52="SAV Sicli"</formula>
    </cfRule>
    <cfRule type="expression" dxfId="11986" priority="12946">
      <formula>$F52="SAV Chubb"</formula>
    </cfRule>
    <cfRule type="expression" dxfId="11985" priority="12947">
      <formula>$F52="Réalisation"</formula>
    </cfRule>
    <cfRule type="expression" dxfId="11984" priority="12948">
      <formula>$F52="Désenfumage"</formula>
    </cfRule>
    <cfRule type="expression" dxfId="11983" priority="12949">
      <formula>$F52="Administratif"</formula>
    </cfRule>
  </conditionalFormatting>
  <conditionalFormatting sqref="D52">
    <cfRule type="expression" dxfId="11982" priority="12940">
      <formula>$H52="non"</formula>
    </cfRule>
  </conditionalFormatting>
  <conditionalFormatting sqref="C58:D58">
    <cfRule type="expression" dxfId="11981" priority="12931">
      <formula>$F58="Formation CCF"</formula>
    </cfRule>
    <cfRule type="expression" dxfId="11980" priority="12932">
      <formula>$F58="Direction"</formula>
    </cfRule>
    <cfRule type="expression" dxfId="11979" priority="12933">
      <formula>$F58="Ventes Sicli"</formula>
    </cfRule>
    <cfRule type="expression" dxfId="11978" priority="12934">
      <formula>$F58="Ventes Chubb"</formula>
    </cfRule>
    <cfRule type="expression" dxfId="11977" priority="12935">
      <formula>$F58="SAV Sicli"</formula>
    </cfRule>
    <cfRule type="expression" dxfId="11976" priority="12936">
      <formula>$F58="SAV Chubb"</formula>
    </cfRule>
    <cfRule type="expression" dxfId="11975" priority="12937">
      <formula>$F58="Réalisation"</formula>
    </cfRule>
    <cfRule type="expression" dxfId="11974" priority="12938">
      <formula>$F58="Désenfumage"</formula>
    </cfRule>
    <cfRule type="expression" dxfId="11973" priority="12939">
      <formula>$F58="Administratif"</formula>
    </cfRule>
  </conditionalFormatting>
  <conditionalFormatting sqref="C58:D58">
    <cfRule type="expression" dxfId="11972" priority="12930">
      <formula>$H58="non"</formula>
    </cfRule>
  </conditionalFormatting>
  <conditionalFormatting sqref="C57:D57">
    <cfRule type="expression" dxfId="11971" priority="12921">
      <formula>$F57="Formation CCF"</formula>
    </cfRule>
    <cfRule type="expression" dxfId="11970" priority="12922">
      <formula>$F57="Direction"</formula>
    </cfRule>
    <cfRule type="expression" dxfId="11969" priority="12923">
      <formula>$F57="Ventes Sicli"</formula>
    </cfRule>
    <cfRule type="expression" dxfId="11968" priority="12924">
      <formula>$F57="Ventes Chubb"</formula>
    </cfRule>
    <cfRule type="expression" dxfId="11967" priority="12925">
      <formula>$F57="SAV Sicli"</formula>
    </cfRule>
    <cfRule type="expression" dxfId="11966" priority="12926">
      <formula>$F57="SAV Chubb"</formula>
    </cfRule>
    <cfRule type="expression" dxfId="11965" priority="12927">
      <formula>$F57="Réalisation"</formula>
    </cfRule>
    <cfRule type="expression" dxfId="11964" priority="12928">
      <formula>$F57="Désenfumage"</formula>
    </cfRule>
    <cfRule type="expression" dxfId="11963" priority="12929">
      <formula>$F57="Administratif"</formula>
    </cfRule>
  </conditionalFormatting>
  <conditionalFormatting sqref="C57:D57">
    <cfRule type="expression" dxfId="11962" priority="12920">
      <formula>$H57="non"</formula>
    </cfRule>
  </conditionalFormatting>
  <conditionalFormatting sqref="C56:D56">
    <cfRule type="expression" dxfId="11961" priority="12911">
      <formula>$F56="Formation CCF"</formula>
    </cfRule>
    <cfRule type="expression" dxfId="11960" priority="12912">
      <formula>$F56="Direction"</formula>
    </cfRule>
    <cfRule type="expression" dxfId="11959" priority="12913">
      <formula>$F56="Ventes Sicli"</formula>
    </cfRule>
    <cfRule type="expression" dxfId="11958" priority="12914">
      <formula>$F56="Ventes Chubb"</formula>
    </cfRule>
    <cfRule type="expression" dxfId="11957" priority="12915">
      <formula>$F56="SAV Sicli"</formula>
    </cfRule>
    <cfRule type="expression" dxfId="11956" priority="12916">
      <formula>$F56="SAV Chubb"</formula>
    </cfRule>
    <cfRule type="expression" dxfId="11955" priority="12917">
      <formula>$F56="Réalisation"</formula>
    </cfRule>
    <cfRule type="expression" dxfId="11954" priority="12918">
      <formula>$F56="Désenfumage"</formula>
    </cfRule>
    <cfRule type="expression" dxfId="11953" priority="12919">
      <formula>$F56="Administratif"</formula>
    </cfRule>
  </conditionalFormatting>
  <conditionalFormatting sqref="C56:D56">
    <cfRule type="expression" dxfId="11952" priority="12910">
      <formula>$H56="non"</formula>
    </cfRule>
  </conditionalFormatting>
  <conditionalFormatting sqref="C55:D55">
    <cfRule type="expression" dxfId="11951" priority="12901">
      <formula>$F55="Formation CCF"</formula>
    </cfRule>
    <cfRule type="expression" dxfId="11950" priority="12902">
      <formula>$F55="Direction"</formula>
    </cfRule>
    <cfRule type="expression" dxfId="11949" priority="12903">
      <formula>$F55="Ventes Sicli"</formula>
    </cfRule>
    <cfRule type="expression" dxfId="11948" priority="12904">
      <formula>$F55="Ventes Chubb"</formula>
    </cfRule>
    <cfRule type="expression" dxfId="11947" priority="12905">
      <formula>$F55="SAV Sicli"</formula>
    </cfRule>
    <cfRule type="expression" dxfId="11946" priority="12906">
      <formula>$F55="SAV Chubb"</formula>
    </cfRule>
    <cfRule type="expression" dxfId="11945" priority="12907">
      <formula>$F55="Réalisation"</formula>
    </cfRule>
    <cfRule type="expression" dxfId="11944" priority="12908">
      <formula>$F55="Désenfumage"</formula>
    </cfRule>
    <cfRule type="expression" dxfId="11943" priority="12909">
      <formula>$F55="Administratif"</formula>
    </cfRule>
  </conditionalFormatting>
  <conditionalFormatting sqref="C55:D55">
    <cfRule type="expression" dxfId="11942" priority="12900">
      <formula>$H55="non"</formula>
    </cfRule>
  </conditionalFormatting>
  <conditionalFormatting sqref="C54:D54">
    <cfRule type="expression" dxfId="11941" priority="12891">
      <formula>$F54="Formation CCF"</formula>
    </cfRule>
    <cfRule type="expression" dxfId="11940" priority="12892">
      <formula>$F54="Direction"</formula>
    </cfRule>
    <cfRule type="expression" dxfId="11939" priority="12893">
      <formula>$F54="Ventes Sicli"</formula>
    </cfRule>
    <cfRule type="expression" dxfId="11938" priority="12894">
      <formula>$F54="Ventes Chubb"</formula>
    </cfRule>
    <cfRule type="expression" dxfId="11937" priority="12895">
      <formula>$F54="SAV Sicli"</formula>
    </cfRule>
    <cfRule type="expression" dxfId="11936" priority="12896">
      <formula>$F54="SAV Chubb"</formula>
    </cfRule>
    <cfRule type="expression" dxfId="11935" priority="12897">
      <formula>$F54="Réalisation"</formula>
    </cfRule>
    <cfRule type="expression" dxfId="11934" priority="12898">
      <formula>$F54="Désenfumage"</formula>
    </cfRule>
    <cfRule type="expression" dxfId="11933" priority="12899">
      <formula>$F54="Administratif"</formula>
    </cfRule>
  </conditionalFormatting>
  <conditionalFormatting sqref="C54:D54">
    <cfRule type="expression" dxfId="11932" priority="12890">
      <formula>$H54="non"</formula>
    </cfRule>
  </conditionalFormatting>
  <conditionalFormatting sqref="D52">
    <cfRule type="expression" dxfId="11931" priority="12881">
      <formula>$F52="Formation CCF"</formula>
    </cfRule>
    <cfRule type="expression" dxfId="11930" priority="12882">
      <formula>$F52="Direction"</formula>
    </cfRule>
    <cfRule type="expression" dxfId="11929" priority="12883">
      <formula>$F52="Ventes Sicli"</formula>
    </cfRule>
    <cfRule type="expression" dxfId="11928" priority="12884">
      <formula>$F52="Ventes Chubb"</formula>
    </cfRule>
    <cfRule type="expression" dxfId="11927" priority="12885">
      <formula>$F52="SAV Sicli"</formula>
    </cfRule>
    <cfRule type="expression" dxfId="11926" priority="12886">
      <formula>$F52="SAV Chubb"</formula>
    </cfRule>
    <cfRule type="expression" dxfId="11925" priority="12887">
      <formula>$F52="Réalisation"</formula>
    </cfRule>
    <cfRule type="expression" dxfId="11924" priority="12888">
      <formula>$F52="Désenfumage"</formula>
    </cfRule>
    <cfRule type="expression" dxfId="11923" priority="12889">
      <formula>$F52="Administratif"</formula>
    </cfRule>
  </conditionalFormatting>
  <conditionalFormatting sqref="D52">
    <cfRule type="expression" dxfId="11922" priority="12880">
      <formula>$H52="non"</formula>
    </cfRule>
  </conditionalFormatting>
  <conditionalFormatting sqref="C58:D58">
    <cfRule type="expression" dxfId="11921" priority="12871">
      <formula>$F58="Formation CCF"</formula>
    </cfRule>
    <cfRule type="expression" dxfId="11920" priority="12872">
      <formula>$F58="Direction"</formula>
    </cfRule>
    <cfRule type="expression" dxfId="11919" priority="12873">
      <formula>$F58="Ventes Sicli"</formula>
    </cfRule>
    <cfRule type="expression" dxfId="11918" priority="12874">
      <formula>$F58="Ventes Chubb"</formula>
    </cfRule>
    <cfRule type="expression" dxfId="11917" priority="12875">
      <formula>$F58="SAV Sicli"</formula>
    </cfRule>
    <cfRule type="expression" dxfId="11916" priority="12876">
      <formula>$F58="SAV Chubb"</formula>
    </cfRule>
    <cfRule type="expression" dxfId="11915" priority="12877">
      <formula>$F58="Réalisation"</formula>
    </cfRule>
    <cfRule type="expression" dxfId="11914" priority="12878">
      <formula>$F58="Désenfumage"</formula>
    </cfRule>
    <cfRule type="expression" dxfId="11913" priority="12879">
      <formula>$F58="Administratif"</formula>
    </cfRule>
  </conditionalFormatting>
  <conditionalFormatting sqref="C58:D58">
    <cfRule type="expression" dxfId="11912" priority="12870">
      <formula>$H58="non"</formula>
    </cfRule>
  </conditionalFormatting>
  <conditionalFormatting sqref="C57:D57">
    <cfRule type="expression" dxfId="11911" priority="12861">
      <formula>$F57="Formation CCF"</formula>
    </cfRule>
    <cfRule type="expression" dxfId="11910" priority="12862">
      <formula>$F57="Direction"</formula>
    </cfRule>
    <cfRule type="expression" dxfId="11909" priority="12863">
      <formula>$F57="Ventes Sicli"</formula>
    </cfRule>
    <cfRule type="expression" dxfId="11908" priority="12864">
      <formula>$F57="Ventes Chubb"</formula>
    </cfRule>
    <cfRule type="expression" dxfId="11907" priority="12865">
      <formula>$F57="SAV Sicli"</formula>
    </cfRule>
    <cfRule type="expression" dxfId="11906" priority="12866">
      <formula>$F57="SAV Chubb"</formula>
    </cfRule>
    <cfRule type="expression" dxfId="11905" priority="12867">
      <formula>$F57="Réalisation"</formula>
    </cfRule>
    <cfRule type="expression" dxfId="11904" priority="12868">
      <formula>$F57="Désenfumage"</formula>
    </cfRule>
    <cfRule type="expression" dxfId="11903" priority="12869">
      <formula>$F57="Administratif"</formula>
    </cfRule>
  </conditionalFormatting>
  <conditionalFormatting sqref="C57:D57">
    <cfRule type="expression" dxfId="11902" priority="12860">
      <formula>$H57="non"</formula>
    </cfRule>
  </conditionalFormatting>
  <conditionalFormatting sqref="C56:D56">
    <cfRule type="expression" dxfId="11901" priority="12851">
      <formula>$F56="Formation CCF"</formula>
    </cfRule>
    <cfRule type="expression" dxfId="11900" priority="12852">
      <formula>$F56="Direction"</formula>
    </cfRule>
    <cfRule type="expression" dxfId="11899" priority="12853">
      <formula>$F56="Ventes Sicli"</formula>
    </cfRule>
    <cfRule type="expression" dxfId="11898" priority="12854">
      <formula>$F56="Ventes Chubb"</formula>
    </cfRule>
    <cfRule type="expression" dxfId="11897" priority="12855">
      <formula>$F56="SAV Sicli"</formula>
    </cfRule>
    <cfRule type="expression" dxfId="11896" priority="12856">
      <formula>$F56="SAV Chubb"</formula>
    </cfRule>
    <cfRule type="expression" dxfId="11895" priority="12857">
      <formula>$F56="Réalisation"</formula>
    </cfRule>
    <cfRule type="expression" dxfId="11894" priority="12858">
      <formula>$F56="Désenfumage"</formula>
    </cfRule>
    <cfRule type="expression" dxfId="11893" priority="12859">
      <formula>$F56="Administratif"</formula>
    </cfRule>
  </conditionalFormatting>
  <conditionalFormatting sqref="C56:D56">
    <cfRule type="expression" dxfId="11892" priority="12850">
      <formula>$H56="non"</formula>
    </cfRule>
  </conditionalFormatting>
  <conditionalFormatting sqref="C55:D55">
    <cfRule type="expression" dxfId="11891" priority="12841">
      <formula>$F55="Formation CCF"</formula>
    </cfRule>
    <cfRule type="expression" dxfId="11890" priority="12842">
      <formula>$F55="Direction"</formula>
    </cfRule>
    <cfRule type="expression" dxfId="11889" priority="12843">
      <formula>$F55="Ventes Sicli"</formula>
    </cfRule>
    <cfRule type="expression" dxfId="11888" priority="12844">
      <formula>$F55="Ventes Chubb"</formula>
    </cfRule>
    <cfRule type="expression" dxfId="11887" priority="12845">
      <formula>$F55="SAV Sicli"</formula>
    </cfRule>
    <cfRule type="expression" dxfId="11886" priority="12846">
      <formula>$F55="SAV Chubb"</formula>
    </cfRule>
    <cfRule type="expression" dxfId="11885" priority="12847">
      <formula>$F55="Réalisation"</formula>
    </cfRule>
    <cfRule type="expression" dxfId="11884" priority="12848">
      <formula>$F55="Désenfumage"</formula>
    </cfRule>
    <cfRule type="expression" dxfId="11883" priority="12849">
      <formula>$F55="Administratif"</formula>
    </cfRule>
  </conditionalFormatting>
  <conditionalFormatting sqref="C55:D55">
    <cfRule type="expression" dxfId="11882" priority="12840">
      <formula>$H55="non"</formula>
    </cfRule>
  </conditionalFormatting>
  <conditionalFormatting sqref="C54:D54">
    <cfRule type="expression" dxfId="11881" priority="12831">
      <formula>$F54="Formation CCF"</formula>
    </cfRule>
    <cfRule type="expression" dxfId="11880" priority="12832">
      <formula>$F54="Direction"</formula>
    </cfRule>
    <cfRule type="expression" dxfId="11879" priority="12833">
      <formula>$F54="Ventes Sicli"</formula>
    </cfRule>
    <cfRule type="expression" dxfId="11878" priority="12834">
      <formula>$F54="Ventes Chubb"</formula>
    </cfRule>
    <cfRule type="expression" dxfId="11877" priority="12835">
      <formula>$F54="SAV Sicli"</formula>
    </cfRule>
    <cfRule type="expression" dxfId="11876" priority="12836">
      <formula>$F54="SAV Chubb"</formula>
    </cfRule>
    <cfRule type="expression" dxfId="11875" priority="12837">
      <formula>$F54="Réalisation"</formula>
    </cfRule>
    <cfRule type="expression" dxfId="11874" priority="12838">
      <formula>$F54="Désenfumage"</formula>
    </cfRule>
    <cfRule type="expression" dxfId="11873" priority="12839">
      <formula>$F54="Administratif"</formula>
    </cfRule>
  </conditionalFormatting>
  <conditionalFormatting sqref="C54:D54">
    <cfRule type="expression" dxfId="11872" priority="12830">
      <formula>$H54="non"</formula>
    </cfRule>
  </conditionalFormatting>
  <conditionalFormatting sqref="D52">
    <cfRule type="expression" dxfId="11871" priority="12821">
      <formula>$F52="Formation CCF"</formula>
    </cfRule>
    <cfRule type="expression" dxfId="11870" priority="12822">
      <formula>$F52="Direction"</formula>
    </cfRule>
    <cfRule type="expression" dxfId="11869" priority="12823">
      <formula>$F52="Ventes Sicli"</formula>
    </cfRule>
    <cfRule type="expression" dxfId="11868" priority="12824">
      <formula>$F52="Ventes Chubb"</formula>
    </cfRule>
    <cfRule type="expression" dxfId="11867" priority="12825">
      <formula>$F52="SAV Sicli"</formula>
    </cfRule>
    <cfRule type="expression" dxfId="11866" priority="12826">
      <formula>$F52="SAV Chubb"</formula>
    </cfRule>
    <cfRule type="expression" dxfId="11865" priority="12827">
      <formula>$F52="Réalisation"</formula>
    </cfRule>
    <cfRule type="expression" dxfId="11864" priority="12828">
      <formula>$F52="Désenfumage"</formula>
    </cfRule>
    <cfRule type="expression" dxfId="11863" priority="12829">
      <formula>$F52="Administratif"</formula>
    </cfRule>
  </conditionalFormatting>
  <conditionalFormatting sqref="D52">
    <cfRule type="expression" dxfId="11862" priority="12820">
      <formula>$H52="non"</formula>
    </cfRule>
  </conditionalFormatting>
  <conditionalFormatting sqref="C57:D57">
    <cfRule type="expression" dxfId="11861" priority="12811">
      <formula>$F57="Formation CCF"</formula>
    </cfRule>
    <cfRule type="expression" dxfId="11860" priority="12812">
      <formula>$F57="Direction"</formula>
    </cfRule>
    <cfRule type="expression" dxfId="11859" priority="12813">
      <formula>$F57="Ventes Sicli"</formula>
    </cfRule>
    <cfRule type="expression" dxfId="11858" priority="12814">
      <formula>$F57="Ventes Chubb"</formula>
    </cfRule>
    <cfRule type="expression" dxfId="11857" priority="12815">
      <formula>$F57="SAV Sicli"</formula>
    </cfRule>
    <cfRule type="expression" dxfId="11856" priority="12816">
      <formula>$F57="SAV Chubb"</formula>
    </cfRule>
    <cfRule type="expression" dxfId="11855" priority="12817">
      <formula>$F57="Réalisation"</formula>
    </cfRule>
    <cfRule type="expression" dxfId="11854" priority="12818">
      <formula>$F57="Désenfumage"</formula>
    </cfRule>
    <cfRule type="expression" dxfId="11853" priority="12819">
      <formula>$F57="Administratif"</formula>
    </cfRule>
  </conditionalFormatting>
  <conditionalFormatting sqref="C57:D57">
    <cfRule type="expression" dxfId="11852" priority="12810">
      <formula>$H57="non"</formula>
    </cfRule>
  </conditionalFormatting>
  <conditionalFormatting sqref="C56:D56">
    <cfRule type="expression" dxfId="11851" priority="12801">
      <formula>$F56="Formation CCF"</formula>
    </cfRule>
    <cfRule type="expression" dxfId="11850" priority="12802">
      <formula>$F56="Direction"</formula>
    </cfRule>
    <cfRule type="expression" dxfId="11849" priority="12803">
      <formula>$F56="Ventes Sicli"</formula>
    </cfRule>
    <cfRule type="expression" dxfId="11848" priority="12804">
      <formula>$F56="Ventes Chubb"</formula>
    </cfRule>
    <cfRule type="expression" dxfId="11847" priority="12805">
      <formula>$F56="SAV Sicli"</formula>
    </cfRule>
    <cfRule type="expression" dxfId="11846" priority="12806">
      <formula>$F56="SAV Chubb"</formula>
    </cfRule>
    <cfRule type="expression" dxfId="11845" priority="12807">
      <formula>$F56="Réalisation"</formula>
    </cfRule>
    <cfRule type="expression" dxfId="11844" priority="12808">
      <formula>$F56="Désenfumage"</formula>
    </cfRule>
    <cfRule type="expression" dxfId="11843" priority="12809">
      <formula>$F56="Administratif"</formula>
    </cfRule>
  </conditionalFormatting>
  <conditionalFormatting sqref="C56:D56">
    <cfRule type="expression" dxfId="11842" priority="12800">
      <formula>$H56="non"</formula>
    </cfRule>
  </conditionalFormatting>
  <conditionalFormatting sqref="C55:D55">
    <cfRule type="expression" dxfId="11841" priority="12791">
      <formula>$F55="Formation CCF"</formula>
    </cfRule>
    <cfRule type="expression" dxfId="11840" priority="12792">
      <formula>$F55="Direction"</formula>
    </cfRule>
    <cfRule type="expression" dxfId="11839" priority="12793">
      <formula>$F55="Ventes Sicli"</formula>
    </cfRule>
    <cfRule type="expression" dxfId="11838" priority="12794">
      <formula>$F55="Ventes Chubb"</formula>
    </cfRule>
    <cfRule type="expression" dxfId="11837" priority="12795">
      <formula>$F55="SAV Sicli"</formula>
    </cfRule>
    <cfRule type="expression" dxfId="11836" priority="12796">
      <formula>$F55="SAV Chubb"</formula>
    </cfRule>
    <cfRule type="expression" dxfId="11835" priority="12797">
      <formula>$F55="Réalisation"</formula>
    </cfRule>
    <cfRule type="expression" dxfId="11834" priority="12798">
      <formula>$F55="Désenfumage"</formula>
    </cfRule>
    <cfRule type="expression" dxfId="11833" priority="12799">
      <formula>$F55="Administratif"</formula>
    </cfRule>
  </conditionalFormatting>
  <conditionalFormatting sqref="C55:D55">
    <cfRule type="expression" dxfId="11832" priority="12790">
      <formula>$H55="non"</formula>
    </cfRule>
  </conditionalFormatting>
  <conditionalFormatting sqref="C54:D54">
    <cfRule type="expression" dxfId="11831" priority="12781">
      <formula>$F54="Formation CCF"</formula>
    </cfRule>
    <cfRule type="expression" dxfId="11830" priority="12782">
      <formula>$F54="Direction"</formula>
    </cfRule>
    <cfRule type="expression" dxfId="11829" priority="12783">
      <formula>$F54="Ventes Sicli"</formula>
    </cfRule>
    <cfRule type="expression" dxfId="11828" priority="12784">
      <formula>$F54="Ventes Chubb"</formula>
    </cfRule>
    <cfRule type="expression" dxfId="11827" priority="12785">
      <formula>$F54="SAV Sicli"</formula>
    </cfRule>
    <cfRule type="expression" dxfId="11826" priority="12786">
      <formula>$F54="SAV Chubb"</formula>
    </cfRule>
    <cfRule type="expression" dxfId="11825" priority="12787">
      <formula>$F54="Réalisation"</formula>
    </cfRule>
    <cfRule type="expression" dxfId="11824" priority="12788">
      <formula>$F54="Désenfumage"</formula>
    </cfRule>
    <cfRule type="expression" dxfId="11823" priority="12789">
      <formula>$F54="Administratif"</formula>
    </cfRule>
  </conditionalFormatting>
  <conditionalFormatting sqref="C54:D54">
    <cfRule type="expression" dxfId="11822" priority="12780">
      <formula>$H54="non"</formula>
    </cfRule>
  </conditionalFormatting>
  <conditionalFormatting sqref="C53:D53">
    <cfRule type="expression" dxfId="11821" priority="12771">
      <formula>$F53="Formation CCF"</formula>
    </cfRule>
    <cfRule type="expression" dxfId="11820" priority="12772">
      <formula>$F53="Direction"</formula>
    </cfRule>
    <cfRule type="expression" dxfId="11819" priority="12773">
      <formula>$F53="Ventes Sicli"</formula>
    </cfRule>
    <cfRule type="expression" dxfId="11818" priority="12774">
      <formula>$F53="Ventes Chubb"</formula>
    </cfRule>
    <cfRule type="expression" dxfId="11817" priority="12775">
      <formula>$F53="SAV Sicli"</formula>
    </cfRule>
    <cfRule type="expression" dxfId="11816" priority="12776">
      <formula>$F53="SAV Chubb"</formula>
    </cfRule>
    <cfRule type="expression" dxfId="11815" priority="12777">
      <formula>$F53="Réalisation"</formula>
    </cfRule>
    <cfRule type="expression" dxfId="11814" priority="12778">
      <formula>$F53="Désenfumage"</formula>
    </cfRule>
    <cfRule type="expression" dxfId="11813" priority="12779">
      <formula>$F53="Administratif"</formula>
    </cfRule>
  </conditionalFormatting>
  <conditionalFormatting sqref="C53:D53">
    <cfRule type="expression" dxfId="11812" priority="12770">
      <formula>$H53="non"</formula>
    </cfRule>
  </conditionalFormatting>
  <conditionalFormatting sqref="C44:D44">
    <cfRule type="expression" dxfId="11811" priority="12761">
      <formula>$F44="Formation CCF"</formula>
    </cfRule>
    <cfRule type="expression" dxfId="11810" priority="12762">
      <formula>$F44="Direction"</formula>
    </cfRule>
    <cfRule type="expression" dxfId="11809" priority="12763">
      <formula>$F44="Ventes Sicli"</formula>
    </cfRule>
    <cfRule type="expression" dxfId="11808" priority="12764">
      <formula>$F44="Ventes Chubb"</formula>
    </cfRule>
    <cfRule type="expression" dxfId="11807" priority="12765">
      <formula>$F44="SAV Sicli"</formula>
    </cfRule>
    <cfRule type="expression" dxfId="11806" priority="12766">
      <formula>$F44="SAV Chubb"</formula>
    </cfRule>
    <cfRule type="expression" dxfId="11805" priority="12767">
      <formula>$F44="Réalisation"</formula>
    </cfRule>
    <cfRule type="expression" dxfId="11804" priority="12768">
      <formula>$F44="Désenfumage"</formula>
    </cfRule>
    <cfRule type="expression" dxfId="11803" priority="12769">
      <formula>$F44="Administratif"</formula>
    </cfRule>
  </conditionalFormatting>
  <conditionalFormatting sqref="C44:D44">
    <cfRule type="expression" dxfId="11802" priority="12760">
      <formula>$H44="non"</formula>
    </cfRule>
  </conditionalFormatting>
  <conditionalFormatting sqref="D48">
    <cfRule type="expression" dxfId="11801" priority="12471">
      <formula>$F48="Formation CCF"</formula>
    </cfRule>
    <cfRule type="expression" dxfId="11800" priority="12472">
      <formula>$F48="Direction"</formula>
    </cfRule>
    <cfRule type="expression" dxfId="11799" priority="12473">
      <formula>$F48="Ventes Sicli"</formula>
    </cfRule>
    <cfRule type="expression" dxfId="11798" priority="12474">
      <formula>$F48="Ventes Chubb"</formula>
    </cfRule>
    <cfRule type="expression" dxfId="11797" priority="12475">
      <formula>$F48="SAV Sicli"</formula>
    </cfRule>
    <cfRule type="expression" dxfId="11796" priority="12476">
      <formula>$F48="SAV Chubb"</formula>
    </cfRule>
    <cfRule type="expression" dxfId="11795" priority="12477">
      <formula>$F48="Réalisation"</formula>
    </cfRule>
    <cfRule type="expression" dxfId="11794" priority="12478">
      <formula>$F48="Désenfumage"</formula>
    </cfRule>
    <cfRule type="expression" dxfId="11793" priority="12479">
      <formula>$F48="Administratif"</formula>
    </cfRule>
  </conditionalFormatting>
  <conditionalFormatting sqref="D48">
    <cfRule type="expression" dxfId="11792" priority="12470">
      <formula>$H48="non"</formula>
    </cfRule>
  </conditionalFormatting>
  <conditionalFormatting sqref="D44">
    <cfRule type="expression" dxfId="11791" priority="12171">
      <formula>$F44="Formation CCF"</formula>
    </cfRule>
    <cfRule type="expression" dxfId="11790" priority="12172">
      <formula>$F44="Direction"</formula>
    </cfRule>
    <cfRule type="expression" dxfId="11789" priority="12173">
      <formula>$F44="Ventes Sicli"</formula>
    </cfRule>
    <cfRule type="expression" dxfId="11788" priority="12174">
      <formula>$F44="Ventes Chubb"</formula>
    </cfRule>
    <cfRule type="expression" dxfId="11787" priority="12175">
      <formula>$F44="SAV Sicli"</formula>
    </cfRule>
    <cfRule type="expression" dxfId="11786" priority="12176">
      <formula>$F44="SAV Chubb"</formula>
    </cfRule>
    <cfRule type="expression" dxfId="11785" priority="12177">
      <formula>$F44="Réalisation"</formula>
    </cfRule>
    <cfRule type="expression" dxfId="11784" priority="12178">
      <formula>$F44="Désenfumage"</formula>
    </cfRule>
    <cfRule type="expression" dxfId="11783" priority="12179">
      <formula>$F44="Administratif"</formula>
    </cfRule>
  </conditionalFormatting>
  <conditionalFormatting sqref="D44">
    <cfRule type="expression" dxfId="11782" priority="12170">
      <formula>$H44="non"</formula>
    </cfRule>
  </conditionalFormatting>
  <conditionalFormatting sqref="D51">
    <cfRule type="expression" dxfId="11781" priority="12741">
      <formula>$F51="Formation CCF"</formula>
    </cfRule>
    <cfRule type="expression" dxfId="11780" priority="12742">
      <formula>$F51="Direction"</formula>
    </cfRule>
    <cfRule type="expression" dxfId="11779" priority="12743">
      <formula>$F51="Ventes Sicli"</formula>
    </cfRule>
    <cfRule type="expression" dxfId="11778" priority="12744">
      <formula>$F51="Ventes Chubb"</formula>
    </cfRule>
    <cfRule type="expression" dxfId="11777" priority="12745">
      <formula>$F51="SAV Sicli"</formula>
    </cfRule>
    <cfRule type="expression" dxfId="11776" priority="12746">
      <formula>$F51="SAV Chubb"</formula>
    </cfRule>
    <cfRule type="expression" dxfId="11775" priority="12747">
      <formula>$F51="Réalisation"</formula>
    </cfRule>
    <cfRule type="expression" dxfId="11774" priority="12748">
      <formula>$F51="Désenfumage"</formula>
    </cfRule>
    <cfRule type="expression" dxfId="11773" priority="12749">
      <formula>$F51="Administratif"</formula>
    </cfRule>
  </conditionalFormatting>
  <conditionalFormatting sqref="D51">
    <cfRule type="expression" dxfId="11772" priority="12740">
      <formula>$H51="non"</formula>
    </cfRule>
  </conditionalFormatting>
  <conditionalFormatting sqref="D50">
    <cfRule type="expression" dxfId="11771" priority="12731">
      <formula>$F50="Formation CCF"</formula>
    </cfRule>
    <cfRule type="expression" dxfId="11770" priority="12732">
      <formula>$F50="Direction"</formula>
    </cfRule>
    <cfRule type="expression" dxfId="11769" priority="12733">
      <formula>$F50="Ventes Sicli"</formula>
    </cfRule>
    <cfRule type="expression" dxfId="11768" priority="12734">
      <formula>$F50="Ventes Chubb"</formula>
    </cfRule>
    <cfRule type="expression" dxfId="11767" priority="12735">
      <formula>$F50="SAV Sicli"</formula>
    </cfRule>
    <cfRule type="expression" dxfId="11766" priority="12736">
      <formula>$F50="SAV Chubb"</formula>
    </cfRule>
    <cfRule type="expression" dxfId="11765" priority="12737">
      <formula>$F50="Réalisation"</formula>
    </cfRule>
    <cfRule type="expression" dxfId="11764" priority="12738">
      <formula>$F50="Désenfumage"</formula>
    </cfRule>
    <cfRule type="expression" dxfId="11763" priority="12739">
      <formula>$F50="Administratif"</formula>
    </cfRule>
  </conditionalFormatting>
  <conditionalFormatting sqref="D50">
    <cfRule type="expression" dxfId="11762" priority="12730">
      <formula>$H50="non"</formula>
    </cfRule>
  </conditionalFormatting>
  <conditionalFormatting sqref="D49">
    <cfRule type="expression" dxfId="11761" priority="12711">
      <formula>$F49="Formation CCF"</formula>
    </cfRule>
    <cfRule type="expression" dxfId="11760" priority="12712">
      <formula>$F49="Direction"</formula>
    </cfRule>
    <cfRule type="expression" dxfId="11759" priority="12713">
      <formula>$F49="Ventes Sicli"</formula>
    </cfRule>
    <cfRule type="expression" dxfId="11758" priority="12714">
      <formula>$F49="Ventes Chubb"</formula>
    </cfRule>
    <cfRule type="expression" dxfId="11757" priority="12715">
      <formula>$F49="SAV Sicli"</formula>
    </cfRule>
    <cfRule type="expression" dxfId="11756" priority="12716">
      <formula>$F49="SAV Chubb"</formula>
    </cfRule>
    <cfRule type="expression" dxfId="11755" priority="12717">
      <formula>$F49="Réalisation"</formula>
    </cfRule>
    <cfRule type="expression" dxfId="11754" priority="12718">
      <formula>$F49="Désenfumage"</formula>
    </cfRule>
    <cfRule type="expression" dxfId="11753" priority="12719">
      <formula>$F49="Administratif"</formula>
    </cfRule>
  </conditionalFormatting>
  <conditionalFormatting sqref="D49">
    <cfRule type="expression" dxfId="11752" priority="12710">
      <formula>$H49="non"</formula>
    </cfRule>
  </conditionalFormatting>
  <conditionalFormatting sqref="D48">
    <cfRule type="expression" dxfId="11751" priority="12701">
      <formula>$F48="Formation CCF"</formula>
    </cfRule>
    <cfRule type="expression" dxfId="11750" priority="12702">
      <formula>$F48="Direction"</formula>
    </cfRule>
    <cfRule type="expression" dxfId="11749" priority="12703">
      <formula>$F48="Ventes Sicli"</formula>
    </cfRule>
    <cfRule type="expression" dxfId="11748" priority="12704">
      <formula>$F48="Ventes Chubb"</formula>
    </cfRule>
    <cfRule type="expression" dxfId="11747" priority="12705">
      <formula>$F48="SAV Sicli"</formula>
    </cfRule>
    <cfRule type="expression" dxfId="11746" priority="12706">
      <formula>$F48="SAV Chubb"</formula>
    </cfRule>
    <cfRule type="expression" dxfId="11745" priority="12707">
      <formula>$F48="Réalisation"</formula>
    </cfRule>
    <cfRule type="expression" dxfId="11744" priority="12708">
      <formula>$F48="Désenfumage"</formula>
    </cfRule>
    <cfRule type="expression" dxfId="11743" priority="12709">
      <formula>$F48="Administratif"</formula>
    </cfRule>
  </conditionalFormatting>
  <conditionalFormatting sqref="D48">
    <cfRule type="expression" dxfId="11742" priority="12700">
      <formula>$H48="non"</formula>
    </cfRule>
  </conditionalFormatting>
  <conditionalFormatting sqref="D47">
    <cfRule type="expression" dxfId="11741" priority="12691">
      <formula>$F47="Formation CCF"</formula>
    </cfRule>
    <cfRule type="expression" dxfId="11740" priority="12692">
      <formula>$F47="Direction"</formula>
    </cfRule>
    <cfRule type="expression" dxfId="11739" priority="12693">
      <formula>$F47="Ventes Sicli"</formula>
    </cfRule>
    <cfRule type="expression" dxfId="11738" priority="12694">
      <formula>$F47="Ventes Chubb"</formula>
    </cfRule>
    <cfRule type="expression" dxfId="11737" priority="12695">
      <formula>$F47="SAV Sicli"</formula>
    </cfRule>
    <cfRule type="expression" dxfId="11736" priority="12696">
      <formula>$F47="SAV Chubb"</formula>
    </cfRule>
    <cfRule type="expression" dxfId="11735" priority="12697">
      <formula>$F47="Réalisation"</formula>
    </cfRule>
    <cfRule type="expression" dxfId="11734" priority="12698">
      <formula>$F47="Désenfumage"</formula>
    </cfRule>
    <cfRule type="expression" dxfId="11733" priority="12699">
      <formula>$F47="Administratif"</formula>
    </cfRule>
  </conditionalFormatting>
  <conditionalFormatting sqref="D47">
    <cfRule type="expression" dxfId="11732" priority="12690">
      <formula>$H47="non"</formula>
    </cfRule>
  </conditionalFormatting>
  <conditionalFormatting sqref="D44">
    <cfRule type="expression" dxfId="11731" priority="12681">
      <formula>$F44="Formation CCF"</formula>
    </cfRule>
    <cfRule type="expression" dxfId="11730" priority="12682">
      <formula>$F44="Direction"</formula>
    </cfRule>
    <cfRule type="expression" dxfId="11729" priority="12683">
      <formula>$F44="Ventes Sicli"</formula>
    </cfRule>
    <cfRule type="expression" dxfId="11728" priority="12684">
      <formula>$F44="Ventes Chubb"</formula>
    </cfRule>
    <cfRule type="expression" dxfId="11727" priority="12685">
      <formula>$F44="SAV Sicli"</formula>
    </cfRule>
    <cfRule type="expression" dxfId="11726" priority="12686">
      <formula>$F44="SAV Chubb"</formula>
    </cfRule>
    <cfRule type="expression" dxfId="11725" priority="12687">
      <formula>$F44="Réalisation"</formula>
    </cfRule>
    <cfRule type="expression" dxfId="11724" priority="12688">
      <formula>$F44="Désenfumage"</formula>
    </cfRule>
    <cfRule type="expression" dxfId="11723" priority="12689">
      <formula>$F44="Administratif"</formula>
    </cfRule>
  </conditionalFormatting>
  <conditionalFormatting sqref="D44">
    <cfRule type="expression" dxfId="11722" priority="12680">
      <formula>$H44="non"</formula>
    </cfRule>
  </conditionalFormatting>
  <conditionalFormatting sqref="D51">
    <cfRule type="expression" dxfId="11721" priority="12661">
      <formula>$F51="Formation CCF"</formula>
    </cfRule>
    <cfRule type="expression" dxfId="11720" priority="12662">
      <formula>$F51="Direction"</formula>
    </cfRule>
    <cfRule type="expression" dxfId="11719" priority="12663">
      <formula>$F51="Ventes Sicli"</formula>
    </cfRule>
    <cfRule type="expression" dxfId="11718" priority="12664">
      <formula>$F51="Ventes Chubb"</formula>
    </cfRule>
    <cfRule type="expression" dxfId="11717" priority="12665">
      <formula>$F51="SAV Sicli"</formula>
    </cfRule>
    <cfRule type="expression" dxfId="11716" priority="12666">
      <formula>$F51="SAV Chubb"</formula>
    </cfRule>
    <cfRule type="expression" dxfId="11715" priority="12667">
      <formula>$F51="Réalisation"</formula>
    </cfRule>
    <cfRule type="expression" dxfId="11714" priority="12668">
      <formula>$F51="Désenfumage"</formula>
    </cfRule>
    <cfRule type="expression" dxfId="11713" priority="12669">
      <formula>$F51="Administratif"</formula>
    </cfRule>
  </conditionalFormatting>
  <conditionalFormatting sqref="D51">
    <cfRule type="expression" dxfId="11712" priority="12660">
      <formula>$H51="non"</formula>
    </cfRule>
  </conditionalFormatting>
  <conditionalFormatting sqref="D50">
    <cfRule type="expression" dxfId="11711" priority="12651">
      <formula>$F50="Formation CCF"</formula>
    </cfRule>
    <cfRule type="expression" dxfId="11710" priority="12652">
      <formula>$F50="Direction"</formula>
    </cfRule>
    <cfRule type="expression" dxfId="11709" priority="12653">
      <formula>$F50="Ventes Sicli"</formula>
    </cfRule>
    <cfRule type="expression" dxfId="11708" priority="12654">
      <formula>$F50="Ventes Chubb"</formula>
    </cfRule>
    <cfRule type="expression" dxfId="11707" priority="12655">
      <formula>$F50="SAV Sicli"</formula>
    </cfRule>
    <cfRule type="expression" dxfId="11706" priority="12656">
      <formula>$F50="SAV Chubb"</formula>
    </cfRule>
    <cfRule type="expression" dxfId="11705" priority="12657">
      <formula>$F50="Réalisation"</formula>
    </cfRule>
    <cfRule type="expression" dxfId="11704" priority="12658">
      <formula>$F50="Désenfumage"</formula>
    </cfRule>
    <cfRule type="expression" dxfId="11703" priority="12659">
      <formula>$F50="Administratif"</formula>
    </cfRule>
  </conditionalFormatting>
  <conditionalFormatting sqref="D50">
    <cfRule type="expression" dxfId="11702" priority="12650">
      <formula>$H50="non"</formula>
    </cfRule>
  </conditionalFormatting>
  <conditionalFormatting sqref="D49">
    <cfRule type="expression" dxfId="11701" priority="12631">
      <formula>$F49="Formation CCF"</formula>
    </cfRule>
    <cfRule type="expression" dxfId="11700" priority="12632">
      <formula>$F49="Direction"</formula>
    </cfRule>
    <cfRule type="expression" dxfId="11699" priority="12633">
      <formula>$F49="Ventes Sicli"</formula>
    </cfRule>
    <cfRule type="expression" dxfId="11698" priority="12634">
      <formula>$F49="Ventes Chubb"</formula>
    </cfRule>
    <cfRule type="expression" dxfId="11697" priority="12635">
      <formula>$F49="SAV Sicli"</formula>
    </cfRule>
    <cfRule type="expression" dxfId="11696" priority="12636">
      <formula>$F49="SAV Chubb"</formula>
    </cfRule>
    <cfRule type="expression" dxfId="11695" priority="12637">
      <formula>$F49="Réalisation"</formula>
    </cfRule>
    <cfRule type="expression" dxfId="11694" priority="12638">
      <formula>$F49="Désenfumage"</formula>
    </cfRule>
    <cfRule type="expression" dxfId="11693" priority="12639">
      <formula>$F49="Administratif"</formula>
    </cfRule>
  </conditionalFormatting>
  <conditionalFormatting sqref="D49">
    <cfRule type="expression" dxfId="11692" priority="12630">
      <formula>$H49="non"</formula>
    </cfRule>
  </conditionalFormatting>
  <conditionalFormatting sqref="D48">
    <cfRule type="expression" dxfId="11691" priority="12621">
      <formula>$F48="Formation CCF"</formula>
    </cfRule>
    <cfRule type="expression" dxfId="11690" priority="12622">
      <formula>$F48="Direction"</formula>
    </cfRule>
    <cfRule type="expression" dxfId="11689" priority="12623">
      <formula>$F48="Ventes Sicli"</formula>
    </cfRule>
    <cfRule type="expression" dxfId="11688" priority="12624">
      <formula>$F48="Ventes Chubb"</formula>
    </cfRule>
    <cfRule type="expression" dxfId="11687" priority="12625">
      <formula>$F48="SAV Sicli"</formula>
    </cfRule>
    <cfRule type="expression" dxfId="11686" priority="12626">
      <formula>$F48="SAV Chubb"</formula>
    </cfRule>
    <cfRule type="expression" dxfId="11685" priority="12627">
      <formula>$F48="Réalisation"</formula>
    </cfRule>
    <cfRule type="expression" dxfId="11684" priority="12628">
      <formula>$F48="Désenfumage"</formula>
    </cfRule>
    <cfRule type="expression" dxfId="11683" priority="12629">
      <formula>$F48="Administratif"</formula>
    </cfRule>
  </conditionalFormatting>
  <conditionalFormatting sqref="D48">
    <cfRule type="expression" dxfId="11682" priority="12620">
      <formula>$H48="non"</formula>
    </cfRule>
  </conditionalFormatting>
  <conditionalFormatting sqref="D47">
    <cfRule type="expression" dxfId="11681" priority="12611">
      <formula>$F47="Formation CCF"</formula>
    </cfRule>
    <cfRule type="expression" dxfId="11680" priority="12612">
      <formula>$F47="Direction"</formula>
    </cfRule>
    <cfRule type="expression" dxfId="11679" priority="12613">
      <formula>$F47="Ventes Sicli"</formula>
    </cfRule>
    <cfRule type="expression" dxfId="11678" priority="12614">
      <formula>$F47="Ventes Chubb"</formula>
    </cfRule>
    <cfRule type="expression" dxfId="11677" priority="12615">
      <formula>$F47="SAV Sicli"</formula>
    </cfRule>
    <cfRule type="expression" dxfId="11676" priority="12616">
      <formula>$F47="SAV Chubb"</formula>
    </cfRule>
    <cfRule type="expression" dxfId="11675" priority="12617">
      <formula>$F47="Réalisation"</formula>
    </cfRule>
    <cfRule type="expression" dxfId="11674" priority="12618">
      <formula>$F47="Désenfumage"</formula>
    </cfRule>
    <cfRule type="expression" dxfId="11673" priority="12619">
      <formula>$F47="Administratif"</formula>
    </cfRule>
  </conditionalFormatting>
  <conditionalFormatting sqref="D47">
    <cfRule type="expression" dxfId="11672" priority="12610">
      <formula>$H47="non"</formula>
    </cfRule>
  </conditionalFormatting>
  <conditionalFormatting sqref="D44">
    <cfRule type="expression" dxfId="11671" priority="12601">
      <formula>$F44="Formation CCF"</formula>
    </cfRule>
    <cfRule type="expression" dxfId="11670" priority="12602">
      <formula>$F44="Direction"</formula>
    </cfRule>
    <cfRule type="expression" dxfId="11669" priority="12603">
      <formula>$F44="Ventes Sicli"</formula>
    </cfRule>
    <cfRule type="expression" dxfId="11668" priority="12604">
      <formula>$F44="Ventes Chubb"</formula>
    </cfRule>
    <cfRule type="expression" dxfId="11667" priority="12605">
      <formula>$F44="SAV Sicli"</formula>
    </cfRule>
    <cfRule type="expression" dxfId="11666" priority="12606">
      <formula>$F44="SAV Chubb"</formula>
    </cfRule>
    <cfRule type="expression" dxfId="11665" priority="12607">
      <formula>$F44="Réalisation"</formula>
    </cfRule>
    <cfRule type="expression" dxfId="11664" priority="12608">
      <formula>$F44="Désenfumage"</formula>
    </cfRule>
    <cfRule type="expression" dxfId="11663" priority="12609">
      <formula>$F44="Administratif"</formula>
    </cfRule>
  </conditionalFormatting>
  <conditionalFormatting sqref="D44">
    <cfRule type="expression" dxfId="11662" priority="12600">
      <formula>$H44="non"</formula>
    </cfRule>
  </conditionalFormatting>
  <conditionalFormatting sqref="D51">
    <cfRule type="expression" dxfId="11661" priority="12581">
      <formula>$F51="Formation CCF"</formula>
    </cfRule>
    <cfRule type="expression" dxfId="11660" priority="12582">
      <formula>$F51="Direction"</formula>
    </cfRule>
    <cfRule type="expression" dxfId="11659" priority="12583">
      <formula>$F51="Ventes Sicli"</formula>
    </cfRule>
    <cfRule type="expression" dxfId="11658" priority="12584">
      <formula>$F51="Ventes Chubb"</formula>
    </cfRule>
    <cfRule type="expression" dxfId="11657" priority="12585">
      <formula>$F51="SAV Sicli"</formula>
    </cfRule>
    <cfRule type="expression" dxfId="11656" priority="12586">
      <formula>$F51="SAV Chubb"</formula>
    </cfRule>
    <cfRule type="expression" dxfId="11655" priority="12587">
      <formula>$F51="Réalisation"</formula>
    </cfRule>
    <cfRule type="expression" dxfId="11654" priority="12588">
      <formula>$F51="Désenfumage"</formula>
    </cfRule>
    <cfRule type="expression" dxfId="11653" priority="12589">
      <formula>$F51="Administratif"</formula>
    </cfRule>
  </conditionalFormatting>
  <conditionalFormatting sqref="D51">
    <cfRule type="expression" dxfId="11652" priority="12580">
      <formula>$H51="non"</formula>
    </cfRule>
  </conditionalFormatting>
  <conditionalFormatting sqref="D50">
    <cfRule type="expression" dxfId="11651" priority="12571">
      <formula>$F50="Formation CCF"</formula>
    </cfRule>
    <cfRule type="expression" dxfId="11650" priority="12572">
      <formula>$F50="Direction"</formula>
    </cfRule>
    <cfRule type="expression" dxfId="11649" priority="12573">
      <formula>$F50="Ventes Sicli"</formula>
    </cfRule>
    <cfRule type="expression" dxfId="11648" priority="12574">
      <formula>$F50="Ventes Chubb"</formula>
    </cfRule>
    <cfRule type="expression" dxfId="11647" priority="12575">
      <formula>$F50="SAV Sicli"</formula>
    </cfRule>
    <cfRule type="expression" dxfId="11646" priority="12576">
      <formula>$F50="SAV Chubb"</formula>
    </cfRule>
    <cfRule type="expression" dxfId="11645" priority="12577">
      <formula>$F50="Réalisation"</formula>
    </cfRule>
    <cfRule type="expression" dxfId="11644" priority="12578">
      <formula>$F50="Désenfumage"</formula>
    </cfRule>
    <cfRule type="expression" dxfId="11643" priority="12579">
      <formula>$F50="Administratif"</formula>
    </cfRule>
  </conditionalFormatting>
  <conditionalFormatting sqref="D50">
    <cfRule type="expression" dxfId="11642" priority="12570">
      <formula>$H50="non"</formula>
    </cfRule>
  </conditionalFormatting>
  <conditionalFormatting sqref="D49">
    <cfRule type="expression" dxfId="11641" priority="12551">
      <formula>$F49="Formation CCF"</formula>
    </cfRule>
    <cfRule type="expression" dxfId="11640" priority="12552">
      <formula>$F49="Direction"</formula>
    </cfRule>
    <cfRule type="expression" dxfId="11639" priority="12553">
      <formula>$F49="Ventes Sicli"</formula>
    </cfRule>
    <cfRule type="expression" dxfId="11638" priority="12554">
      <formula>$F49="Ventes Chubb"</formula>
    </cfRule>
    <cfRule type="expression" dxfId="11637" priority="12555">
      <formula>$F49="SAV Sicli"</formula>
    </cfRule>
    <cfRule type="expression" dxfId="11636" priority="12556">
      <formula>$F49="SAV Chubb"</formula>
    </cfRule>
    <cfRule type="expression" dxfId="11635" priority="12557">
      <formula>$F49="Réalisation"</formula>
    </cfRule>
    <cfRule type="expression" dxfId="11634" priority="12558">
      <formula>$F49="Désenfumage"</formula>
    </cfRule>
    <cfRule type="expression" dxfId="11633" priority="12559">
      <formula>$F49="Administratif"</formula>
    </cfRule>
  </conditionalFormatting>
  <conditionalFormatting sqref="D49">
    <cfRule type="expression" dxfId="11632" priority="12550">
      <formula>$H49="non"</formula>
    </cfRule>
  </conditionalFormatting>
  <conditionalFormatting sqref="D48">
    <cfRule type="expression" dxfId="11631" priority="12541">
      <formula>$F48="Formation CCF"</formula>
    </cfRule>
    <cfRule type="expression" dxfId="11630" priority="12542">
      <formula>$F48="Direction"</formula>
    </cfRule>
    <cfRule type="expression" dxfId="11629" priority="12543">
      <formula>$F48="Ventes Sicli"</formula>
    </cfRule>
    <cfRule type="expression" dxfId="11628" priority="12544">
      <formula>$F48="Ventes Chubb"</formula>
    </cfRule>
    <cfRule type="expression" dxfId="11627" priority="12545">
      <formula>$F48="SAV Sicli"</formula>
    </cfRule>
    <cfRule type="expression" dxfId="11626" priority="12546">
      <formula>$F48="SAV Chubb"</formula>
    </cfRule>
    <cfRule type="expression" dxfId="11625" priority="12547">
      <formula>$F48="Réalisation"</formula>
    </cfRule>
    <cfRule type="expression" dxfId="11624" priority="12548">
      <formula>$F48="Désenfumage"</formula>
    </cfRule>
    <cfRule type="expression" dxfId="11623" priority="12549">
      <formula>$F48="Administratif"</formula>
    </cfRule>
  </conditionalFormatting>
  <conditionalFormatting sqref="D48">
    <cfRule type="expression" dxfId="11622" priority="12540">
      <formula>$H48="non"</formula>
    </cfRule>
  </conditionalFormatting>
  <conditionalFormatting sqref="D47">
    <cfRule type="expression" dxfId="11621" priority="12531">
      <formula>$F47="Formation CCF"</formula>
    </cfRule>
    <cfRule type="expression" dxfId="11620" priority="12532">
      <formula>$F47="Direction"</formula>
    </cfRule>
    <cfRule type="expression" dxfId="11619" priority="12533">
      <formula>$F47="Ventes Sicli"</formula>
    </cfRule>
    <cfRule type="expression" dxfId="11618" priority="12534">
      <formula>$F47="Ventes Chubb"</formula>
    </cfRule>
    <cfRule type="expression" dxfId="11617" priority="12535">
      <formula>$F47="SAV Sicli"</formula>
    </cfRule>
    <cfRule type="expression" dxfId="11616" priority="12536">
      <formula>$F47="SAV Chubb"</formula>
    </cfRule>
    <cfRule type="expression" dxfId="11615" priority="12537">
      <formula>$F47="Réalisation"</formula>
    </cfRule>
    <cfRule type="expression" dxfId="11614" priority="12538">
      <formula>$F47="Désenfumage"</formula>
    </cfRule>
    <cfRule type="expression" dxfId="11613" priority="12539">
      <formula>$F47="Administratif"</formula>
    </cfRule>
  </conditionalFormatting>
  <conditionalFormatting sqref="D47">
    <cfRule type="expression" dxfId="11612" priority="12530">
      <formula>$H47="non"</formula>
    </cfRule>
  </conditionalFormatting>
  <conditionalFormatting sqref="D44">
    <cfRule type="expression" dxfId="11611" priority="12521">
      <formula>$F44="Formation CCF"</formula>
    </cfRule>
    <cfRule type="expression" dxfId="11610" priority="12522">
      <formula>$F44="Direction"</formula>
    </cfRule>
    <cfRule type="expression" dxfId="11609" priority="12523">
      <formula>$F44="Ventes Sicli"</formula>
    </cfRule>
    <cfRule type="expression" dxfId="11608" priority="12524">
      <formula>$F44="Ventes Chubb"</formula>
    </cfRule>
    <cfRule type="expression" dxfId="11607" priority="12525">
      <formula>$F44="SAV Sicli"</formula>
    </cfRule>
    <cfRule type="expression" dxfId="11606" priority="12526">
      <formula>$F44="SAV Chubb"</formula>
    </cfRule>
    <cfRule type="expression" dxfId="11605" priority="12527">
      <formula>$F44="Réalisation"</formula>
    </cfRule>
    <cfRule type="expression" dxfId="11604" priority="12528">
      <formula>$F44="Désenfumage"</formula>
    </cfRule>
    <cfRule type="expression" dxfId="11603" priority="12529">
      <formula>$F44="Administratif"</formula>
    </cfRule>
  </conditionalFormatting>
  <conditionalFormatting sqref="D44">
    <cfRule type="expression" dxfId="11602" priority="12520">
      <formula>$H44="non"</formula>
    </cfRule>
  </conditionalFormatting>
  <conditionalFormatting sqref="D50">
    <cfRule type="expression" dxfId="11601" priority="12501">
      <formula>$F50="Formation CCF"</formula>
    </cfRule>
    <cfRule type="expression" dxfId="11600" priority="12502">
      <formula>$F50="Direction"</formula>
    </cfRule>
    <cfRule type="expression" dxfId="11599" priority="12503">
      <formula>$F50="Ventes Sicli"</formula>
    </cfRule>
    <cfRule type="expression" dxfId="11598" priority="12504">
      <formula>$F50="Ventes Chubb"</formula>
    </cfRule>
    <cfRule type="expression" dxfId="11597" priority="12505">
      <formula>$F50="SAV Sicli"</formula>
    </cfRule>
    <cfRule type="expression" dxfId="11596" priority="12506">
      <formula>$F50="SAV Chubb"</formula>
    </cfRule>
    <cfRule type="expression" dxfId="11595" priority="12507">
      <formula>$F50="Réalisation"</formula>
    </cfRule>
    <cfRule type="expression" dxfId="11594" priority="12508">
      <formula>$F50="Désenfumage"</formula>
    </cfRule>
    <cfRule type="expression" dxfId="11593" priority="12509">
      <formula>$F50="Administratif"</formula>
    </cfRule>
  </conditionalFormatting>
  <conditionalFormatting sqref="D50">
    <cfRule type="expression" dxfId="11592" priority="12500">
      <formula>$H50="non"</formula>
    </cfRule>
  </conditionalFormatting>
  <conditionalFormatting sqref="D49">
    <cfRule type="expression" dxfId="11591" priority="12481">
      <formula>$F49="Formation CCF"</formula>
    </cfRule>
    <cfRule type="expression" dxfId="11590" priority="12482">
      <formula>$F49="Direction"</formula>
    </cfRule>
    <cfRule type="expression" dxfId="11589" priority="12483">
      <formula>$F49="Ventes Sicli"</formula>
    </cfRule>
    <cfRule type="expression" dxfId="11588" priority="12484">
      <formula>$F49="Ventes Chubb"</formula>
    </cfRule>
    <cfRule type="expression" dxfId="11587" priority="12485">
      <formula>$F49="SAV Sicli"</formula>
    </cfRule>
    <cfRule type="expression" dxfId="11586" priority="12486">
      <formula>$F49="SAV Chubb"</formula>
    </cfRule>
    <cfRule type="expression" dxfId="11585" priority="12487">
      <formula>$F49="Réalisation"</formula>
    </cfRule>
    <cfRule type="expression" dxfId="11584" priority="12488">
      <formula>$F49="Désenfumage"</formula>
    </cfRule>
    <cfRule type="expression" dxfId="11583" priority="12489">
      <formula>$F49="Administratif"</formula>
    </cfRule>
  </conditionalFormatting>
  <conditionalFormatting sqref="D49">
    <cfRule type="expression" dxfId="11582" priority="12480">
      <formula>$H49="non"</formula>
    </cfRule>
  </conditionalFormatting>
  <conditionalFormatting sqref="D47">
    <cfRule type="expression" dxfId="11581" priority="12461">
      <formula>$F47="Formation CCF"</formula>
    </cfRule>
    <cfRule type="expression" dxfId="11580" priority="12462">
      <formula>$F47="Direction"</formula>
    </cfRule>
    <cfRule type="expression" dxfId="11579" priority="12463">
      <formula>$F47="Ventes Sicli"</formula>
    </cfRule>
    <cfRule type="expression" dxfId="11578" priority="12464">
      <formula>$F47="Ventes Chubb"</formula>
    </cfRule>
    <cfRule type="expression" dxfId="11577" priority="12465">
      <formula>$F47="SAV Sicli"</formula>
    </cfRule>
    <cfRule type="expression" dxfId="11576" priority="12466">
      <formula>$F47="SAV Chubb"</formula>
    </cfRule>
    <cfRule type="expression" dxfId="11575" priority="12467">
      <formula>$F47="Réalisation"</formula>
    </cfRule>
    <cfRule type="expression" dxfId="11574" priority="12468">
      <formula>$F47="Désenfumage"</formula>
    </cfRule>
    <cfRule type="expression" dxfId="11573" priority="12469">
      <formula>$F47="Administratif"</formula>
    </cfRule>
  </conditionalFormatting>
  <conditionalFormatting sqref="D47">
    <cfRule type="expression" dxfId="11572" priority="12460">
      <formula>$H47="non"</formula>
    </cfRule>
  </conditionalFormatting>
  <conditionalFormatting sqref="D44">
    <cfRule type="expression" dxfId="11571" priority="12451">
      <formula>$F44="Formation CCF"</formula>
    </cfRule>
    <cfRule type="expression" dxfId="11570" priority="12452">
      <formula>$F44="Direction"</formula>
    </cfRule>
    <cfRule type="expression" dxfId="11569" priority="12453">
      <formula>$F44="Ventes Sicli"</formula>
    </cfRule>
    <cfRule type="expression" dxfId="11568" priority="12454">
      <formula>$F44="Ventes Chubb"</formula>
    </cfRule>
    <cfRule type="expression" dxfId="11567" priority="12455">
      <formula>$F44="SAV Sicli"</formula>
    </cfRule>
    <cfRule type="expression" dxfId="11566" priority="12456">
      <formula>$F44="SAV Chubb"</formula>
    </cfRule>
    <cfRule type="expression" dxfId="11565" priority="12457">
      <formula>$F44="Réalisation"</formula>
    </cfRule>
    <cfRule type="expression" dxfId="11564" priority="12458">
      <formula>$F44="Désenfumage"</formula>
    </cfRule>
    <cfRule type="expression" dxfId="11563" priority="12459">
      <formula>$F44="Administratif"</formula>
    </cfRule>
  </conditionalFormatting>
  <conditionalFormatting sqref="D44">
    <cfRule type="expression" dxfId="11562" priority="12450">
      <formula>$H44="non"</formula>
    </cfRule>
  </conditionalFormatting>
  <conditionalFormatting sqref="D51">
    <cfRule type="expression" dxfId="11561" priority="12431">
      <formula>$F51="Formation CCF"</formula>
    </cfRule>
    <cfRule type="expression" dxfId="11560" priority="12432">
      <formula>$F51="Direction"</formula>
    </cfRule>
    <cfRule type="expression" dxfId="11559" priority="12433">
      <formula>$F51="Ventes Sicli"</formula>
    </cfRule>
    <cfRule type="expression" dxfId="11558" priority="12434">
      <formula>$F51="Ventes Chubb"</formula>
    </cfRule>
    <cfRule type="expression" dxfId="11557" priority="12435">
      <formula>$F51="SAV Sicli"</formula>
    </cfRule>
    <cfRule type="expression" dxfId="11556" priority="12436">
      <formula>$F51="SAV Chubb"</formula>
    </cfRule>
    <cfRule type="expression" dxfId="11555" priority="12437">
      <formula>$F51="Réalisation"</formula>
    </cfRule>
    <cfRule type="expression" dxfId="11554" priority="12438">
      <formula>$F51="Désenfumage"</formula>
    </cfRule>
    <cfRule type="expression" dxfId="11553" priority="12439">
      <formula>$F51="Administratif"</formula>
    </cfRule>
  </conditionalFormatting>
  <conditionalFormatting sqref="D51">
    <cfRule type="expression" dxfId="11552" priority="12430">
      <formula>$H51="non"</formula>
    </cfRule>
  </conditionalFormatting>
  <conditionalFormatting sqref="D50">
    <cfRule type="expression" dxfId="11551" priority="12421">
      <formula>$F50="Formation CCF"</formula>
    </cfRule>
    <cfRule type="expression" dxfId="11550" priority="12422">
      <formula>$F50="Direction"</formula>
    </cfRule>
    <cfRule type="expression" dxfId="11549" priority="12423">
      <formula>$F50="Ventes Sicli"</formula>
    </cfRule>
    <cfRule type="expression" dxfId="11548" priority="12424">
      <formula>$F50="Ventes Chubb"</formula>
    </cfRule>
    <cfRule type="expression" dxfId="11547" priority="12425">
      <formula>$F50="SAV Sicli"</formula>
    </cfRule>
    <cfRule type="expression" dxfId="11546" priority="12426">
      <formula>$F50="SAV Chubb"</formula>
    </cfRule>
    <cfRule type="expression" dxfId="11545" priority="12427">
      <formula>$F50="Réalisation"</formula>
    </cfRule>
    <cfRule type="expression" dxfId="11544" priority="12428">
      <formula>$F50="Désenfumage"</formula>
    </cfRule>
    <cfRule type="expression" dxfId="11543" priority="12429">
      <formula>$F50="Administratif"</formula>
    </cfRule>
  </conditionalFormatting>
  <conditionalFormatting sqref="D50">
    <cfRule type="expression" dxfId="11542" priority="12420">
      <formula>$H50="non"</formula>
    </cfRule>
  </conditionalFormatting>
  <conditionalFormatting sqref="D49">
    <cfRule type="expression" dxfId="11541" priority="12401">
      <formula>$F49="Formation CCF"</formula>
    </cfRule>
    <cfRule type="expression" dxfId="11540" priority="12402">
      <formula>$F49="Direction"</formula>
    </cfRule>
    <cfRule type="expression" dxfId="11539" priority="12403">
      <formula>$F49="Ventes Sicli"</formula>
    </cfRule>
    <cfRule type="expression" dxfId="11538" priority="12404">
      <formula>$F49="Ventes Chubb"</formula>
    </cfRule>
    <cfRule type="expression" dxfId="11537" priority="12405">
      <formula>$F49="SAV Sicli"</formula>
    </cfRule>
    <cfRule type="expression" dxfId="11536" priority="12406">
      <formula>$F49="SAV Chubb"</formula>
    </cfRule>
    <cfRule type="expression" dxfId="11535" priority="12407">
      <formula>$F49="Réalisation"</formula>
    </cfRule>
    <cfRule type="expression" dxfId="11534" priority="12408">
      <formula>$F49="Désenfumage"</formula>
    </cfRule>
    <cfRule type="expression" dxfId="11533" priority="12409">
      <formula>$F49="Administratif"</formula>
    </cfRule>
  </conditionalFormatting>
  <conditionalFormatting sqref="D49">
    <cfRule type="expression" dxfId="11532" priority="12400">
      <formula>$H49="non"</formula>
    </cfRule>
  </conditionalFormatting>
  <conditionalFormatting sqref="D48">
    <cfRule type="expression" dxfId="11531" priority="12391">
      <formula>$F48="Formation CCF"</formula>
    </cfRule>
    <cfRule type="expression" dxfId="11530" priority="12392">
      <formula>$F48="Direction"</formula>
    </cfRule>
    <cfRule type="expression" dxfId="11529" priority="12393">
      <formula>$F48="Ventes Sicli"</formula>
    </cfRule>
    <cfRule type="expression" dxfId="11528" priority="12394">
      <formula>$F48="Ventes Chubb"</formula>
    </cfRule>
    <cfRule type="expression" dxfId="11527" priority="12395">
      <formula>$F48="SAV Sicli"</formula>
    </cfRule>
    <cfRule type="expression" dxfId="11526" priority="12396">
      <formula>$F48="SAV Chubb"</formula>
    </cfRule>
    <cfRule type="expression" dxfId="11525" priority="12397">
      <formula>$F48="Réalisation"</formula>
    </cfRule>
    <cfRule type="expression" dxfId="11524" priority="12398">
      <formula>$F48="Désenfumage"</formula>
    </cfRule>
    <cfRule type="expression" dxfId="11523" priority="12399">
      <formula>$F48="Administratif"</formula>
    </cfRule>
  </conditionalFormatting>
  <conditionalFormatting sqref="D48">
    <cfRule type="expression" dxfId="11522" priority="12390">
      <formula>$H48="non"</formula>
    </cfRule>
  </conditionalFormatting>
  <conditionalFormatting sqref="D47">
    <cfRule type="expression" dxfId="11521" priority="12381">
      <formula>$F47="Formation CCF"</formula>
    </cfRule>
    <cfRule type="expression" dxfId="11520" priority="12382">
      <formula>$F47="Direction"</formula>
    </cfRule>
    <cfRule type="expression" dxfId="11519" priority="12383">
      <formula>$F47="Ventes Sicli"</formula>
    </cfRule>
    <cfRule type="expression" dxfId="11518" priority="12384">
      <formula>$F47="Ventes Chubb"</formula>
    </cfRule>
    <cfRule type="expression" dxfId="11517" priority="12385">
      <formula>$F47="SAV Sicli"</formula>
    </cfRule>
    <cfRule type="expression" dxfId="11516" priority="12386">
      <formula>$F47="SAV Chubb"</formula>
    </cfRule>
    <cfRule type="expression" dxfId="11515" priority="12387">
      <formula>$F47="Réalisation"</formula>
    </cfRule>
    <cfRule type="expression" dxfId="11514" priority="12388">
      <formula>$F47="Désenfumage"</formula>
    </cfRule>
    <cfRule type="expression" dxfId="11513" priority="12389">
      <formula>$F47="Administratif"</formula>
    </cfRule>
  </conditionalFormatting>
  <conditionalFormatting sqref="D47">
    <cfRule type="expression" dxfId="11512" priority="12380">
      <formula>$H47="non"</formula>
    </cfRule>
  </conditionalFormatting>
  <conditionalFormatting sqref="D44">
    <cfRule type="expression" dxfId="11511" priority="12371">
      <formula>$F44="Formation CCF"</formula>
    </cfRule>
    <cfRule type="expression" dxfId="11510" priority="12372">
      <formula>$F44="Direction"</formula>
    </cfRule>
    <cfRule type="expression" dxfId="11509" priority="12373">
      <formula>$F44="Ventes Sicli"</formula>
    </cfRule>
    <cfRule type="expression" dxfId="11508" priority="12374">
      <formula>$F44="Ventes Chubb"</formula>
    </cfRule>
    <cfRule type="expression" dxfId="11507" priority="12375">
      <formula>$F44="SAV Sicli"</formula>
    </cfRule>
    <cfRule type="expression" dxfId="11506" priority="12376">
      <formula>$F44="SAV Chubb"</formula>
    </cfRule>
    <cfRule type="expression" dxfId="11505" priority="12377">
      <formula>$F44="Réalisation"</formula>
    </cfRule>
    <cfRule type="expression" dxfId="11504" priority="12378">
      <formula>$F44="Désenfumage"</formula>
    </cfRule>
    <cfRule type="expression" dxfId="11503" priority="12379">
      <formula>$F44="Administratif"</formula>
    </cfRule>
  </conditionalFormatting>
  <conditionalFormatting sqref="D44">
    <cfRule type="expression" dxfId="11502" priority="12370">
      <formula>$H44="non"</formula>
    </cfRule>
  </conditionalFormatting>
  <conditionalFormatting sqref="D50">
    <cfRule type="expression" dxfId="11501" priority="12351">
      <formula>$F50="Formation CCF"</formula>
    </cfRule>
    <cfRule type="expression" dxfId="11500" priority="12352">
      <formula>$F50="Direction"</formula>
    </cfRule>
    <cfRule type="expression" dxfId="11499" priority="12353">
      <formula>$F50="Ventes Sicli"</formula>
    </cfRule>
    <cfRule type="expression" dxfId="11498" priority="12354">
      <formula>$F50="Ventes Chubb"</formula>
    </cfRule>
    <cfRule type="expression" dxfId="11497" priority="12355">
      <formula>$F50="SAV Sicli"</formula>
    </cfRule>
    <cfRule type="expression" dxfId="11496" priority="12356">
      <formula>$F50="SAV Chubb"</formula>
    </cfRule>
    <cfRule type="expression" dxfId="11495" priority="12357">
      <formula>$F50="Réalisation"</formula>
    </cfRule>
    <cfRule type="expression" dxfId="11494" priority="12358">
      <formula>$F50="Désenfumage"</formula>
    </cfRule>
    <cfRule type="expression" dxfId="11493" priority="12359">
      <formula>$F50="Administratif"</formula>
    </cfRule>
  </conditionalFormatting>
  <conditionalFormatting sqref="D50">
    <cfRule type="expression" dxfId="11492" priority="12350">
      <formula>$H50="non"</formula>
    </cfRule>
  </conditionalFormatting>
  <conditionalFormatting sqref="D49">
    <cfRule type="expression" dxfId="11491" priority="12331">
      <formula>$F49="Formation CCF"</formula>
    </cfRule>
    <cfRule type="expression" dxfId="11490" priority="12332">
      <formula>$F49="Direction"</formula>
    </cfRule>
    <cfRule type="expression" dxfId="11489" priority="12333">
      <formula>$F49="Ventes Sicli"</formula>
    </cfRule>
    <cfRule type="expression" dxfId="11488" priority="12334">
      <formula>$F49="Ventes Chubb"</formula>
    </cfRule>
    <cfRule type="expression" dxfId="11487" priority="12335">
      <formula>$F49="SAV Sicli"</formula>
    </cfRule>
    <cfRule type="expression" dxfId="11486" priority="12336">
      <formula>$F49="SAV Chubb"</formula>
    </cfRule>
    <cfRule type="expression" dxfId="11485" priority="12337">
      <formula>$F49="Réalisation"</formula>
    </cfRule>
    <cfRule type="expression" dxfId="11484" priority="12338">
      <formula>$F49="Désenfumage"</formula>
    </cfRule>
    <cfRule type="expression" dxfId="11483" priority="12339">
      <formula>$F49="Administratif"</formula>
    </cfRule>
  </conditionalFormatting>
  <conditionalFormatting sqref="D49">
    <cfRule type="expression" dxfId="11482" priority="12330">
      <formula>$H49="non"</formula>
    </cfRule>
  </conditionalFormatting>
  <conditionalFormatting sqref="D48">
    <cfRule type="expression" dxfId="11481" priority="12321">
      <formula>$F48="Formation CCF"</formula>
    </cfRule>
    <cfRule type="expression" dxfId="11480" priority="12322">
      <formula>$F48="Direction"</formula>
    </cfRule>
    <cfRule type="expression" dxfId="11479" priority="12323">
      <formula>$F48="Ventes Sicli"</formula>
    </cfRule>
    <cfRule type="expression" dxfId="11478" priority="12324">
      <formula>$F48="Ventes Chubb"</formula>
    </cfRule>
    <cfRule type="expression" dxfId="11477" priority="12325">
      <formula>$F48="SAV Sicli"</formula>
    </cfRule>
    <cfRule type="expression" dxfId="11476" priority="12326">
      <formula>$F48="SAV Chubb"</formula>
    </cfRule>
    <cfRule type="expression" dxfId="11475" priority="12327">
      <formula>$F48="Réalisation"</formula>
    </cfRule>
    <cfRule type="expression" dxfId="11474" priority="12328">
      <formula>$F48="Désenfumage"</formula>
    </cfRule>
    <cfRule type="expression" dxfId="11473" priority="12329">
      <formula>$F48="Administratif"</formula>
    </cfRule>
  </conditionalFormatting>
  <conditionalFormatting sqref="D48">
    <cfRule type="expression" dxfId="11472" priority="12320">
      <formula>$H48="non"</formula>
    </cfRule>
  </conditionalFormatting>
  <conditionalFormatting sqref="D47">
    <cfRule type="expression" dxfId="11471" priority="12311">
      <formula>$F47="Formation CCF"</formula>
    </cfRule>
    <cfRule type="expression" dxfId="11470" priority="12312">
      <formula>$F47="Direction"</formula>
    </cfRule>
    <cfRule type="expression" dxfId="11469" priority="12313">
      <formula>$F47="Ventes Sicli"</formula>
    </cfRule>
    <cfRule type="expression" dxfId="11468" priority="12314">
      <formula>$F47="Ventes Chubb"</formula>
    </cfRule>
    <cfRule type="expression" dxfId="11467" priority="12315">
      <formula>$F47="SAV Sicli"</formula>
    </cfRule>
    <cfRule type="expression" dxfId="11466" priority="12316">
      <formula>$F47="SAV Chubb"</formula>
    </cfRule>
    <cfRule type="expression" dxfId="11465" priority="12317">
      <formula>$F47="Réalisation"</formula>
    </cfRule>
    <cfRule type="expression" dxfId="11464" priority="12318">
      <formula>$F47="Désenfumage"</formula>
    </cfRule>
    <cfRule type="expression" dxfId="11463" priority="12319">
      <formula>$F47="Administratif"</formula>
    </cfRule>
  </conditionalFormatting>
  <conditionalFormatting sqref="D47">
    <cfRule type="expression" dxfId="11462" priority="12310">
      <formula>$H47="non"</formula>
    </cfRule>
  </conditionalFormatting>
  <conditionalFormatting sqref="D44">
    <cfRule type="expression" dxfId="11461" priority="12301">
      <formula>$F44="Formation CCF"</formula>
    </cfRule>
    <cfRule type="expression" dxfId="11460" priority="12302">
      <formula>$F44="Direction"</formula>
    </cfRule>
    <cfRule type="expression" dxfId="11459" priority="12303">
      <formula>$F44="Ventes Sicli"</formula>
    </cfRule>
    <cfRule type="expression" dxfId="11458" priority="12304">
      <formula>$F44="Ventes Chubb"</formula>
    </cfRule>
    <cfRule type="expression" dxfId="11457" priority="12305">
      <formula>$F44="SAV Sicli"</formula>
    </cfRule>
    <cfRule type="expression" dxfId="11456" priority="12306">
      <formula>$F44="SAV Chubb"</formula>
    </cfRule>
    <cfRule type="expression" dxfId="11455" priority="12307">
      <formula>$F44="Réalisation"</formula>
    </cfRule>
    <cfRule type="expression" dxfId="11454" priority="12308">
      <formula>$F44="Désenfumage"</formula>
    </cfRule>
    <cfRule type="expression" dxfId="11453" priority="12309">
      <formula>$F44="Administratif"</formula>
    </cfRule>
  </conditionalFormatting>
  <conditionalFormatting sqref="D44">
    <cfRule type="expression" dxfId="11452" priority="12300">
      <formula>$H44="non"</formula>
    </cfRule>
  </conditionalFormatting>
  <conditionalFormatting sqref="D50">
    <cfRule type="expression" dxfId="11451" priority="12281">
      <formula>$F50="Formation CCF"</formula>
    </cfRule>
    <cfRule type="expression" dxfId="11450" priority="12282">
      <formula>$F50="Direction"</formula>
    </cfRule>
    <cfRule type="expression" dxfId="11449" priority="12283">
      <formula>$F50="Ventes Sicli"</formula>
    </cfRule>
    <cfRule type="expression" dxfId="11448" priority="12284">
      <formula>$F50="Ventes Chubb"</formula>
    </cfRule>
    <cfRule type="expression" dxfId="11447" priority="12285">
      <formula>$F50="SAV Sicli"</formula>
    </cfRule>
    <cfRule type="expression" dxfId="11446" priority="12286">
      <formula>$F50="SAV Chubb"</formula>
    </cfRule>
    <cfRule type="expression" dxfId="11445" priority="12287">
      <formula>$F50="Réalisation"</formula>
    </cfRule>
    <cfRule type="expression" dxfId="11444" priority="12288">
      <formula>$F50="Désenfumage"</formula>
    </cfRule>
    <cfRule type="expression" dxfId="11443" priority="12289">
      <formula>$F50="Administratif"</formula>
    </cfRule>
  </conditionalFormatting>
  <conditionalFormatting sqref="D50">
    <cfRule type="expression" dxfId="11442" priority="12280">
      <formula>$H50="non"</formula>
    </cfRule>
  </conditionalFormatting>
  <conditionalFormatting sqref="D49">
    <cfRule type="expression" dxfId="11441" priority="12261">
      <formula>$F49="Formation CCF"</formula>
    </cfRule>
    <cfRule type="expression" dxfId="11440" priority="12262">
      <formula>$F49="Direction"</formula>
    </cfRule>
    <cfRule type="expression" dxfId="11439" priority="12263">
      <formula>$F49="Ventes Sicli"</formula>
    </cfRule>
    <cfRule type="expression" dxfId="11438" priority="12264">
      <formula>$F49="Ventes Chubb"</formula>
    </cfRule>
    <cfRule type="expression" dxfId="11437" priority="12265">
      <formula>$F49="SAV Sicli"</formula>
    </cfRule>
    <cfRule type="expression" dxfId="11436" priority="12266">
      <formula>$F49="SAV Chubb"</formula>
    </cfRule>
    <cfRule type="expression" dxfId="11435" priority="12267">
      <formula>$F49="Réalisation"</formula>
    </cfRule>
    <cfRule type="expression" dxfId="11434" priority="12268">
      <formula>$F49="Désenfumage"</formula>
    </cfRule>
    <cfRule type="expression" dxfId="11433" priority="12269">
      <formula>$F49="Administratif"</formula>
    </cfRule>
  </conditionalFormatting>
  <conditionalFormatting sqref="D49">
    <cfRule type="expression" dxfId="11432" priority="12260">
      <formula>$H49="non"</formula>
    </cfRule>
  </conditionalFormatting>
  <conditionalFormatting sqref="D48">
    <cfRule type="expression" dxfId="11431" priority="12251">
      <formula>$F48="Formation CCF"</formula>
    </cfRule>
    <cfRule type="expression" dxfId="11430" priority="12252">
      <formula>$F48="Direction"</formula>
    </cfRule>
    <cfRule type="expression" dxfId="11429" priority="12253">
      <formula>$F48="Ventes Sicli"</formula>
    </cfRule>
    <cfRule type="expression" dxfId="11428" priority="12254">
      <formula>$F48="Ventes Chubb"</formula>
    </cfRule>
    <cfRule type="expression" dxfId="11427" priority="12255">
      <formula>$F48="SAV Sicli"</formula>
    </cfRule>
    <cfRule type="expression" dxfId="11426" priority="12256">
      <formula>$F48="SAV Chubb"</formula>
    </cfRule>
    <cfRule type="expression" dxfId="11425" priority="12257">
      <formula>$F48="Réalisation"</formula>
    </cfRule>
    <cfRule type="expression" dxfId="11424" priority="12258">
      <formula>$F48="Désenfumage"</formula>
    </cfRule>
    <cfRule type="expression" dxfId="11423" priority="12259">
      <formula>$F48="Administratif"</formula>
    </cfRule>
  </conditionalFormatting>
  <conditionalFormatting sqref="D48">
    <cfRule type="expression" dxfId="11422" priority="12250">
      <formula>$H48="non"</formula>
    </cfRule>
  </conditionalFormatting>
  <conditionalFormatting sqref="D47">
    <cfRule type="expression" dxfId="11421" priority="12241">
      <formula>$F47="Formation CCF"</formula>
    </cfRule>
    <cfRule type="expression" dxfId="11420" priority="12242">
      <formula>$F47="Direction"</formula>
    </cfRule>
    <cfRule type="expression" dxfId="11419" priority="12243">
      <formula>$F47="Ventes Sicli"</formula>
    </cfRule>
    <cfRule type="expression" dxfId="11418" priority="12244">
      <formula>$F47="Ventes Chubb"</formula>
    </cfRule>
    <cfRule type="expression" dxfId="11417" priority="12245">
      <formula>$F47="SAV Sicli"</formula>
    </cfRule>
    <cfRule type="expression" dxfId="11416" priority="12246">
      <formula>$F47="SAV Chubb"</formula>
    </cfRule>
    <cfRule type="expression" dxfId="11415" priority="12247">
      <formula>$F47="Réalisation"</formula>
    </cfRule>
    <cfRule type="expression" dxfId="11414" priority="12248">
      <formula>$F47="Désenfumage"</formula>
    </cfRule>
    <cfRule type="expression" dxfId="11413" priority="12249">
      <formula>$F47="Administratif"</formula>
    </cfRule>
  </conditionalFormatting>
  <conditionalFormatting sqref="D47">
    <cfRule type="expression" dxfId="11412" priority="12240">
      <formula>$H47="non"</formula>
    </cfRule>
  </conditionalFormatting>
  <conditionalFormatting sqref="D44">
    <cfRule type="expression" dxfId="11411" priority="12231">
      <formula>$F44="Formation CCF"</formula>
    </cfRule>
    <cfRule type="expression" dxfId="11410" priority="12232">
      <formula>$F44="Direction"</formula>
    </cfRule>
    <cfRule type="expression" dxfId="11409" priority="12233">
      <formula>$F44="Ventes Sicli"</formula>
    </cfRule>
    <cfRule type="expression" dxfId="11408" priority="12234">
      <formula>$F44="Ventes Chubb"</formula>
    </cfRule>
    <cfRule type="expression" dxfId="11407" priority="12235">
      <formula>$F44="SAV Sicli"</formula>
    </cfRule>
    <cfRule type="expression" dxfId="11406" priority="12236">
      <formula>$F44="SAV Chubb"</formula>
    </cfRule>
    <cfRule type="expression" dxfId="11405" priority="12237">
      <formula>$F44="Réalisation"</formula>
    </cfRule>
    <cfRule type="expression" dxfId="11404" priority="12238">
      <formula>$F44="Désenfumage"</formula>
    </cfRule>
    <cfRule type="expression" dxfId="11403" priority="12239">
      <formula>$F44="Administratif"</formula>
    </cfRule>
  </conditionalFormatting>
  <conditionalFormatting sqref="D44">
    <cfRule type="expression" dxfId="11402" priority="12230">
      <formula>$H44="non"</formula>
    </cfRule>
  </conditionalFormatting>
  <conditionalFormatting sqref="D49">
    <cfRule type="expression" dxfId="11401" priority="12201">
      <formula>$F49="Formation CCF"</formula>
    </cfRule>
    <cfRule type="expression" dxfId="11400" priority="12202">
      <formula>$F49="Direction"</formula>
    </cfRule>
    <cfRule type="expression" dxfId="11399" priority="12203">
      <formula>$F49="Ventes Sicli"</formula>
    </cfRule>
    <cfRule type="expression" dxfId="11398" priority="12204">
      <formula>$F49="Ventes Chubb"</formula>
    </cfRule>
    <cfRule type="expression" dxfId="11397" priority="12205">
      <formula>$F49="SAV Sicli"</formula>
    </cfRule>
    <cfRule type="expression" dxfId="11396" priority="12206">
      <formula>$F49="SAV Chubb"</formula>
    </cfRule>
    <cfRule type="expression" dxfId="11395" priority="12207">
      <formula>$F49="Réalisation"</formula>
    </cfRule>
    <cfRule type="expression" dxfId="11394" priority="12208">
      <formula>$F49="Désenfumage"</formula>
    </cfRule>
    <cfRule type="expression" dxfId="11393" priority="12209">
      <formula>$F49="Administratif"</formula>
    </cfRule>
  </conditionalFormatting>
  <conditionalFormatting sqref="D49">
    <cfRule type="expression" dxfId="11392" priority="12200">
      <formula>$H49="non"</formula>
    </cfRule>
  </conditionalFormatting>
  <conditionalFormatting sqref="D48">
    <cfRule type="expression" dxfId="11391" priority="12191">
      <formula>$F48="Formation CCF"</formula>
    </cfRule>
    <cfRule type="expression" dxfId="11390" priority="12192">
      <formula>$F48="Direction"</formula>
    </cfRule>
    <cfRule type="expression" dxfId="11389" priority="12193">
      <formula>$F48="Ventes Sicli"</formula>
    </cfRule>
    <cfRule type="expression" dxfId="11388" priority="12194">
      <formula>$F48="Ventes Chubb"</formula>
    </cfRule>
    <cfRule type="expression" dxfId="11387" priority="12195">
      <formula>$F48="SAV Sicli"</formula>
    </cfRule>
    <cfRule type="expression" dxfId="11386" priority="12196">
      <formula>$F48="SAV Chubb"</formula>
    </cfRule>
    <cfRule type="expression" dxfId="11385" priority="12197">
      <formula>$F48="Réalisation"</formula>
    </cfRule>
    <cfRule type="expression" dxfId="11384" priority="12198">
      <formula>$F48="Désenfumage"</formula>
    </cfRule>
    <cfRule type="expression" dxfId="11383" priority="12199">
      <formula>$F48="Administratif"</formula>
    </cfRule>
  </conditionalFormatting>
  <conditionalFormatting sqref="D48">
    <cfRule type="expression" dxfId="11382" priority="12190">
      <formula>$H48="non"</formula>
    </cfRule>
  </conditionalFormatting>
  <conditionalFormatting sqref="D47">
    <cfRule type="expression" dxfId="11381" priority="12181">
      <formula>$F47="Formation CCF"</formula>
    </cfRule>
    <cfRule type="expression" dxfId="11380" priority="12182">
      <formula>$F47="Direction"</formula>
    </cfRule>
    <cfRule type="expression" dxfId="11379" priority="12183">
      <formula>$F47="Ventes Sicli"</formula>
    </cfRule>
    <cfRule type="expression" dxfId="11378" priority="12184">
      <formula>$F47="Ventes Chubb"</formula>
    </cfRule>
    <cfRule type="expression" dxfId="11377" priority="12185">
      <formula>$F47="SAV Sicli"</formula>
    </cfRule>
    <cfRule type="expression" dxfId="11376" priority="12186">
      <formula>$F47="SAV Chubb"</formula>
    </cfRule>
    <cfRule type="expression" dxfId="11375" priority="12187">
      <formula>$F47="Réalisation"</formula>
    </cfRule>
    <cfRule type="expression" dxfId="11374" priority="12188">
      <formula>$F47="Désenfumage"</formula>
    </cfRule>
    <cfRule type="expression" dxfId="11373" priority="12189">
      <formula>$F47="Administratif"</formula>
    </cfRule>
  </conditionalFormatting>
  <conditionalFormatting sqref="D47">
    <cfRule type="expression" dxfId="11372" priority="12180">
      <formula>$H47="non"</formula>
    </cfRule>
  </conditionalFormatting>
  <conditionalFormatting sqref="C49:D49">
    <cfRule type="expression" dxfId="11371" priority="12151">
      <formula>$F49="Formation CCF"</formula>
    </cfRule>
    <cfRule type="expression" dxfId="11370" priority="12152">
      <formula>$F49="Direction"</formula>
    </cfRule>
    <cfRule type="expression" dxfId="11369" priority="12153">
      <formula>$F49="Ventes Sicli"</formula>
    </cfRule>
    <cfRule type="expression" dxfId="11368" priority="12154">
      <formula>$F49="Ventes Chubb"</formula>
    </cfRule>
    <cfRule type="expression" dxfId="11367" priority="12155">
      <formula>$F49="SAV Sicli"</formula>
    </cfRule>
    <cfRule type="expression" dxfId="11366" priority="12156">
      <formula>$F49="SAV Chubb"</formula>
    </cfRule>
    <cfRule type="expression" dxfId="11365" priority="12157">
      <formula>$F49="Réalisation"</formula>
    </cfRule>
    <cfRule type="expression" dxfId="11364" priority="12158">
      <formula>$F49="Désenfumage"</formula>
    </cfRule>
    <cfRule type="expression" dxfId="11363" priority="12159">
      <formula>$F49="Administratif"</formula>
    </cfRule>
  </conditionalFormatting>
  <conditionalFormatting sqref="C49:D49">
    <cfRule type="expression" dxfId="11362" priority="12150">
      <formula>$H49="non"</formula>
    </cfRule>
  </conditionalFormatting>
  <conditionalFormatting sqref="C48:D48">
    <cfRule type="expression" dxfId="11361" priority="12141">
      <formula>$F48="Formation CCF"</formula>
    </cfRule>
    <cfRule type="expression" dxfId="11360" priority="12142">
      <formula>$F48="Direction"</formula>
    </cfRule>
    <cfRule type="expression" dxfId="11359" priority="12143">
      <formula>$F48="Ventes Sicli"</formula>
    </cfRule>
    <cfRule type="expression" dxfId="11358" priority="12144">
      <formula>$F48="Ventes Chubb"</formula>
    </cfRule>
    <cfRule type="expression" dxfId="11357" priority="12145">
      <formula>$F48="SAV Sicli"</formula>
    </cfRule>
    <cfRule type="expression" dxfId="11356" priority="12146">
      <formula>$F48="SAV Chubb"</formula>
    </cfRule>
    <cfRule type="expression" dxfId="11355" priority="12147">
      <formula>$F48="Réalisation"</formula>
    </cfRule>
    <cfRule type="expression" dxfId="11354" priority="12148">
      <formula>$F48="Désenfumage"</formula>
    </cfRule>
    <cfRule type="expression" dxfId="11353" priority="12149">
      <formula>$F48="Administratif"</formula>
    </cfRule>
  </conditionalFormatting>
  <conditionalFormatting sqref="C48:D48">
    <cfRule type="expression" dxfId="11352" priority="12140">
      <formula>$H48="non"</formula>
    </cfRule>
  </conditionalFormatting>
  <conditionalFormatting sqref="C47:D47">
    <cfRule type="expression" dxfId="11351" priority="12131">
      <formula>$F47="Formation CCF"</formula>
    </cfRule>
    <cfRule type="expression" dxfId="11350" priority="12132">
      <formula>$F47="Direction"</formula>
    </cfRule>
    <cfRule type="expression" dxfId="11349" priority="12133">
      <formula>$F47="Ventes Sicli"</formula>
    </cfRule>
    <cfRule type="expression" dxfId="11348" priority="12134">
      <formula>$F47="Ventes Chubb"</formula>
    </cfRule>
    <cfRule type="expression" dxfId="11347" priority="12135">
      <formula>$F47="SAV Sicli"</formula>
    </cfRule>
    <cfRule type="expression" dxfId="11346" priority="12136">
      <formula>$F47="SAV Chubb"</formula>
    </cfRule>
    <cfRule type="expression" dxfId="11345" priority="12137">
      <formula>$F47="Réalisation"</formula>
    </cfRule>
    <cfRule type="expression" dxfId="11344" priority="12138">
      <formula>$F47="Désenfumage"</formula>
    </cfRule>
    <cfRule type="expression" dxfId="11343" priority="12139">
      <formula>$F47="Administratif"</formula>
    </cfRule>
  </conditionalFormatting>
  <conditionalFormatting sqref="C47:D47">
    <cfRule type="expression" dxfId="11342" priority="12130">
      <formula>$H47="non"</formula>
    </cfRule>
  </conditionalFormatting>
  <conditionalFormatting sqref="C44:D44">
    <cfRule type="expression" dxfId="11341" priority="12121">
      <formula>$F44="Formation CCF"</formula>
    </cfRule>
    <cfRule type="expression" dxfId="11340" priority="12122">
      <formula>$F44="Direction"</formula>
    </cfRule>
    <cfRule type="expression" dxfId="11339" priority="12123">
      <formula>$F44="Ventes Sicli"</formula>
    </cfRule>
    <cfRule type="expression" dxfId="11338" priority="12124">
      <formula>$F44="Ventes Chubb"</formula>
    </cfRule>
    <cfRule type="expression" dxfId="11337" priority="12125">
      <formula>$F44="SAV Sicli"</formula>
    </cfRule>
    <cfRule type="expression" dxfId="11336" priority="12126">
      <formula>$F44="SAV Chubb"</formula>
    </cfRule>
    <cfRule type="expression" dxfId="11335" priority="12127">
      <formula>$F44="Réalisation"</formula>
    </cfRule>
    <cfRule type="expression" dxfId="11334" priority="12128">
      <formula>$F44="Désenfumage"</formula>
    </cfRule>
    <cfRule type="expression" dxfId="11333" priority="12129">
      <formula>$F44="Administratif"</formula>
    </cfRule>
  </conditionalFormatting>
  <conditionalFormatting sqref="C44:D44">
    <cfRule type="expression" dxfId="11332" priority="12120">
      <formula>$H44="non"</formula>
    </cfRule>
  </conditionalFormatting>
  <conditionalFormatting sqref="C47:D47">
    <cfRule type="expression" dxfId="11331" priority="12081">
      <formula>$F47="Formation CCF"</formula>
    </cfRule>
    <cfRule type="expression" dxfId="11330" priority="12082">
      <formula>$F47="Direction"</formula>
    </cfRule>
    <cfRule type="expression" dxfId="11329" priority="12083">
      <formula>$F47="Ventes Sicli"</formula>
    </cfRule>
    <cfRule type="expression" dxfId="11328" priority="12084">
      <formula>$F47="Ventes Chubb"</formula>
    </cfRule>
    <cfRule type="expression" dxfId="11327" priority="12085">
      <formula>$F47="SAV Sicli"</formula>
    </cfRule>
    <cfRule type="expression" dxfId="11326" priority="12086">
      <formula>$F47="SAV Chubb"</formula>
    </cfRule>
    <cfRule type="expression" dxfId="11325" priority="12087">
      <formula>$F47="Réalisation"</formula>
    </cfRule>
    <cfRule type="expression" dxfId="11324" priority="12088">
      <formula>$F47="Désenfumage"</formula>
    </cfRule>
    <cfRule type="expression" dxfId="11323" priority="12089">
      <formula>$F47="Administratif"</formula>
    </cfRule>
  </conditionalFormatting>
  <conditionalFormatting sqref="C47:D47">
    <cfRule type="expression" dxfId="11322" priority="12080">
      <formula>$H47="non"</formula>
    </cfRule>
  </conditionalFormatting>
  <conditionalFormatting sqref="C44:D44">
    <cfRule type="expression" dxfId="11321" priority="12071">
      <formula>$F44="Formation CCF"</formula>
    </cfRule>
    <cfRule type="expression" dxfId="11320" priority="12072">
      <formula>$F44="Direction"</formula>
    </cfRule>
    <cfRule type="expression" dxfId="11319" priority="12073">
      <formula>$F44="Ventes Sicli"</formula>
    </cfRule>
    <cfRule type="expression" dxfId="11318" priority="12074">
      <formula>$F44="Ventes Chubb"</formula>
    </cfRule>
    <cfRule type="expression" dxfId="11317" priority="12075">
      <formula>$F44="SAV Sicli"</formula>
    </cfRule>
    <cfRule type="expression" dxfId="11316" priority="12076">
      <formula>$F44="SAV Chubb"</formula>
    </cfRule>
    <cfRule type="expression" dxfId="11315" priority="12077">
      <formula>$F44="Réalisation"</formula>
    </cfRule>
    <cfRule type="expression" dxfId="11314" priority="12078">
      <formula>$F44="Désenfumage"</formula>
    </cfRule>
    <cfRule type="expression" dxfId="11313" priority="12079">
      <formula>$F44="Administratif"</formula>
    </cfRule>
  </conditionalFormatting>
  <conditionalFormatting sqref="C44:D44">
    <cfRule type="expression" dxfId="11312" priority="12070">
      <formula>$H44="non"</formula>
    </cfRule>
  </conditionalFormatting>
  <conditionalFormatting sqref="D49">
    <cfRule type="expression" dxfId="11311" priority="11791">
      <formula>$F49="Formation CCF"</formula>
    </cfRule>
    <cfRule type="expression" dxfId="11310" priority="11792">
      <formula>$F49="Direction"</formula>
    </cfRule>
    <cfRule type="expression" dxfId="11309" priority="11793">
      <formula>$F49="Ventes Sicli"</formula>
    </cfRule>
    <cfRule type="expression" dxfId="11308" priority="11794">
      <formula>$F49="Ventes Chubb"</formula>
    </cfRule>
    <cfRule type="expression" dxfId="11307" priority="11795">
      <formula>$F49="SAV Sicli"</formula>
    </cfRule>
    <cfRule type="expression" dxfId="11306" priority="11796">
      <formula>$F49="SAV Chubb"</formula>
    </cfRule>
    <cfRule type="expression" dxfId="11305" priority="11797">
      <formula>$F49="Réalisation"</formula>
    </cfRule>
    <cfRule type="expression" dxfId="11304" priority="11798">
      <formula>$F49="Désenfumage"</formula>
    </cfRule>
    <cfRule type="expression" dxfId="11303" priority="11799">
      <formula>$F49="Administratif"</formula>
    </cfRule>
  </conditionalFormatting>
  <conditionalFormatting sqref="D49">
    <cfRule type="expression" dxfId="11302" priority="11790">
      <formula>$H49="non"</formula>
    </cfRule>
  </conditionalFormatting>
  <conditionalFormatting sqref="D47">
    <cfRule type="expression" dxfId="11301" priority="11461">
      <formula>$F47="Formation CCF"</formula>
    </cfRule>
    <cfRule type="expression" dxfId="11300" priority="11462">
      <formula>$F47="Direction"</formula>
    </cfRule>
    <cfRule type="expression" dxfId="11299" priority="11463">
      <formula>$F47="Ventes Sicli"</formula>
    </cfRule>
    <cfRule type="expression" dxfId="11298" priority="11464">
      <formula>$F47="Ventes Chubb"</formula>
    </cfRule>
    <cfRule type="expression" dxfId="11297" priority="11465">
      <formula>$F47="SAV Sicli"</formula>
    </cfRule>
    <cfRule type="expression" dxfId="11296" priority="11466">
      <formula>$F47="SAV Chubb"</formula>
    </cfRule>
    <cfRule type="expression" dxfId="11295" priority="11467">
      <formula>$F47="Réalisation"</formula>
    </cfRule>
    <cfRule type="expression" dxfId="11294" priority="11468">
      <formula>$F47="Désenfumage"</formula>
    </cfRule>
    <cfRule type="expression" dxfId="11293" priority="11469">
      <formula>$F47="Administratif"</formula>
    </cfRule>
  </conditionalFormatting>
  <conditionalFormatting sqref="D47">
    <cfRule type="expression" dxfId="11292" priority="11460">
      <formula>$H47="non"</formula>
    </cfRule>
  </conditionalFormatting>
  <conditionalFormatting sqref="D51">
    <cfRule type="expression" dxfId="11291" priority="12051">
      <formula>$F51="Formation CCF"</formula>
    </cfRule>
    <cfRule type="expression" dxfId="11290" priority="12052">
      <formula>$F51="Direction"</formula>
    </cfRule>
    <cfRule type="expression" dxfId="11289" priority="12053">
      <formula>$F51="Ventes Sicli"</formula>
    </cfRule>
    <cfRule type="expression" dxfId="11288" priority="12054">
      <formula>$F51="Ventes Chubb"</formula>
    </cfRule>
    <cfRule type="expression" dxfId="11287" priority="12055">
      <formula>$F51="SAV Sicli"</formula>
    </cfRule>
    <cfRule type="expression" dxfId="11286" priority="12056">
      <formula>$F51="SAV Chubb"</formula>
    </cfRule>
    <cfRule type="expression" dxfId="11285" priority="12057">
      <formula>$F51="Réalisation"</formula>
    </cfRule>
    <cfRule type="expression" dxfId="11284" priority="12058">
      <formula>$F51="Désenfumage"</formula>
    </cfRule>
    <cfRule type="expression" dxfId="11283" priority="12059">
      <formula>$F51="Administratif"</formula>
    </cfRule>
  </conditionalFormatting>
  <conditionalFormatting sqref="D51">
    <cfRule type="expression" dxfId="11282" priority="12050">
      <formula>$H51="non"</formula>
    </cfRule>
  </conditionalFormatting>
  <conditionalFormatting sqref="D50">
    <cfRule type="expression" dxfId="11281" priority="12041">
      <formula>$F50="Formation CCF"</formula>
    </cfRule>
    <cfRule type="expression" dxfId="11280" priority="12042">
      <formula>$F50="Direction"</formula>
    </cfRule>
    <cfRule type="expression" dxfId="11279" priority="12043">
      <formula>$F50="Ventes Sicli"</formula>
    </cfRule>
    <cfRule type="expression" dxfId="11278" priority="12044">
      <formula>$F50="Ventes Chubb"</formula>
    </cfRule>
    <cfRule type="expression" dxfId="11277" priority="12045">
      <formula>$F50="SAV Sicli"</formula>
    </cfRule>
    <cfRule type="expression" dxfId="11276" priority="12046">
      <formula>$F50="SAV Chubb"</formula>
    </cfRule>
    <cfRule type="expression" dxfId="11275" priority="12047">
      <formula>$F50="Réalisation"</formula>
    </cfRule>
    <cfRule type="expression" dxfId="11274" priority="12048">
      <formula>$F50="Désenfumage"</formula>
    </cfRule>
    <cfRule type="expression" dxfId="11273" priority="12049">
      <formula>$F50="Administratif"</formula>
    </cfRule>
  </conditionalFormatting>
  <conditionalFormatting sqref="D50">
    <cfRule type="expression" dxfId="11272" priority="12040">
      <formula>$H50="non"</formula>
    </cfRule>
  </conditionalFormatting>
  <conditionalFormatting sqref="D49">
    <cfRule type="expression" dxfId="11271" priority="12021">
      <formula>$F49="Formation CCF"</formula>
    </cfRule>
    <cfRule type="expression" dxfId="11270" priority="12022">
      <formula>$F49="Direction"</formula>
    </cfRule>
    <cfRule type="expression" dxfId="11269" priority="12023">
      <formula>$F49="Ventes Sicli"</formula>
    </cfRule>
    <cfRule type="expression" dxfId="11268" priority="12024">
      <formula>$F49="Ventes Chubb"</formula>
    </cfRule>
    <cfRule type="expression" dxfId="11267" priority="12025">
      <formula>$F49="SAV Sicli"</formula>
    </cfRule>
    <cfRule type="expression" dxfId="11266" priority="12026">
      <formula>$F49="SAV Chubb"</formula>
    </cfRule>
    <cfRule type="expression" dxfId="11265" priority="12027">
      <formula>$F49="Réalisation"</formula>
    </cfRule>
    <cfRule type="expression" dxfId="11264" priority="12028">
      <formula>$F49="Désenfumage"</formula>
    </cfRule>
    <cfRule type="expression" dxfId="11263" priority="12029">
      <formula>$F49="Administratif"</formula>
    </cfRule>
  </conditionalFormatting>
  <conditionalFormatting sqref="D49">
    <cfRule type="expression" dxfId="11262" priority="12020">
      <formula>$H49="non"</formula>
    </cfRule>
  </conditionalFormatting>
  <conditionalFormatting sqref="D48">
    <cfRule type="expression" dxfId="11261" priority="12011">
      <formula>$F48="Formation CCF"</formula>
    </cfRule>
    <cfRule type="expression" dxfId="11260" priority="12012">
      <formula>$F48="Direction"</formula>
    </cfRule>
    <cfRule type="expression" dxfId="11259" priority="12013">
      <formula>$F48="Ventes Sicli"</formula>
    </cfRule>
    <cfRule type="expression" dxfId="11258" priority="12014">
      <formula>$F48="Ventes Chubb"</formula>
    </cfRule>
    <cfRule type="expression" dxfId="11257" priority="12015">
      <formula>$F48="SAV Sicli"</formula>
    </cfRule>
    <cfRule type="expression" dxfId="11256" priority="12016">
      <formula>$F48="SAV Chubb"</formula>
    </cfRule>
    <cfRule type="expression" dxfId="11255" priority="12017">
      <formula>$F48="Réalisation"</formula>
    </cfRule>
    <cfRule type="expression" dxfId="11254" priority="12018">
      <formula>$F48="Désenfumage"</formula>
    </cfRule>
    <cfRule type="expression" dxfId="11253" priority="12019">
      <formula>$F48="Administratif"</formula>
    </cfRule>
  </conditionalFormatting>
  <conditionalFormatting sqref="D48">
    <cfRule type="expression" dxfId="11252" priority="12010">
      <formula>$H48="non"</formula>
    </cfRule>
  </conditionalFormatting>
  <conditionalFormatting sqref="D47">
    <cfRule type="expression" dxfId="11251" priority="12001">
      <formula>$F47="Formation CCF"</formula>
    </cfRule>
    <cfRule type="expression" dxfId="11250" priority="12002">
      <formula>$F47="Direction"</formula>
    </cfRule>
    <cfRule type="expression" dxfId="11249" priority="12003">
      <formula>$F47="Ventes Sicli"</formula>
    </cfRule>
    <cfRule type="expression" dxfId="11248" priority="12004">
      <formula>$F47="Ventes Chubb"</formula>
    </cfRule>
    <cfRule type="expression" dxfId="11247" priority="12005">
      <formula>$F47="SAV Sicli"</formula>
    </cfRule>
    <cfRule type="expression" dxfId="11246" priority="12006">
      <formula>$F47="SAV Chubb"</formula>
    </cfRule>
    <cfRule type="expression" dxfId="11245" priority="12007">
      <formula>$F47="Réalisation"</formula>
    </cfRule>
    <cfRule type="expression" dxfId="11244" priority="12008">
      <formula>$F47="Désenfumage"</formula>
    </cfRule>
    <cfRule type="expression" dxfId="11243" priority="12009">
      <formula>$F47="Administratif"</formula>
    </cfRule>
  </conditionalFormatting>
  <conditionalFormatting sqref="D47">
    <cfRule type="expression" dxfId="11242" priority="12000">
      <formula>$H47="non"</formula>
    </cfRule>
  </conditionalFormatting>
  <conditionalFormatting sqref="D44">
    <cfRule type="expression" dxfId="11241" priority="11991">
      <formula>$F44="Formation CCF"</formula>
    </cfRule>
    <cfRule type="expression" dxfId="11240" priority="11992">
      <formula>$F44="Direction"</formula>
    </cfRule>
    <cfRule type="expression" dxfId="11239" priority="11993">
      <formula>$F44="Ventes Sicli"</formula>
    </cfRule>
    <cfRule type="expression" dxfId="11238" priority="11994">
      <formula>$F44="Ventes Chubb"</formula>
    </cfRule>
    <cfRule type="expression" dxfId="11237" priority="11995">
      <formula>$F44="SAV Sicli"</formula>
    </cfRule>
    <cfRule type="expression" dxfId="11236" priority="11996">
      <formula>$F44="SAV Chubb"</formula>
    </cfRule>
    <cfRule type="expression" dxfId="11235" priority="11997">
      <formula>$F44="Réalisation"</formula>
    </cfRule>
    <cfRule type="expression" dxfId="11234" priority="11998">
      <formula>$F44="Désenfumage"</formula>
    </cfRule>
    <cfRule type="expression" dxfId="11233" priority="11999">
      <formula>$F44="Administratif"</formula>
    </cfRule>
  </conditionalFormatting>
  <conditionalFormatting sqref="D44">
    <cfRule type="expression" dxfId="11232" priority="11990">
      <formula>$H44="non"</formula>
    </cfRule>
  </conditionalFormatting>
  <conditionalFormatting sqref="D51">
    <cfRule type="expression" dxfId="11231" priority="11971">
      <formula>$F51="Formation CCF"</formula>
    </cfRule>
    <cfRule type="expression" dxfId="11230" priority="11972">
      <formula>$F51="Direction"</formula>
    </cfRule>
    <cfRule type="expression" dxfId="11229" priority="11973">
      <formula>$F51="Ventes Sicli"</formula>
    </cfRule>
    <cfRule type="expression" dxfId="11228" priority="11974">
      <formula>$F51="Ventes Chubb"</formula>
    </cfRule>
    <cfRule type="expression" dxfId="11227" priority="11975">
      <formula>$F51="SAV Sicli"</formula>
    </cfRule>
    <cfRule type="expression" dxfId="11226" priority="11976">
      <formula>$F51="SAV Chubb"</formula>
    </cfRule>
    <cfRule type="expression" dxfId="11225" priority="11977">
      <formula>$F51="Réalisation"</formula>
    </cfRule>
    <cfRule type="expression" dxfId="11224" priority="11978">
      <formula>$F51="Désenfumage"</formula>
    </cfRule>
    <cfRule type="expression" dxfId="11223" priority="11979">
      <formula>$F51="Administratif"</formula>
    </cfRule>
  </conditionalFormatting>
  <conditionalFormatting sqref="D51">
    <cfRule type="expression" dxfId="11222" priority="11970">
      <formula>$H51="non"</formula>
    </cfRule>
  </conditionalFormatting>
  <conditionalFormatting sqref="D50">
    <cfRule type="expression" dxfId="11221" priority="11961">
      <formula>$F50="Formation CCF"</formula>
    </cfRule>
    <cfRule type="expression" dxfId="11220" priority="11962">
      <formula>$F50="Direction"</formula>
    </cfRule>
    <cfRule type="expression" dxfId="11219" priority="11963">
      <formula>$F50="Ventes Sicli"</formula>
    </cfRule>
    <cfRule type="expression" dxfId="11218" priority="11964">
      <formula>$F50="Ventes Chubb"</formula>
    </cfRule>
    <cfRule type="expression" dxfId="11217" priority="11965">
      <formula>$F50="SAV Sicli"</formula>
    </cfRule>
    <cfRule type="expression" dxfId="11216" priority="11966">
      <formula>$F50="SAV Chubb"</formula>
    </cfRule>
    <cfRule type="expression" dxfId="11215" priority="11967">
      <formula>$F50="Réalisation"</formula>
    </cfRule>
    <cfRule type="expression" dxfId="11214" priority="11968">
      <formula>$F50="Désenfumage"</formula>
    </cfRule>
    <cfRule type="expression" dxfId="11213" priority="11969">
      <formula>$F50="Administratif"</formula>
    </cfRule>
  </conditionalFormatting>
  <conditionalFormatting sqref="D50">
    <cfRule type="expression" dxfId="11212" priority="11960">
      <formula>$H50="non"</formula>
    </cfRule>
  </conditionalFormatting>
  <conditionalFormatting sqref="D49">
    <cfRule type="expression" dxfId="11211" priority="11941">
      <formula>$F49="Formation CCF"</formula>
    </cfRule>
    <cfRule type="expression" dxfId="11210" priority="11942">
      <formula>$F49="Direction"</formula>
    </cfRule>
    <cfRule type="expression" dxfId="11209" priority="11943">
      <formula>$F49="Ventes Sicli"</formula>
    </cfRule>
    <cfRule type="expression" dxfId="11208" priority="11944">
      <formula>$F49="Ventes Chubb"</formula>
    </cfRule>
    <cfRule type="expression" dxfId="11207" priority="11945">
      <formula>$F49="SAV Sicli"</formula>
    </cfRule>
    <cfRule type="expression" dxfId="11206" priority="11946">
      <formula>$F49="SAV Chubb"</formula>
    </cfRule>
    <cfRule type="expression" dxfId="11205" priority="11947">
      <formula>$F49="Réalisation"</formula>
    </cfRule>
    <cfRule type="expression" dxfId="11204" priority="11948">
      <formula>$F49="Désenfumage"</formula>
    </cfRule>
    <cfRule type="expression" dxfId="11203" priority="11949">
      <formula>$F49="Administratif"</formula>
    </cfRule>
  </conditionalFormatting>
  <conditionalFormatting sqref="D49">
    <cfRule type="expression" dxfId="11202" priority="11940">
      <formula>$H49="non"</formula>
    </cfRule>
  </conditionalFormatting>
  <conditionalFormatting sqref="D48">
    <cfRule type="expression" dxfId="11201" priority="11931">
      <formula>$F48="Formation CCF"</formula>
    </cfRule>
    <cfRule type="expression" dxfId="11200" priority="11932">
      <formula>$F48="Direction"</formula>
    </cfRule>
    <cfRule type="expression" dxfId="11199" priority="11933">
      <formula>$F48="Ventes Sicli"</formula>
    </cfRule>
    <cfRule type="expression" dxfId="11198" priority="11934">
      <formula>$F48="Ventes Chubb"</formula>
    </cfRule>
    <cfRule type="expression" dxfId="11197" priority="11935">
      <formula>$F48="SAV Sicli"</formula>
    </cfRule>
    <cfRule type="expression" dxfId="11196" priority="11936">
      <formula>$F48="SAV Chubb"</formula>
    </cfRule>
    <cfRule type="expression" dxfId="11195" priority="11937">
      <formula>$F48="Réalisation"</formula>
    </cfRule>
    <cfRule type="expression" dxfId="11194" priority="11938">
      <formula>$F48="Désenfumage"</formula>
    </cfRule>
    <cfRule type="expression" dxfId="11193" priority="11939">
      <formula>$F48="Administratif"</formula>
    </cfRule>
  </conditionalFormatting>
  <conditionalFormatting sqref="D48">
    <cfRule type="expression" dxfId="11192" priority="11930">
      <formula>$H48="non"</formula>
    </cfRule>
  </conditionalFormatting>
  <conditionalFormatting sqref="D47">
    <cfRule type="expression" dxfId="11191" priority="11921">
      <formula>$F47="Formation CCF"</formula>
    </cfRule>
    <cfRule type="expression" dxfId="11190" priority="11922">
      <formula>$F47="Direction"</formula>
    </cfRule>
    <cfRule type="expression" dxfId="11189" priority="11923">
      <formula>$F47="Ventes Sicli"</formula>
    </cfRule>
    <cfRule type="expression" dxfId="11188" priority="11924">
      <formula>$F47="Ventes Chubb"</formula>
    </cfRule>
    <cfRule type="expression" dxfId="11187" priority="11925">
      <formula>$F47="SAV Sicli"</formula>
    </cfRule>
    <cfRule type="expression" dxfId="11186" priority="11926">
      <formula>$F47="SAV Chubb"</formula>
    </cfRule>
    <cfRule type="expression" dxfId="11185" priority="11927">
      <formula>$F47="Réalisation"</formula>
    </cfRule>
    <cfRule type="expression" dxfId="11184" priority="11928">
      <formula>$F47="Désenfumage"</formula>
    </cfRule>
    <cfRule type="expression" dxfId="11183" priority="11929">
      <formula>$F47="Administratif"</formula>
    </cfRule>
  </conditionalFormatting>
  <conditionalFormatting sqref="D47">
    <cfRule type="expression" dxfId="11182" priority="11920">
      <formula>$H47="non"</formula>
    </cfRule>
  </conditionalFormatting>
  <conditionalFormatting sqref="D44">
    <cfRule type="expression" dxfId="11181" priority="11911">
      <formula>$F44="Formation CCF"</formula>
    </cfRule>
    <cfRule type="expression" dxfId="11180" priority="11912">
      <formula>$F44="Direction"</formula>
    </cfRule>
    <cfRule type="expression" dxfId="11179" priority="11913">
      <formula>$F44="Ventes Sicli"</formula>
    </cfRule>
    <cfRule type="expression" dxfId="11178" priority="11914">
      <formula>$F44="Ventes Chubb"</formula>
    </cfRule>
    <cfRule type="expression" dxfId="11177" priority="11915">
      <formula>$F44="SAV Sicli"</formula>
    </cfRule>
    <cfRule type="expression" dxfId="11176" priority="11916">
      <formula>$F44="SAV Chubb"</formula>
    </cfRule>
    <cfRule type="expression" dxfId="11175" priority="11917">
      <formula>$F44="Réalisation"</formula>
    </cfRule>
    <cfRule type="expression" dxfId="11174" priority="11918">
      <formula>$F44="Désenfumage"</formula>
    </cfRule>
    <cfRule type="expression" dxfId="11173" priority="11919">
      <formula>$F44="Administratif"</formula>
    </cfRule>
  </conditionalFormatting>
  <conditionalFormatting sqref="D44">
    <cfRule type="expression" dxfId="11172" priority="11910">
      <formula>$H44="non"</formula>
    </cfRule>
  </conditionalFormatting>
  <conditionalFormatting sqref="D51">
    <cfRule type="expression" dxfId="11171" priority="11901">
      <formula>$F51="Formation CCF"</formula>
    </cfRule>
    <cfRule type="expression" dxfId="11170" priority="11902">
      <formula>$F51="Direction"</formula>
    </cfRule>
    <cfRule type="expression" dxfId="11169" priority="11903">
      <formula>$F51="Ventes Sicli"</formula>
    </cfRule>
    <cfRule type="expression" dxfId="11168" priority="11904">
      <formula>$F51="Ventes Chubb"</formula>
    </cfRule>
    <cfRule type="expression" dxfId="11167" priority="11905">
      <formula>$F51="SAV Sicli"</formula>
    </cfRule>
    <cfRule type="expression" dxfId="11166" priority="11906">
      <formula>$F51="SAV Chubb"</formula>
    </cfRule>
    <cfRule type="expression" dxfId="11165" priority="11907">
      <formula>$F51="Réalisation"</formula>
    </cfRule>
    <cfRule type="expression" dxfId="11164" priority="11908">
      <formula>$F51="Désenfumage"</formula>
    </cfRule>
    <cfRule type="expression" dxfId="11163" priority="11909">
      <formula>$F51="Administratif"</formula>
    </cfRule>
  </conditionalFormatting>
  <conditionalFormatting sqref="D51">
    <cfRule type="expression" dxfId="11162" priority="11900">
      <formula>$H51="non"</formula>
    </cfRule>
  </conditionalFormatting>
  <conditionalFormatting sqref="D50">
    <cfRule type="expression" dxfId="11161" priority="11891">
      <formula>$F50="Formation CCF"</formula>
    </cfRule>
    <cfRule type="expression" dxfId="11160" priority="11892">
      <formula>$F50="Direction"</formula>
    </cfRule>
    <cfRule type="expression" dxfId="11159" priority="11893">
      <formula>$F50="Ventes Sicli"</formula>
    </cfRule>
    <cfRule type="expression" dxfId="11158" priority="11894">
      <formula>$F50="Ventes Chubb"</formula>
    </cfRule>
    <cfRule type="expression" dxfId="11157" priority="11895">
      <formula>$F50="SAV Sicli"</formula>
    </cfRule>
    <cfRule type="expression" dxfId="11156" priority="11896">
      <formula>$F50="SAV Chubb"</formula>
    </cfRule>
    <cfRule type="expression" dxfId="11155" priority="11897">
      <formula>$F50="Réalisation"</formula>
    </cfRule>
    <cfRule type="expression" dxfId="11154" priority="11898">
      <formula>$F50="Désenfumage"</formula>
    </cfRule>
    <cfRule type="expression" dxfId="11153" priority="11899">
      <formula>$F50="Administratif"</formula>
    </cfRule>
  </conditionalFormatting>
  <conditionalFormatting sqref="D50">
    <cfRule type="expression" dxfId="11152" priority="11890">
      <formula>$H50="non"</formula>
    </cfRule>
  </conditionalFormatting>
  <conditionalFormatting sqref="D49">
    <cfRule type="expression" dxfId="11151" priority="11871">
      <formula>$F49="Formation CCF"</formula>
    </cfRule>
    <cfRule type="expression" dxfId="11150" priority="11872">
      <formula>$F49="Direction"</formula>
    </cfRule>
    <cfRule type="expression" dxfId="11149" priority="11873">
      <formula>$F49="Ventes Sicli"</formula>
    </cfRule>
    <cfRule type="expression" dxfId="11148" priority="11874">
      <formula>$F49="Ventes Chubb"</formula>
    </cfRule>
    <cfRule type="expression" dxfId="11147" priority="11875">
      <formula>$F49="SAV Sicli"</formula>
    </cfRule>
    <cfRule type="expression" dxfId="11146" priority="11876">
      <formula>$F49="SAV Chubb"</formula>
    </cfRule>
    <cfRule type="expression" dxfId="11145" priority="11877">
      <formula>$F49="Réalisation"</formula>
    </cfRule>
    <cfRule type="expression" dxfId="11144" priority="11878">
      <formula>$F49="Désenfumage"</formula>
    </cfRule>
    <cfRule type="expression" dxfId="11143" priority="11879">
      <formula>$F49="Administratif"</formula>
    </cfRule>
  </conditionalFormatting>
  <conditionalFormatting sqref="D49">
    <cfRule type="expression" dxfId="11142" priority="11870">
      <formula>$H49="non"</formula>
    </cfRule>
  </conditionalFormatting>
  <conditionalFormatting sqref="D48">
    <cfRule type="expression" dxfId="11141" priority="11861">
      <formula>$F48="Formation CCF"</formula>
    </cfRule>
    <cfRule type="expression" dxfId="11140" priority="11862">
      <formula>$F48="Direction"</formula>
    </cfRule>
    <cfRule type="expression" dxfId="11139" priority="11863">
      <formula>$F48="Ventes Sicli"</formula>
    </cfRule>
    <cfRule type="expression" dxfId="11138" priority="11864">
      <formula>$F48="Ventes Chubb"</formula>
    </cfRule>
    <cfRule type="expression" dxfId="11137" priority="11865">
      <formula>$F48="SAV Sicli"</formula>
    </cfRule>
    <cfRule type="expression" dxfId="11136" priority="11866">
      <formula>$F48="SAV Chubb"</formula>
    </cfRule>
    <cfRule type="expression" dxfId="11135" priority="11867">
      <formula>$F48="Réalisation"</formula>
    </cfRule>
    <cfRule type="expression" dxfId="11134" priority="11868">
      <formula>$F48="Désenfumage"</formula>
    </cfRule>
    <cfRule type="expression" dxfId="11133" priority="11869">
      <formula>$F48="Administratif"</formula>
    </cfRule>
  </conditionalFormatting>
  <conditionalFormatting sqref="D48">
    <cfRule type="expression" dxfId="11132" priority="11860">
      <formula>$H48="non"</formula>
    </cfRule>
  </conditionalFormatting>
  <conditionalFormatting sqref="D47">
    <cfRule type="expression" dxfId="11131" priority="11851">
      <formula>$F47="Formation CCF"</formula>
    </cfRule>
    <cfRule type="expression" dxfId="11130" priority="11852">
      <formula>$F47="Direction"</formula>
    </cfRule>
    <cfRule type="expression" dxfId="11129" priority="11853">
      <formula>$F47="Ventes Sicli"</formula>
    </cfRule>
    <cfRule type="expression" dxfId="11128" priority="11854">
      <formula>$F47="Ventes Chubb"</formula>
    </cfRule>
    <cfRule type="expression" dxfId="11127" priority="11855">
      <formula>$F47="SAV Sicli"</formula>
    </cfRule>
    <cfRule type="expression" dxfId="11126" priority="11856">
      <formula>$F47="SAV Chubb"</formula>
    </cfRule>
    <cfRule type="expression" dxfId="11125" priority="11857">
      <formula>$F47="Réalisation"</formula>
    </cfRule>
    <cfRule type="expression" dxfId="11124" priority="11858">
      <formula>$F47="Désenfumage"</formula>
    </cfRule>
    <cfRule type="expression" dxfId="11123" priority="11859">
      <formula>$F47="Administratif"</formula>
    </cfRule>
  </conditionalFormatting>
  <conditionalFormatting sqref="D47">
    <cfRule type="expression" dxfId="11122" priority="11850">
      <formula>$H47="non"</formula>
    </cfRule>
  </conditionalFormatting>
  <conditionalFormatting sqref="D44">
    <cfRule type="expression" dxfId="11121" priority="11841">
      <formula>$F44="Formation CCF"</formula>
    </cfRule>
    <cfRule type="expression" dxfId="11120" priority="11842">
      <formula>$F44="Direction"</formula>
    </cfRule>
    <cfRule type="expression" dxfId="11119" priority="11843">
      <formula>$F44="Ventes Sicli"</formula>
    </cfRule>
    <cfRule type="expression" dxfId="11118" priority="11844">
      <formula>$F44="Ventes Chubb"</formula>
    </cfRule>
    <cfRule type="expression" dxfId="11117" priority="11845">
      <formula>$F44="SAV Sicli"</formula>
    </cfRule>
    <cfRule type="expression" dxfId="11116" priority="11846">
      <formula>$F44="SAV Chubb"</formula>
    </cfRule>
    <cfRule type="expression" dxfId="11115" priority="11847">
      <formula>$F44="Réalisation"</formula>
    </cfRule>
    <cfRule type="expression" dxfId="11114" priority="11848">
      <formula>$F44="Désenfumage"</formula>
    </cfRule>
    <cfRule type="expression" dxfId="11113" priority="11849">
      <formula>$F44="Administratif"</formula>
    </cfRule>
  </conditionalFormatting>
  <conditionalFormatting sqref="D44">
    <cfRule type="expression" dxfId="11112" priority="11840">
      <formula>$H44="non"</formula>
    </cfRule>
  </conditionalFormatting>
  <conditionalFormatting sqref="D51">
    <cfRule type="expression" dxfId="11111" priority="11821">
      <formula>$F51="Formation CCF"</formula>
    </cfRule>
    <cfRule type="expression" dxfId="11110" priority="11822">
      <formula>$F51="Direction"</formula>
    </cfRule>
    <cfRule type="expression" dxfId="11109" priority="11823">
      <formula>$F51="Ventes Sicli"</formula>
    </cfRule>
    <cfRule type="expression" dxfId="11108" priority="11824">
      <formula>$F51="Ventes Chubb"</formula>
    </cfRule>
    <cfRule type="expression" dxfId="11107" priority="11825">
      <formula>$F51="SAV Sicli"</formula>
    </cfRule>
    <cfRule type="expression" dxfId="11106" priority="11826">
      <formula>$F51="SAV Chubb"</formula>
    </cfRule>
    <cfRule type="expression" dxfId="11105" priority="11827">
      <formula>$F51="Réalisation"</formula>
    </cfRule>
    <cfRule type="expression" dxfId="11104" priority="11828">
      <formula>$F51="Désenfumage"</formula>
    </cfRule>
    <cfRule type="expression" dxfId="11103" priority="11829">
      <formula>$F51="Administratif"</formula>
    </cfRule>
  </conditionalFormatting>
  <conditionalFormatting sqref="D51">
    <cfRule type="expression" dxfId="11102" priority="11820">
      <formula>$H51="non"</formula>
    </cfRule>
  </conditionalFormatting>
  <conditionalFormatting sqref="D50">
    <cfRule type="expression" dxfId="11101" priority="11811">
      <formula>$F50="Formation CCF"</formula>
    </cfRule>
    <cfRule type="expression" dxfId="11100" priority="11812">
      <formula>$F50="Direction"</formula>
    </cfRule>
    <cfRule type="expression" dxfId="11099" priority="11813">
      <formula>$F50="Ventes Sicli"</formula>
    </cfRule>
    <cfRule type="expression" dxfId="11098" priority="11814">
      <formula>$F50="Ventes Chubb"</formula>
    </cfRule>
    <cfRule type="expression" dxfId="11097" priority="11815">
      <formula>$F50="SAV Sicli"</formula>
    </cfRule>
    <cfRule type="expression" dxfId="11096" priority="11816">
      <formula>$F50="SAV Chubb"</formula>
    </cfRule>
    <cfRule type="expression" dxfId="11095" priority="11817">
      <formula>$F50="Réalisation"</formula>
    </cfRule>
    <cfRule type="expression" dxfId="11094" priority="11818">
      <formula>$F50="Désenfumage"</formula>
    </cfRule>
    <cfRule type="expression" dxfId="11093" priority="11819">
      <formula>$F50="Administratif"</formula>
    </cfRule>
  </conditionalFormatting>
  <conditionalFormatting sqref="D50">
    <cfRule type="expression" dxfId="11092" priority="11810">
      <formula>$H50="non"</formula>
    </cfRule>
  </conditionalFormatting>
  <conditionalFormatting sqref="D48">
    <cfRule type="expression" dxfId="11091" priority="11781">
      <formula>$F48="Formation CCF"</formula>
    </cfRule>
    <cfRule type="expression" dxfId="11090" priority="11782">
      <formula>$F48="Direction"</formula>
    </cfRule>
    <cfRule type="expression" dxfId="11089" priority="11783">
      <formula>$F48="Ventes Sicli"</formula>
    </cfRule>
    <cfRule type="expression" dxfId="11088" priority="11784">
      <formula>$F48="Ventes Chubb"</formula>
    </cfRule>
    <cfRule type="expression" dxfId="11087" priority="11785">
      <formula>$F48="SAV Sicli"</formula>
    </cfRule>
    <cfRule type="expression" dxfId="11086" priority="11786">
      <formula>$F48="SAV Chubb"</formula>
    </cfRule>
    <cfRule type="expression" dxfId="11085" priority="11787">
      <formula>$F48="Réalisation"</formula>
    </cfRule>
    <cfRule type="expression" dxfId="11084" priority="11788">
      <formula>$F48="Désenfumage"</formula>
    </cfRule>
    <cfRule type="expression" dxfId="11083" priority="11789">
      <formula>$F48="Administratif"</formula>
    </cfRule>
  </conditionalFormatting>
  <conditionalFormatting sqref="D48">
    <cfRule type="expression" dxfId="11082" priority="11780">
      <formula>$H48="non"</formula>
    </cfRule>
  </conditionalFormatting>
  <conditionalFormatting sqref="D47">
    <cfRule type="expression" dxfId="11081" priority="11771">
      <formula>$F47="Formation CCF"</formula>
    </cfRule>
    <cfRule type="expression" dxfId="11080" priority="11772">
      <formula>$F47="Direction"</formula>
    </cfRule>
    <cfRule type="expression" dxfId="11079" priority="11773">
      <formula>$F47="Ventes Sicli"</formula>
    </cfRule>
    <cfRule type="expression" dxfId="11078" priority="11774">
      <formula>$F47="Ventes Chubb"</formula>
    </cfRule>
    <cfRule type="expression" dxfId="11077" priority="11775">
      <formula>$F47="SAV Sicli"</formula>
    </cfRule>
    <cfRule type="expression" dxfId="11076" priority="11776">
      <formula>$F47="SAV Chubb"</formula>
    </cfRule>
    <cfRule type="expression" dxfId="11075" priority="11777">
      <formula>$F47="Réalisation"</formula>
    </cfRule>
    <cfRule type="expression" dxfId="11074" priority="11778">
      <formula>$F47="Désenfumage"</formula>
    </cfRule>
    <cfRule type="expression" dxfId="11073" priority="11779">
      <formula>$F47="Administratif"</formula>
    </cfRule>
  </conditionalFormatting>
  <conditionalFormatting sqref="D47">
    <cfRule type="expression" dxfId="11072" priority="11770">
      <formula>$H47="non"</formula>
    </cfRule>
  </conditionalFormatting>
  <conditionalFormatting sqref="D44">
    <cfRule type="expression" dxfId="11071" priority="11761">
      <formula>$F44="Formation CCF"</formula>
    </cfRule>
    <cfRule type="expression" dxfId="11070" priority="11762">
      <formula>$F44="Direction"</formula>
    </cfRule>
    <cfRule type="expression" dxfId="11069" priority="11763">
      <formula>$F44="Ventes Sicli"</formula>
    </cfRule>
    <cfRule type="expression" dxfId="11068" priority="11764">
      <formula>$F44="Ventes Chubb"</formula>
    </cfRule>
    <cfRule type="expression" dxfId="11067" priority="11765">
      <formula>$F44="SAV Sicli"</formula>
    </cfRule>
    <cfRule type="expression" dxfId="11066" priority="11766">
      <formula>$F44="SAV Chubb"</formula>
    </cfRule>
    <cfRule type="expression" dxfId="11065" priority="11767">
      <formula>$F44="Réalisation"</formula>
    </cfRule>
    <cfRule type="expression" dxfId="11064" priority="11768">
      <formula>$F44="Désenfumage"</formula>
    </cfRule>
    <cfRule type="expression" dxfId="11063" priority="11769">
      <formula>$F44="Administratif"</formula>
    </cfRule>
  </conditionalFormatting>
  <conditionalFormatting sqref="D44">
    <cfRule type="expression" dxfId="11062" priority="11760">
      <formula>$H44="non"</formula>
    </cfRule>
  </conditionalFormatting>
  <conditionalFormatting sqref="D51">
    <cfRule type="expression" dxfId="11061" priority="11741">
      <formula>$F51="Formation CCF"</formula>
    </cfRule>
    <cfRule type="expression" dxfId="11060" priority="11742">
      <formula>$F51="Direction"</formula>
    </cfRule>
    <cfRule type="expression" dxfId="11059" priority="11743">
      <formula>$F51="Ventes Sicli"</formula>
    </cfRule>
    <cfRule type="expression" dxfId="11058" priority="11744">
      <formula>$F51="Ventes Chubb"</formula>
    </cfRule>
    <cfRule type="expression" dxfId="11057" priority="11745">
      <formula>$F51="SAV Sicli"</formula>
    </cfRule>
    <cfRule type="expression" dxfId="11056" priority="11746">
      <formula>$F51="SAV Chubb"</formula>
    </cfRule>
    <cfRule type="expression" dxfId="11055" priority="11747">
      <formula>$F51="Réalisation"</formula>
    </cfRule>
    <cfRule type="expression" dxfId="11054" priority="11748">
      <formula>$F51="Désenfumage"</formula>
    </cfRule>
    <cfRule type="expression" dxfId="11053" priority="11749">
      <formula>$F51="Administratif"</formula>
    </cfRule>
  </conditionalFormatting>
  <conditionalFormatting sqref="D51">
    <cfRule type="expression" dxfId="11052" priority="11740">
      <formula>$H51="non"</formula>
    </cfRule>
  </conditionalFormatting>
  <conditionalFormatting sqref="D50">
    <cfRule type="expression" dxfId="11051" priority="11731">
      <formula>$F50="Formation CCF"</formula>
    </cfRule>
    <cfRule type="expression" dxfId="11050" priority="11732">
      <formula>$F50="Direction"</formula>
    </cfRule>
    <cfRule type="expression" dxfId="11049" priority="11733">
      <formula>$F50="Ventes Sicli"</formula>
    </cfRule>
    <cfRule type="expression" dxfId="11048" priority="11734">
      <formula>$F50="Ventes Chubb"</formula>
    </cfRule>
    <cfRule type="expression" dxfId="11047" priority="11735">
      <formula>$F50="SAV Sicli"</formula>
    </cfRule>
    <cfRule type="expression" dxfId="11046" priority="11736">
      <formula>$F50="SAV Chubb"</formula>
    </cfRule>
    <cfRule type="expression" dxfId="11045" priority="11737">
      <formula>$F50="Réalisation"</formula>
    </cfRule>
    <cfRule type="expression" dxfId="11044" priority="11738">
      <formula>$F50="Désenfumage"</formula>
    </cfRule>
    <cfRule type="expression" dxfId="11043" priority="11739">
      <formula>$F50="Administratif"</formula>
    </cfRule>
  </conditionalFormatting>
  <conditionalFormatting sqref="D50">
    <cfRule type="expression" dxfId="11042" priority="11730">
      <formula>$H50="non"</formula>
    </cfRule>
  </conditionalFormatting>
  <conditionalFormatting sqref="D49">
    <cfRule type="expression" dxfId="11041" priority="11711">
      <formula>$F49="Formation CCF"</formula>
    </cfRule>
    <cfRule type="expression" dxfId="11040" priority="11712">
      <formula>$F49="Direction"</formula>
    </cfRule>
    <cfRule type="expression" dxfId="11039" priority="11713">
      <formula>$F49="Ventes Sicli"</formula>
    </cfRule>
    <cfRule type="expression" dxfId="11038" priority="11714">
      <formula>$F49="Ventes Chubb"</formula>
    </cfRule>
    <cfRule type="expression" dxfId="11037" priority="11715">
      <formula>$F49="SAV Sicli"</formula>
    </cfRule>
    <cfRule type="expression" dxfId="11036" priority="11716">
      <formula>$F49="SAV Chubb"</formula>
    </cfRule>
    <cfRule type="expression" dxfId="11035" priority="11717">
      <formula>$F49="Réalisation"</formula>
    </cfRule>
    <cfRule type="expression" dxfId="11034" priority="11718">
      <formula>$F49="Désenfumage"</formula>
    </cfRule>
    <cfRule type="expression" dxfId="11033" priority="11719">
      <formula>$F49="Administratif"</formula>
    </cfRule>
  </conditionalFormatting>
  <conditionalFormatting sqref="D49">
    <cfRule type="expression" dxfId="11032" priority="11710">
      <formula>$H49="non"</formula>
    </cfRule>
  </conditionalFormatting>
  <conditionalFormatting sqref="D48">
    <cfRule type="expression" dxfId="11031" priority="11701">
      <formula>$F48="Formation CCF"</formula>
    </cfRule>
    <cfRule type="expression" dxfId="11030" priority="11702">
      <formula>$F48="Direction"</formula>
    </cfRule>
    <cfRule type="expression" dxfId="11029" priority="11703">
      <formula>$F48="Ventes Sicli"</formula>
    </cfRule>
    <cfRule type="expression" dxfId="11028" priority="11704">
      <formula>$F48="Ventes Chubb"</formula>
    </cfRule>
    <cfRule type="expression" dxfId="11027" priority="11705">
      <formula>$F48="SAV Sicli"</formula>
    </cfRule>
    <cfRule type="expression" dxfId="11026" priority="11706">
      <formula>$F48="SAV Chubb"</formula>
    </cfRule>
    <cfRule type="expression" dxfId="11025" priority="11707">
      <formula>$F48="Réalisation"</formula>
    </cfRule>
    <cfRule type="expression" dxfId="11024" priority="11708">
      <formula>$F48="Désenfumage"</formula>
    </cfRule>
    <cfRule type="expression" dxfId="11023" priority="11709">
      <formula>$F48="Administratif"</formula>
    </cfRule>
  </conditionalFormatting>
  <conditionalFormatting sqref="D48">
    <cfRule type="expression" dxfId="11022" priority="11700">
      <formula>$H48="non"</formula>
    </cfRule>
  </conditionalFormatting>
  <conditionalFormatting sqref="D47">
    <cfRule type="expression" dxfId="11021" priority="11691">
      <formula>$F47="Formation CCF"</formula>
    </cfRule>
    <cfRule type="expression" dxfId="11020" priority="11692">
      <formula>$F47="Direction"</formula>
    </cfRule>
    <cfRule type="expression" dxfId="11019" priority="11693">
      <formula>$F47="Ventes Sicli"</formula>
    </cfRule>
    <cfRule type="expression" dxfId="11018" priority="11694">
      <formula>$F47="Ventes Chubb"</formula>
    </cfRule>
    <cfRule type="expression" dxfId="11017" priority="11695">
      <formula>$F47="SAV Sicli"</formula>
    </cfRule>
    <cfRule type="expression" dxfId="11016" priority="11696">
      <formula>$F47="SAV Chubb"</formula>
    </cfRule>
    <cfRule type="expression" dxfId="11015" priority="11697">
      <formula>$F47="Réalisation"</formula>
    </cfRule>
    <cfRule type="expression" dxfId="11014" priority="11698">
      <formula>$F47="Désenfumage"</formula>
    </cfRule>
    <cfRule type="expression" dxfId="11013" priority="11699">
      <formula>$F47="Administratif"</formula>
    </cfRule>
  </conditionalFormatting>
  <conditionalFormatting sqref="D47">
    <cfRule type="expression" dxfId="11012" priority="11690">
      <formula>$H47="non"</formula>
    </cfRule>
  </conditionalFormatting>
  <conditionalFormatting sqref="D44">
    <cfRule type="expression" dxfId="11011" priority="11681">
      <formula>$F44="Formation CCF"</formula>
    </cfRule>
    <cfRule type="expression" dxfId="11010" priority="11682">
      <formula>$F44="Direction"</formula>
    </cfRule>
    <cfRule type="expression" dxfId="11009" priority="11683">
      <formula>$F44="Ventes Sicli"</formula>
    </cfRule>
    <cfRule type="expression" dxfId="11008" priority="11684">
      <formula>$F44="Ventes Chubb"</formula>
    </cfRule>
    <cfRule type="expression" dxfId="11007" priority="11685">
      <formula>$F44="SAV Sicli"</formula>
    </cfRule>
    <cfRule type="expression" dxfId="11006" priority="11686">
      <formula>$F44="SAV Chubb"</formula>
    </cfRule>
    <cfRule type="expression" dxfId="11005" priority="11687">
      <formula>$F44="Réalisation"</formula>
    </cfRule>
    <cfRule type="expression" dxfId="11004" priority="11688">
      <formula>$F44="Désenfumage"</formula>
    </cfRule>
    <cfRule type="expression" dxfId="11003" priority="11689">
      <formula>$F44="Administratif"</formula>
    </cfRule>
  </conditionalFormatting>
  <conditionalFormatting sqref="D44">
    <cfRule type="expression" dxfId="11002" priority="11680">
      <formula>$H44="non"</formula>
    </cfRule>
  </conditionalFormatting>
  <conditionalFormatting sqref="D51">
    <cfRule type="expression" dxfId="11001" priority="11661">
      <formula>$F51="Formation CCF"</formula>
    </cfRule>
    <cfRule type="expression" dxfId="11000" priority="11662">
      <formula>$F51="Direction"</formula>
    </cfRule>
    <cfRule type="expression" dxfId="10999" priority="11663">
      <formula>$F51="Ventes Sicli"</formula>
    </cfRule>
    <cfRule type="expression" dxfId="10998" priority="11664">
      <formula>$F51="Ventes Chubb"</formula>
    </cfRule>
    <cfRule type="expression" dxfId="10997" priority="11665">
      <formula>$F51="SAV Sicli"</formula>
    </cfRule>
    <cfRule type="expression" dxfId="10996" priority="11666">
      <formula>$F51="SAV Chubb"</formula>
    </cfRule>
    <cfRule type="expression" dxfId="10995" priority="11667">
      <formula>$F51="Réalisation"</formula>
    </cfRule>
    <cfRule type="expression" dxfId="10994" priority="11668">
      <formula>$F51="Désenfumage"</formula>
    </cfRule>
    <cfRule type="expression" dxfId="10993" priority="11669">
      <formula>$F51="Administratif"</formula>
    </cfRule>
  </conditionalFormatting>
  <conditionalFormatting sqref="D51">
    <cfRule type="expression" dxfId="10992" priority="11660">
      <formula>$H51="non"</formula>
    </cfRule>
  </conditionalFormatting>
  <conditionalFormatting sqref="D50">
    <cfRule type="expression" dxfId="10991" priority="11651">
      <formula>$F50="Formation CCF"</formula>
    </cfRule>
    <cfRule type="expression" dxfId="10990" priority="11652">
      <formula>$F50="Direction"</formula>
    </cfRule>
    <cfRule type="expression" dxfId="10989" priority="11653">
      <formula>$F50="Ventes Sicli"</formula>
    </cfRule>
    <cfRule type="expression" dxfId="10988" priority="11654">
      <formula>$F50="Ventes Chubb"</formula>
    </cfRule>
    <cfRule type="expression" dxfId="10987" priority="11655">
      <formula>$F50="SAV Sicli"</formula>
    </cfRule>
    <cfRule type="expression" dxfId="10986" priority="11656">
      <formula>$F50="SAV Chubb"</formula>
    </cfRule>
    <cfRule type="expression" dxfId="10985" priority="11657">
      <formula>$F50="Réalisation"</formula>
    </cfRule>
    <cfRule type="expression" dxfId="10984" priority="11658">
      <formula>$F50="Désenfumage"</formula>
    </cfRule>
    <cfRule type="expression" dxfId="10983" priority="11659">
      <formula>$F50="Administratif"</formula>
    </cfRule>
  </conditionalFormatting>
  <conditionalFormatting sqref="D50">
    <cfRule type="expression" dxfId="10982" priority="11650">
      <formula>$H50="non"</formula>
    </cfRule>
  </conditionalFormatting>
  <conditionalFormatting sqref="D49">
    <cfRule type="expression" dxfId="10981" priority="11631">
      <formula>$F49="Formation CCF"</formula>
    </cfRule>
    <cfRule type="expression" dxfId="10980" priority="11632">
      <formula>$F49="Direction"</formula>
    </cfRule>
    <cfRule type="expression" dxfId="10979" priority="11633">
      <formula>$F49="Ventes Sicli"</formula>
    </cfRule>
    <cfRule type="expression" dxfId="10978" priority="11634">
      <formula>$F49="Ventes Chubb"</formula>
    </cfRule>
    <cfRule type="expression" dxfId="10977" priority="11635">
      <formula>$F49="SAV Sicli"</formula>
    </cfRule>
    <cfRule type="expression" dxfId="10976" priority="11636">
      <formula>$F49="SAV Chubb"</formula>
    </cfRule>
    <cfRule type="expression" dxfId="10975" priority="11637">
      <formula>$F49="Réalisation"</formula>
    </cfRule>
    <cfRule type="expression" dxfId="10974" priority="11638">
      <formula>$F49="Désenfumage"</formula>
    </cfRule>
    <cfRule type="expression" dxfId="10973" priority="11639">
      <formula>$F49="Administratif"</formula>
    </cfRule>
  </conditionalFormatting>
  <conditionalFormatting sqref="D49">
    <cfRule type="expression" dxfId="10972" priority="11630">
      <formula>$H49="non"</formula>
    </cfRule>
  </conditionalFormatting>
  <conditionalFormatting sqref="D48">
    <cfRule type="expression" dxfId="10971" priority="11621">
      <formula>$F48="Formation CCF"</formula>
    </cfRule>
    <cfRule type="expression" dxfId="10970" priority="11622">
      <formula>$F48="Direction"</formula>
    </cfRule>
    <cfRule type="expression" dxfId="10969" priority="11623">
      <formula>$F48="Ventes Sicli"</formula>
    </cfRule>
    <cfRule type="expression" dxfId="10968" priority="11624">
      <formula>$F48="Ventes Chubb"</formula>
    </cfRule>
    <cfRule type="expression" dxfId="10967" priority="11625">
      <formula>$F48="SAV Sicli"</formula>
    </cfRule>
    <cfRule type="expression" dxfId="10966" priority="11626">
      <formula>$F48="SAV Chubb"</formula>
    </cfRule>
    <cfRule type="expression" dxfId="10965" priority="11627">
      <formula>$F48="Réalisation"</formula>
    </cfRule>
    <cfRule type="expression" dxfId="10964" priority="11628">
      <formula>$F48="Désenfumage"</formula>
    </cfRule>
    <cfRule type="expression" dxfId="10963" priority="11629">
      <formula>$F48="Administratif"</formula>
    </cfRule>
  </conditionalFormatting>
  <conditionalFormatting sqref="D48">
    <cfRule type="expression" dxfId="10962" priority="11620">
      <formula>$H48="non"</formula>
    </cfRule>
  </conditionalFormatting>
  <conditionalFormatting sqref="D47">
    <cfRule type="expression" dxfId="10961" priority="11611">
      <formula>$F47="Formation CCF"</formula>
    </cfRule>
    <cfRule type="expression" dxfId="10960" priority="11612">
      <formula>$F47="Direction"</formula>
    </cfRule>
    <cfRule type="expression" dxfId="10959" priority="11613">
      <formula>$F47="Ventes Sicli"</formula>
    </cfRule>
    <cfRule type="expression" dxfId="10958" priority="11614">
      <formula>$F47="Ventes Chubb"</formula>
    </cfRule>
    <cfRule type="expression" dxfId="10957" priority="11615">
      <formula>$F47="SAV Sicli"</formula>
    </cfRule>
    <cfRule type="expression" dxfId="10956" priority="11616">
      <formula>$F47="SAV Chubb"</formula>
    </cfRule>
    <cfRule type="expression" dxfId="10955" priority="11617">
      <formula>$F47="Réalisation"</formula>
    </cfRule>
    <cfRule type="expression" dxfId="10954" priority="11618">
      <formula>$F47="Désenfumage"</formula>
    </cfRule>
    <cfRule type="expression" dxfId="10953" priority="11619">
      <formula>$F47="Administratif"</formula>
    </cfRule>
  </conditionalFormatting>
  <conditionalFormatting sqref="D47">
    <cfRule type="expression" dxfId="10952" priority="11610">
      <formula>$H47="non"</formula>
    </cfRule>
  </conditionalFormatting>
  <conditionalFormatting sqref="D44">
    <cfRule type="expression" dxfId="10951" priority="11601">
      <formula>$F44="Formation CCF"</formula>
    </cfRule>
    <cfRule type="expression" dxfId="10950" priority="11602">
      <formula>$F44="Direction"</formula>
    </cfRule>
    <cfRule type="expression" dxfId="10949" priority="11603">
      <formula>$F44="Ventes Sicli"</formula>
    </cfRule>
    <cfRule type="expression" dxfId="10948" priority="11604">
      <formula>$F44="Ventes Chubb"</formula>
    </cfRule>
    <cfRule type="expression" dxfId="10947" priority="11605">
      <formula>$F44="SAV Sicli"</formula>
    </cfRule>
    <cfRule type="expression" dxfId="10946" priority="11606">
      <formula>$F44="SAV Chubb"</formula>
    </cfRule>
    <cfRule type="expression" dxfId="10945" priority="11607">
      <formula>$F44="Réalisation"</formula>
    </cfRule>
    <cfRule type="expression" dxfId="10944" priority="11608">
      <formula>$F44="Désenfumage"</formula>
    </cfRule>
    <cfRule type="expression" dxfId="10943" priority="11609">
      <formula>$F44="Administratif"</formula>
    </cfRule>
  </conditionalFormatting>
  <conditionalFormatting sqref="D44">
    <cfRule type="expression" dxfId="10942" priority="11600">
      <formula>$H44="non"</formula>
    </cfRule>
  </conditionalFormatting>
  <conditionalFormatting sqref="D51">
    <cfRule type="expression" dxfId="10941" priority="11581">
      <formula>$F51="Formation CCF"</formula>
    </cfRule>
    <cfRule type="expression" dxfId="10940" priority="11582">
      <formula>$F51="Direction"</formula>
    </cfRule>
    <cfRule type="expression" dxfId="10939" priority="11583">
      <formula>$F51="Ventes Sicli"</formula>
    </cfRule>
    <cfRule type="expression" dxfId="10938" priority="11584">
      <formula>$F51="Ventes Chubb"</formula>
    </cfRule>
    <cfRule type="expression" dxfId="10937" priority="11585">
      <formula>$F51="SAV Sicli"</formula>
    </cfRule>
    <cfRule type="expression" dxfId="10936" priority="11586">
      <formula>$F51="SAV Chubb"</formula>
    </cfRule>
    <cfRule type="expression" dxfId="10935" priority="11587">
      <formula>$F51="Réalisation"</formula>
    </cfRule>
    <cfRule type="expression" dxfId="10934" priority="11588">
      <formula>$F51="Désenfumage"</formula>
    </cfRule>
    <cfRule type="expression" dxfId="10933" priority="11589">
      <formula>$F51="Administratif"</formula>
    </cfRule>
  </conditionalFormatting>
  <conditionalFormatting sqref="D51">
    <cfRule type="expression" dxfId="10932" priority="11580">
      <formula>$H51="non"</formula>
    </cfRule>
  </conditionalFormatting>
  <conditionalFormatting sqref="D50">
    <cfRule type="expression" dxfId="10931" priority="11571">
      <formula>$F50="Formation CCF"</formula>
    </cfRule>
    <cfRule type="expression" dxfId="10930" priority="11572">
      <formula>$F50="Direction"</formula>
    </cfRule>
    <cfRule type="expression" dxfId="10929" priority="11573">
      <formula>$F50="Ventes Sicli"</formula>
    </cfRule>
    <cfRule type="expression" dxfId="10928" priority="11574">
      <formula>$F50="Ventes Chubb"</formula>
    </cfRule>
    <cfRule type="expression" dxfId="10927" priority="11575">
      <formula>$F50="SAV Sicli"</formula>
    </cfRule>
    <cfRule type="expression" dxfId="10926" priority="11576">
      <formula>$F50="SAV Chubb"</formula>
    </cfRule>
    <cfRule type="expression" dxfId="10925" priority="11577">
      <formula>$F50="Réalisation"</formula>
    </cfRule>
    <cfRule type="expression" dxfId="10924" priority="11578">
      <formula>$F50="Désenfumage"</formula>
    </cfRule>
    <cfRule type="expression" dxfId="10923" priority="11579">
      <formula>$F50="Administratif"</formula>
    </cfRule>
  </conditionalFormatting>
  <conditionalFormatting sqref="D50">
    <cfRule type="expression" dxfId="10922" priority="11570">
      <formula>$H50="non"</formula>
    </cfRule>
  </conditionalFormatting>
  <conditionalFormatting sqref="D49">
    <cfRule type="expression" dxfId="10921" priority="11551">
      <formula>$F49="Formation CCF"</formula>
    </cfRule>
    <cfRule type="expression" dxfId="10920" priority="11552">
      <formula>$F49="Direction"</formula>
    </cfRule>
    <cfRule type="expression" dxfId="10919" priority="11553">
      <formula>$F49="Ventes Sicli"</formula>
    </cfRule>
    <cfRule type="expression" dxfId="10918" priority="11554">
      <formula>$F49="Ventes Chubb"</formula>
    </cfRule>
    <cfRule type="expression" dxfId="10917" priority="11555">
      <formula>$F49="SAV Sicli"</formula>
    </cfRule>
    <cfRule type="expression" dxfId="10916" priority="11556">
      <formula>$F49="SAV Chubb"</formula>
    </cfRule>
    <cfRule type="expression" dxfId="10915" priority="11557">
      <formula>$F49="Réalisation"</formula>
    </cfRule>
    <cfRule type="expression" dxfId="10914" priority="11558">
      <formula>$F49="Désenfumage"</formula>
    </cfRule>
    <cfRule type="expression" dxfId="10913" priority="11559">
      <formula>$F49="Administratif"</formula>
    </cfRule>
  </conditionalFormatting>
  <conditionalFormatting sqref="D49">
    <cfRule type="expression" dxfId="10912" priority="11550">
      <formula>$H49="non"</formula>
    </cfRule>
  </conditionalFormatting>
  <conditionalFormatting sqref="D48">
    <cfRule type="expression" dxfId="10911" priority="11541">
      <formula>$F48="Formation CCF"</formula>
    </cfRule>
    <cfRule type="expression" dxfId="10910" priority="11542">
      <formula>$F48="Direction"</formula>
    </cfRule>
    <cfRule type="expression" dxfId="10909" priority="11543">
      <formula>$F48="Ventes Sicli"</formula>
    </cfRule>
    <cfRule type="expression" dxfId="10908" priority="11544">
      <formula>$F48="Ventes Chubb"</formula>
    </cfRule>
    <cfRule type="expression" dxfId="10907" priority="11545">
      <formula>$F48="SAV Sicli"</formula>
    </cfRule>
    <cfRule type="expression" dxfId="10906" priority="11546">
      <formula>$F48="SAV Chubb"</formula>
    </cfRule>
    <cfRule type="expression" dxfId="10905" priority="11547">
      <formula>$F48="Réalisation"</formula>
    </cfRule>
    <cfRule type="expression" dxfId="10904" priority="11548">
      <formula>$F48="Désenfumage"</formula>
    </cfRule>
    <cfRule type="expression" dxfId="10903" priority="11549">
      <formula>$F48="Administratif"</formula>
    </cfRule>
  </conditionalFormatting>
  <conditionalFormatting sqref="D48">
    <cfRule type="expression" dxfId="10902" priority="11540">
      <formula>$H48="non"</formula>
    </cfRule>
  </conditionalFormatting>
  <conditionalFormatting sqref="D47">
    <cfRule type="expression" dxfId="10901" priority="11531">
      <formula>$F47="Formation CCF"</formula>
    </cfRule>
    <cfRule type="expression" dxfId="10900" priority="11532">
      <formula>$F47="Direction"</formula>
    </cfRule>
    <cfRule type="expression" dxfId="10899" priority="11533">
      <formula>$F47="Ventes Sicli"</formula>
    </cfRule>
    <cfRule type="expression" dxfId="10898" priority="11534">
      <formula>$F47="Ventes Chubb"</formula>
    </cfRule>
    <cfRule type="expression" dxfId="10897" priority="11535">
      <formula>$F47="SAV Sicli"</formula>
    </cfRule>
    <cfRule type="expression" dxfId="10896" priority="11536">
      <formula>$F47="SAV Chubb"</formula>
    </cfRule>
    <cfRule type="expression" dxfId="10895" priority="11537">
      <formula>$F47="Réalisation"</formula>
    </cfRule>
    <cfRule type="expression" dxfId="10894" priority="11538">
      <formula>$F47="Désenfumage"</formula>
    </cfRule>
    <cfRule type="expression" dxfId="10893" priority="11539">
      <formula>$F47="Administratif"</formula>
    </cfRule>
  </conditionalFormatting>
  <conditionalFormatting sqref="D47">
    <cfRule type="expression" dxfId="10892" priority="11530">
      <formula>$H47="non"</formula>
    </cfRule>
  </conditionalFormatting>
  <conditionalFormatting sqref="D44">
    <cfRule type="expression" dxfId="10891" priority="11521">
      <formula>$F44="Formation CCF"</formula>
    </cfRule>
    <cfRule type="expression" dxfId="10890" priority="11522">
      <formula>$F44="Direction"</formula>
    </cfRule>
    <cfRule type="expression" dxfId="10889" priority="11523">
      <formula>$F44="Ventes Sicli"</formula>
    </cfRule>
    <cfRule type="expression" dxfId="10888" priority="11524">
      <formula>$F44="Ventes Chubb"</formula>
    </cfRule>
    <cfRule type="expression" dxfId="10887" priority="11525">
      <formula>$F44="SAV Sicli"</formula>
    </cfRule>
    <cfRule type="expression" dxfId="10886" priority="11526">
      <formula>$F44="SAV Chubb"</formula>
    </cfRule>
    <cfRule type="expression" dxfId="10885" priority="11527">
      <formula>$F44="Réalisation"</formula>
    </cfRule>
    <cfRule type="expression" dxfId="10884" priority="11528">
      <formula>$F44="Désenfumage"</formula>
    </cfRule>
    <cfRule type="expression" dxfId="10883" priority="11529">
      <formula>$F44="Administratif"</formula>
    </cfRule>
  </conditionalFormatting>
  <conditionalFormatting sqref="D44">
    <cfRule type="expression" dxfId="10882" priority="11520">
      <formula>$H44="non"</formula>
    </cfRule>
  </conditionalFormatting>
  <conditionalFormatting sqref="D50">
    <cfRule type="expression" dxfId="10881" priority="11501">
      <formula>$F50="Formation CCF"</formula>
    </cfRule>
    <cfRule type="expression" dxfId="10880" priority="11502">
      <formula>$F50="Direction"</formula>
    </cfRule>
    <cfRule type="expression" dxfId="10879" priority="11503">
      <formula>$F50="Ventes Sicli"</formula>
    </cfRule>
    <cfRule type="expression" dxfId="10878" priority="11504">
      <formula>$F50="Ventes Chubb"</formula>
    </cfRule>
    <cfRule type="expression" dxfId="10877" priority="11505">
      <formula>$F50="SAV Sicli"</formula>
    </cfRule>
    <cfRule type="expression" dxfId="10876" priority="11506">
      <formula>$F50="SAV Chubb"</formula>
    </cfRule>
    <cfRule type="expression" dxfId="10875" priority="11507">
      <formula>$F50="Réalisation"</formula>
    </cfRule>
    <cfRule type="expression" dxfId="10874" priority="11508">
      <formula>$F50="Désenfumage"</formula>
    </cfRule>
    <cfRule type="expression" dxfId="10873" priority="11509">
      <formula>$F50="Administratif"</formula>
    </cfRule>
  </conditionalFormatting>
  <conditionalFormatting sqref="D50">
    <cfRule type="expression" dxfId="10872" priority="11500">
      <formula>$H50="non"</formula>
    </cfRule>
  </conditionalFormatting>
  <conditionalFormatting sqref="D49">
    <cfRule type="expression" dxfId="10871" priority="11481">
      <formula>$F49="Formation CCF"</formula>
    </cfRule>
    <cfRule type="expression" dxfId="10870" priority="11482">
      <formula>$F49="Direction"</formula>
    </cfRule>
    <cfRule type="expression" dxfId="10869" priority="11483">
      <formula>$F49="Ventes Sicli"</formula>
    </cfRule>
    <cfRule type="expression" dxfId="10868" priority="11484">
      <formula>$F49="Ventes Chubb"</formula>
    </cfRule>
    <cfRule type="expression" dxfId="10867" priority="11485">
      <formula>$F49="SAV Sicli"</formula>
    </cfRule>
    <cfRule type="expression" dxfId="10866" priority="11486">
      <formula>$F49="SAV Chubb"</formula>
    </cfRule>
    <cfRule type="expression" dxfId="10865" priority="11487">
      <formula>$F49="Réalisation"</formula>
    </cfRule>
    <cfRule type="expression" dxfId="10864" priority="11488">
      <formula>$F49="Désenfumage"</formula>
    </cfRule>
    <cfRule type="expression" dxfId="10863" priority="11489">
      <formula>$F49="Administratif"</formula>
    </cfRule>
  </conditionalFormatting>
  <conditionalFormatting sqref="D49">
    <cfRule type="expression" dxfId="10862" priority="11480">
      <formula>$H49="non"</formula>
    </cfRule>
  </conditionalFormatting>
  <conditionalFormatting sqref="D48">
    <cfRule type="expression" dxfId="10861" priority="11471">
      <formula>$F48="Formation CCF"</formula>
    </cfRule>
    <cfRule type="expression" dxfId="10860" priority="11472">
      <formula>$F48="Direction"</formula>
    </cfRule>
    <cfRule type="expression" dxfId="10859" priority="11473">
      <formula>$F48="Ventes Sicli"</formula>
    </cfRule>
    <cfRule type="expression" dxfId="10858" priority="11474">
      <formula>$F48="Ventes Chubb"</formula>
    </cfRule>
    <cfRule type="expression" dxfId="10857" priority="11475">
      <formula>$F48="SAV Sicli"</formula>
    </cfRule>
    <cfRule type="expression" dxfId="10856" priority="11476">
      <formula>$F48="SAV Chubb"</formula>
    </cfRule>
    <cfRule type="expression" dxfId="10855" priority="11477">
      <formula>$F48="Réalisation"</formula>
    </cfRule>
    <cfRule type="expression" dxfId="10854" priority="11478">
      <formula>$F48="Désenfumage"</formula>
    </cfRule>
    <cfRule type="expression" dxfId="10853" priority="11479">
      <formula>$F48="Administratif"</formula>
    </cfRule>
  </conditionalFormatting>
  <conditionalFormatting sqref="D48">
    <cfRule type="expression" dxfId="10852" priority="11470">
      <formula>$H48="non"</formula>
    </cfRule>
  </conditionalFormatting>
  <conditionalFormatting sqref="D44">
    <cfRule type="expression" dxfId="10851" priority="11451">
      <formula>$F44="Formation CCF"</formula>
    </cfRule>
    <cfRule type="expression" dxfId="10850" priority="11452">
      <formula>$F44="Direction"</formula>
    </cfRule>
    <cfRule type="expression" dxfId="10849" priority="11453">
      <formula>$F44="Ventes Sicli"</formula>
    </cfRule>
    <cfRule type="expression" dxfId="10848" priority="11454">
      <formula>$F44="Ventes Chubb"</formula>
    </cfRule>
    <cfRule type="expression" dxfId="10847" priority="11455">
      <formula>$F44="SAV Sicli"</formula>
    </cfRule>
    <cfRule type="expression" dxfId="10846" priority="11456">
      <formula>$F44="SAV Chubb"</formula>
    </cfRule>
    <cfRule type="expression" dxfId="10845" priority="11457">
      <formula>$F44="Réalisation"</formula>
    </cfRule>
    <cfRule type="expression" dxfId="10844" priority="11458">
      <formula>$F44="Désenfumage"</formula>
    </cfRule>
    <cfRule type="expression" dxfId="10843" priority="11459">
      <formula>$F44="Administratif"</formula>
    </cfRule>
  </conditionalFormatting>
  <conditionalFormatting sqref="D44">
    <cfRule type="expression" dxfId="10842" priority="11450">
      <formula>$H44="non"</formula>
    </cfRule>
  </conditionalFormatting>
  <conditionalFormatting sqref="C49:D49">
    <cfRule type="expression" dxfId="10841" priority="11421">
      <formula>$F49="Formation CCF"</formula>
    </cfRule>
    <cfRule type="expression" dxfId="10840" priority="11422">
      <formula>$F49="Direction"</formula>
    </cfRule>
    <cfRule type="expression" dxfId="10839" priority="11423">
      <formula>$F49="Ventes Sicli"</formula>
    </cfRule>
    <cfRule type="expression" dxfId="10838" priority="11424">
      <formula>$F49="Ventes Chubb"</formula>
    </cfRule>
    <cfRule type="expression" dxfId="10837" priority="11425">
      <formula>$F49="SAV Sicli"</formula>
    </cfRule>
    <cfRule type="expression" dxfId="10836" priority="11426">
      <formula>$F49="SAV Chubb"</formula>
    </cfRule>
    <cfRule type="expression" dxfId="10835" priority="11427">
      <formula>$F49="Réalisation"</formula>
    </cfRule>
    <cfRule type="expression" dxfId="10834" priority="11428">
      <formula>$F49="Désenfumage"</formula>
    </cfRule>
    <cfRule type="expression" dxfId="10833" priority="11429">
      <formula>$F49="Administratif"</formula>
    </cfRule>
  </conditionalFormatting>
  <conditionalFormatting sqref="C49:D49">
    <cfRule type="expression" dxfId="10832" priority="11420">
      <formula>$H49="non"</formula>
    </cfRule>
  </conditionalFormatting>
  <conditionalFormatting sqref="C48:D48">
    <cfRule type="expression" dxfId="10831" priority="11411">
      <formula>$F48="Formation CCF"</formula>
    </cfRule>
    <cfRule type="expression" dxfId="10830" priority="11412">
      <formula>$F48="Direction"</formula>
    </cfRule>
    <cfRule type="expression" dxfId="10829" priority="11413">
      <formula>$F48="Ventes Sicli"</formula>
    </cfRule>
    <cfRule type="expression" dxfId="10828" priority="11414">
      <formula>$F48="Ventes Chubb"</formula>
    </cfRule>
    <cfRule type="expression" dxfId="10827" priority="11415">
      <formula>$F48="SAV Sicli"</formula>
    </cfRule>
    <cfRule type="expression" dxfId="10826" priority="11416">
      <formula>$F48="SAV Chubb"</formula>
    </cfRule>
    <cfRule type="expression" dxfId="10825" priority="11417">
      <formula>$F48="Réalisation"</formula>
    </cfRule>
    <cfRule type="expression" dxfId="10824" priority="11418">
      <formula>$F48="Désenfumage"</formula>
    </cfRule>
    <cfRule type="expression" dxfId="10823" priority="11419">
      <formula>$F48="Administratif"</formula>
    </cfRule>
  </conditionalFormatting>
  <conditionalFormatting sqref="C48:D48">
    <cfRule type="expression" dxfId="10822" priority="11410">
      <formula>$H48="non"</formula>
    </cfRule>
  </conditionalFormatting>
  <conditionalFormatting sqref="C47:D47">
    <cfRule type="expression" dxfId="10821" priority="11401">
      <formula>$F47="Formation CCF"</formula>
    </cfRule>
    <cfRule type="expression" dxfId="10820" priority="11402">
      <formula>$F47="Direction"</formula>
    </cfRule>
    <cfRule type="expression" dxfId="10819" priority="11403">
      <formula>$F47="Ventes Sicli"</formula>
    </cfRule>
    <cfRule type="expression" dxfId="10818" priority="11404">
      <formula>$F47="Ventes Chubb"</formula>
    </cfRule>
    <cfRule type="expression" dxfId="10817" priority="11405">
      <formula>$F47="SAV Sicli"</formula>
    </cfRule>
    <cfRule type="expression" dxfId="10816" priority="11406">
      <formula>$F47="SAV Chubb"</formula>
    </cfRule>
    <cfRule type="expression" dxfId="10815" priority="11407">
      <formula>$F47="Réalisation"</formula>
    </cfRule>
    <cfRule type="expression" dxfId="10814" priority="11408">
      <formula>$F47="Désenfumage"</formula>
    </cfRule>
    <cfRule type="expression" dxfId="10813" priority="11409">
      <formula>$F47="Administratif"</formula>
    </cfRule>
  </conditionalFormatting>
  <conditionalFormatting sqref="C47:D47">
    <cfRule type="expression" dxfId="10812" priority="11400">
      <formula>$H47="non"</formula>
    </cfRule>
  </conditionalFormatting>
  <conditionalFormatting sqref="C44:D44">
    <cfRule type="expression" dxfId="10811" priority="11391">
      <formula>$F44="Formation CCF"</formula>
    </cfRule>
    <cfRule type="expression" dxfId="10810" priority="11392">
      <formula>$F44="Direction"</formula>
    </cfRule>
    <cfRule type="expression" dxfId="10809" priority="11393">
      <formula>$F44="Ventes Sicli"</formula>
    </cfRule>
    <cfRule type="expression" dxfId="10808" priority="11394">
      <formula>$F44="Ventes Chubb"</formula>
    </cfRule>
    <cfRule type="expression" dxfId="10807" priority="11395">
      <formula>$F44="SAV Sicli"</formula>
    </cfRule>
    <cfRule type="expression" dxfId="10806" priority="11396">
      <formula>$F44="SAV Chubb"</formula>
    </cfRule>
    <cfRule type="expression" dxfId="10805" priority="11397">
      <formula>$F44="Réalisation"</formula>
    </cfRule>
    <cfRule type="expression" dxfId="10804" priority="11398">
      <formula>$F44="Désenfumage"</formula>
    </cfRule>
    <cfRule type="expression" dxfId="10803" priority="11399">
      <formula>$F44="Administratif"</formula>
    </cfRule>
  </conditionalFormatting>
  <conditionalFormatting sqref="C44:D44">
    <cfRule type="expression" dxfId="10802" priority="11390">
      <formula>$H44="non"</formula>
    </cfRule>
  </conditionalFormatting>
  <conditionalFormatting sqref="C44:D44">
    <cfRule type="expression" dxfId="10801" priority="11371">
      <formula>$F44="Formation CCF"</formula>
    </cfRule>
    <cfRule type="expression" dxfId="10800" priority="11372">
      <formula>$F44="Direction"</formula>
    </cfRule>
    <cfRule type="expression" dxfId="10799" priority="11373">
      <formula>$F44="Ventes Sicli"</formula>
    </cfRule>
    <cfRule type="expression" dxfId="10798" priority="11374">
      <formula>$F44="Ventes Chubb"</formula>
    </cfRule>
    <cfRule type="expression" dxfId="10797" priority="11375">
      <formula>$F44="SAV Sicli"</formula>
    </cfRule>
    <cfRule type="expression" dxfId="10796" priority="11376">
      <formula>$F44="SAV Chubb"</formula>
    </cfRule>
    <cfRule type="expression" dxfId="10795" priority="11377">
      <formula>$F44="Réalisation"</formula>
    </cfRule>
    <cfRule type="expression" dxfId="10794" priority="11378">
      <formula>$F44="Désenfumage"</formula>
    </cfRule>
    <cfRule type="expression" dxfId="10793" priority="11379">
      <formula>$F44="Administratif"</formula>
    </cfRule>
  </conditionalFormatting>
  <conditionalFormatting sqref="C44:D44">
    <cfRule type="expression" dxfId="10792" priority="11370">
      <formula>$H44="non"</formula>
    </cfRule>
  </conditionalFormatting>
  <conditionalFormatting sqref="C44:D44">
    <cfRule type="expression" dxfId="10791" priority="11351">
      <formula>$F44="Formation CCF"</formula>
    </cfRule>
    <cfRule type="expression" dxfId="10790" priority="11352">
      <formula>$F44="Direction"</formula>
    </cfRule>
    <cfRule type="expression" dxfId="10789" priority="11353">
      <formula>$F44="Ventes Sicli"</formula>
    </cfRule>
    <cfRule type="expression" dxfId="10788" priority="11354">
      <formula>$F44="Ventes Chubb"</formula>
    </cfRule>
    <cfRule type="expression" dxfId="10787" priority="11355">
      <formula>$F44="SAV Sicli"</formula>
    </cfRule>
    <cfRule type="expression" dxfId="10786" priority="11356">
      <formula>$F44="SAV Chubb"</formula>
    </cfRule>
    <cfRule type="expression" dxfId="10785" priority="11357">
      <formula>$F44="Réalisation"</formula>
    </cfRule>
    <cfRule type="expression" dxfId="10784" priority="11358">
      <formula>$F44="Désenfumage"</formula>
    </cfRule>
    <cfRule type="expression" dxfId="10783" priority="11359">
      <formula>$F44="Administratif"</formula>
    </cfRule>
  </conditionalFormatting>
  <conditionalFormatting sqref="C44:D44">
    <cfRule type="expression" dxfId="10782" priority="11350">
      <formula>$H44="non"</formula>
    </cfRule>
  </conditionalFormatting>
  <conditionalFormatting sqref="C43:D43">
    <cfRule type="expression" dxfId="10781" priority="11321">
      <formula>$F43="Formation CCF"</formula>
    </cfRule>
    <cfRule type="expression" dxfId="10780" priority="11322">
      <formula>$F43="Direction"</formula>
    </cfRule>
    <cfRule type="expression" dxfId="10779" priority="11323">
      <formula>$F43="Ventes Sicli"</formula>
    </cfRule>
    <cfRule type="expression" dxfId="10778" priority="11324">
      <formula>$F43="Ventes Chubb"</formula>
    </cfRule>
    <cfRule type="expression" dxfId="10777" priority="11325">
      <formula>$F43="SAV Sicli"</formula>
    </cfRule>
    <cfRule type="expression" dxfId="10776" priority="11326">
      <formula>$F43="SAV Chubb"</formula>
    </cfRule>
    <cfRule type="expression" dxfId="10775" priority="11327">
      <formula>$F43="Réalisation"</formula>
    </cfRule>
    <cfRule type="expression" dxfId="10774" priority="11328">
      <formula>$F43="Désenfumage"</formula>
    </cfRule>
    <cfRule type="expression" dxfId="10773" priority="11329">
      <formula>$F43="Administratif"</formula>
    </cfRule>
  </conditionalFormatting>
  <conditionalFormatting sqref="C43:D43">
    <cfRule type="expression" dxfId="10772" priority="11320">
      <formula>$H43="non"</formula>
    </cfRule>
  </conditionalFormatting>
  <conditionalFormatting sqref="C42:D42">
    <cfRule type="expression" dxfId="10771" priority="11291">
      <formula>$F42="Formation CCF"</formula>
    </cfRule>
    <cfRule type="expression" dxfId="10770" priority="11292">
      <formula>$F42="Direction"</formula>
    </cfRule>
    <cfRule type="expression" dxfId="10769" priority="11293">
      <formula>$F42="Ventes Sicli"</formula>
    </cfRule>
    <cfRule type="expression" dxfId="10768" priority="11294">
      <formula>$F42="Ventes Chubb"</formula>
    </cfRule>
    <cfRule type="expression" dxfId="10767" priority="11295">
      <formula>$F42="SAV Sicli"</formula>
    </cfRule>
    <cfRule type="expression" dxfId="10766" priority="11296">
      <formula>$F42="SAV Chubb"</formula>
    </cfRule>
    <cfRule type="expression" dxfId="10765" priority="11297">
      <formula>$F42="Réalisation"</formula>
    </cfRule>
    <cfRule type="expression" dxfId="10764" priority="11298">
      <formula>$F42="Désenfumage"</formula>
    </cfRule>
    <cfRule type="expression" dxfId="10763" priority="11299">
      <formula>$F42="Administratif"</formula>
    </cfRule>
  </conditionalFormatting>
  <conditionalFormatting sqref="C42:D42">
    <cfRule type="expression" dxfId="10762" priority="11290">
      <formula>$H42="non"</formula>
    </cfRule>
  </conditionalFormatting>
  <conditionalFormatting sqref="C41:D41">
    <cfRule type="expression" dxfId="10761" priority="11281">
      <formula>$F41="Formation CCF"</formula>
    </cfRule>
    <cfRule type="expression" dxfId="10760" priority="11282">
      <formula>$F41="Direction"</formula>
    </cfRule>
    <cfRule type="expression" dxfId="10759" priority="11283">
      <formula>$F41="Ventes Sicli"</formula>
    </cfRule>
    <cfRule type="expression" dxfId="10758" priority="11284">
      <formula>$F41="Ventes Chubb"</formula>
    </cfRule>
    <cfRule type="expression" dxfId="10757" priority="11285">
      <formula>$F41="SAV Sicli"</formula>
    </cfRule>
    <cfRule type="expression" dxfId="10756" priority="11286">
      <formula>$F41="SAV Chubb"</formula>
    </cfRule>
    <cfRule type="expression" dxfId="10755" priority="11287">
      <formula>$F41="Réalisation"</formula>
    </cfRule>
    <cfRule type="expression" dxfId="10754" priority="11288">
      <formula>$F41="Désenfumage"</formula>
    </cfRule>
    <cfRule type="expression" dxfId="10753" priority="11289">
      <formula>$F41="Administratif"</formula>
    </cfRule>
  </conditionalFormatting>
  <conditionalFormatting sqref="C41:D41">
    <cfRule type="expression" dxfId="10752" priority="11280">
      <formula>$H41="non"</formula>
    </cfRule>
  </conditionalFormatting>
  <conditionalFormatting sqref="C40:D40">
    <cfRule type="expression" dxfId="10751" priority="11271">
      <formula>$F40="Formation CCF"</formula>
    </cfRule>
    <cfRule type="expression" dxfId="10750" priority="11272">
      <formula>$F40="Direction"</formula>
    </cfRule>
    <cfRule type="expression" dxfId="10749" priority="11273">
      <formula>$F40="Ventes Sicli"</formula>
    </cfRule>
    <cfRule type="expression" dxfId="10748" priority="11274">
      <formula>$F40="Ventes Chubb"</formula>
    </cfRule>
    <cfRule type="expression" dxfId="10747" priority="11275">
      <formula>$F40="SAV Sicli"</formula>
    </cfRule>
    <cfRule type="expression" dxfId="10746" priority="11276">
      <formula>$F40="SAV Chubb"</formula>
    </cfRule>
    <cfRule type="expression" dxfId="10745" priority="11277">
      <formula>$F40="Réalisation"</formula>
    </cfRule>
    <cfRule type="expression" dxfId="10744" priority="11278">
      <formula>$F40="Désenfumage"</formula>
    </cfRule>
    <cfRule type="expression" dxfId="10743" priority="11279">
      <formula>$F40="Administratif"</formula>
    </cfRule>
  </conditionalFormatting>
  <conditionalFormatting sqref="C40:D40">
    <cfRule type="expression" dxfId="10742" priority="11270">
      <formula>$H40="non"</formula>
    </cfRule>
  </conditionalFormatting>
  <conditionalFormatting sqref="C42:D42">
    <cfRule type="expression" dxfId="10741" priority="11251">
      <formula>$F42="Formation CCF"</formula>
    </cfRule>
    <cfRule type="expression" dxfId="10740" priority="11252">
      <formula>$F42="Direction"</formula>
    </cfRule>
    <cfRule type="expression" dxfId="10739" priority="11253">
      <formula>$F42="Ventes Sicli"</formula>
    </cfRule>
    <cfRule type="expression" dxfId="10738" priority="11254">
      <formula>$F42="Ventes Chubb"</formula>
    </cfRule>
    <cfRule type="expression" dxfId="10737" priority="11255">
      <formula>$F42="SAV Sicli"</formula>
    </cfRule>
    <cfRule type="expression" dxfId="10736" priority="11256">
      <formula>$F42="SAV Chubb"</formula>
    </cfRule>
    <cfRule type="expression" dxfId="10735" priority="11257">
      <formula>$F42="Réalisation"</formula>
    </cfRule>
    <cfRule type="expression" dxfId="10734" priority="11258">
      <formula>$F42="Désenfumage"</formula>
    </cfRule>
    <cfRule type="expression" dxfId="10733" priority="11259">
      <formula>$F42="Administratif"</formula>
    </cfRule>
  </conditionalFormatting>
  <conditionalFormatting sqref="C42:D42">
    <cfRule type="expression" dxfId="10732" priority="11250">
      <formula>$H42="non"</formula>
    </cfRule>
  </conditionalFormatting>
  <conditionalFormatting sqref="C41:D41">
    <cfRule type="expression" dxfId="10731" priority="11241">
      <formula>$F41="Formation CCF"</formula>
    </cfRule>
    <cfRule type="expression" dxfId="10730" priority="11242">
      <formula>$F41="Direction"</formula>
    </cfRule>
    <cfRule type="expression" dxfId="10729" priority="11243">
      <formula>$F41="Ventes Sicli"</formula>
    </cfRule>
    <cfRule type="expression" dxfId="10728" priority="11244">
      <formula>$F41="Ventes Chubb"</formula>
    </cfRule>
    <cfRule type="expression" dxfId="10727" priority="11245">
      <formula>$F41="SAV Sicli"</formula>
    </cfRule>
    <cfRule type="expression" dxfId="10726" priority="11246">
      <formula>$F41="SAV Chubb"</formula>
    </cfRule>
    <cfRule type="expression" dxfId="10725" priority="11247">
      <formula>$F41="Réalisation"</formula>
    </cfRule>
    <cfRule type="expression" dxfId="10724" priority="11248">
      <formula>$F41="Désenfumage"</formula>
    </cfRule>
    <cfRule type="expression" dxfId="10723" priority="11249">
      <formula>$F41="Administratif"</formula>
    </cfRule>
  </conditionalFormatting>
  <conditionalFormatting sqref="C41:D41">
    <cfRule type="expression" dxfId="10722" priority="11240">
      <formula>$H41="non"</formula>
    </cfRule>
  </conditionalFormatting>
  <conditionalFormatting sqref="C40:D40">
    <cfRule type="expression" dxfId="10721" priority="11231">
      <formula>$F40="Formation CCF"</formula>
    </cfRule>
    <cfRule type="expression" dxfId="10720" priority="11232">
      <formula>$F40="Direction"</formula>
    </cfRule>
    <cfRule type="expression" dxfId="10719" priority="11233">
      <formula>$F40="Ventes Sicli"</formula>
    </cfRule>
    <cfRule type="expression" dxfId="10718" priority="11234">
      <formula>$F40="Ventes Chubb"</formula>
    </cfRule>
    <cfRule type="expression" dxfId="10717" priority="11235">
      <formula>$F40="SAV Sicli"</formula>
    </cfRule>
    <cfRule type="expression" dxfId="10716" priority="11236">
      <formula>$F40="SAV Chubb"</formula>
    </cfRule>
    <cfRule type="expression" dxfId="10715" priority="11237">
      <formula>$F40="Réalisation"</formula>
    </cfRule>
    <cfRule type="expression" dxfId="10714" priority="11238">
      <formula>$F40="Désenfumage"</formula>
    </cfRule>
    <cfRule type="expression" dxfId="10713" priority="11239">
      <formula>$F40="Administratif"</formula>
    </cfRule>
  </conditionalFormatting>
  <conditionalFormatting sqref="C40:D40">
    <cfRule type="expression" dxfId="10712" priority="11230">
      <formula>$H40="non"</formula>
    </cfRule>
  </conditionalFormatting>
  <conditionalFormatting sqref="C38:D38">
    <cfRule type="expression" dxfId="10711" priority="11221">
      <formula>$F38="Formation CCF"</formula>
    </cfRule>
    <cfRule type="expression" dxfId="10710" priority="11222">
      <formula>$F38="Direction"</formula>
    </cfRule>
    <cfRule type="expression" dxfId="10709" priority="11223">
      <formula>$F38="Ventes Sicli"</formula>
    </cfRule>
    <cfRule type="expression" dxfId="10708" priority="11224">
      <formula>$F38="Ventes Chubb"</formula>
    </cfRule>
    <cfRule type="expression" dxfId="10707" priority="11225">
      <formula>$F38="SAV Sicli"</formula>
    </cfRule>
    <cfRule type="expression" dxfId="10706" priority="11226">
      <formula>$F38="SAV Chubb"</formula>
    </cfRule>
    <cfRule type="expression" dxfId="10705" priority="11227">
      <formula>$F38="Réalisation"</formula>
    </cfRule>
    <cfRule type="expression" dxfId="10704" priority="11228">
      <formula>$F38="Désenfumage"</formula>
    </cfRule>
    <cfRule type="expression" dxfId="10703" priority="11229">
      <formula>$F38="Administratif"</formula>
    </cfRule>
  </conditionalFormatting>
  <conditionalFormatting sqref="C38:D38">
    <cfRule type="expression" dxfId="10702" priority="11220">
      <formula>$H38="non"</formula>
    </cfRule>
  </conditionalFormatting>
  <conditionalFormatting sqref="C42:D42">
    <cfRule type="expression" dxfId="10701" priority="11201">
      <formula>$F42="Formation CCF"</formula>
    </cfRule>
    <cfRule type="expression" dxfId="10700" priority="11202">
      <formula>$F42="Direction"</formula>
    </cfRule>
    <cfRule type="expression" dxfId="10699" priority="11203">
      <formula>$F42="Ventes Sicli"</formula>
    </cfRule>
    <cfRule type="expression" dxfId="10698" priority="11204">
      <formula>$F42="Ventes Chubb"</formula>
    </cfRule>
    <cfRule type="expression" dxfId="10697" priority="11205">
      <formula>$F42="SAV Sicli"</formula>
    </cfRule>
    <cfRule type="expression" dxfId="10696" priority="11206">
      <formula>$F42="SAV Chubb"</formula>
    </cfRule>
    <cfRule type="expression" dxfId="10695" priority="11207">
      <formula>$F42="Réalisation"</formula>
    </cfRule>
    <cfRule type="expression" dxfId="10694" priority="11208">
      <formula>$F42="Désenfumage"</formula>
    </cfRule>
    <cfRule type="expression" dxfId="10693" priority="11209">
      <formula>$F42="Administratif"</formula>
    </cfRule>
  </conditionalFormatting>
  <conditionalFormatting sqref="C42:D42">
    <cfRule type="expression" dxfId="10692" priority="11200">
      <formula>$H42="non"</formula>
    </cfRule>
  </conditionalFormatting>
  <conditionalFormatting sqref="C41:D41">
    <cfRule type="expression" dxfId="10691" priority="11191">
      <formula>$F41="Formation CCF"</formula>
    </cfRule>
    <cfRule type="expression" dxfId="10690" priority="11192">
      <formula>$F41="Direction"</formula>
    </cfRule>
    <cfRule type="expression" dxfId="10689" priority="11193">
      <formula>$F41="Ventes Sicli"</formula>
    </cfRule>
    <cfRule type="expression" dxfId="10688" priority="11194">
      <formula>$F41="Ventes Chubb"</formula>
    </cfRule>
    <cfRule type="expression" dxfId="10687" priority="11195">
      <formula>$F41="SAV Sicli"</formula>
    </cfRule>
    <cfRule type="expression" dxfId="10686" priority="11196">
      <formula>$F41="SAV Chubb"</formula>
    </cfRule>
    <cfRule type="expression" dxfId="10685" priority="11197">
      <formula>$F41="Réalisation"</formula>
    </cfRule>
    <cfRule type="expression" dxfId="10684" priority="11198">
      <formula>$F41="Désenfumage"</formula>
    </cfRule>
    <cfRule type="expression" dxfId="10683" priority="11199">
      <formula>$F41="Administratif"</formula>
    </cfRule>
  </conditionalFormatting>
  <conditionalFormatting sqref="C41:D41">
    <cfRule type="expression" dxfId="10682" priority="11190">
      <formula>$H41="non"</formula>
    </cfRule>
  </conditionalFormatting>
  <conditionalFormatting sqref="C40:D40">
    <cfRule type="expression" dxfId="10681" priority="11181">
      <formula>$F40="Formation CCF"</formula>
    </cfRule>
    <cfRule type="expression" dxfId="10680" priority="11182">
      <formula>$F40="Direction"</formula>
    </cfRule>
    <cfRule type="expression" dxfId="10679" priority="11183">
      <formula>$F40="Ventes Sicli"</formula>
    </cfRule>
    <cfRule type="expression" dxfId="10678" priority="11184">
      <formula>$F40="Ventes Chubb"</formula>
    </cfRule>
    <cfRule type="expression" dxfId="10677" priority="11185">
      <formula>$F40="SAV Sicli"</formula>
    </cfRule>
    <cfRule type="expression" dxfId="10676" priority="11186">
      <formula>$F40="SAV Chubb"</formula>
    </cfRule>
    <cfRule type="expression" dxfId="10675" priority="11187">
      <formula>$F40="Réalisation"</formula>
    </cfRule>
    <cfRule type="expression" dxfId="10674" priority="11188">
      <formula>$F40="Désenfumage"</formula>
    </cfRule>
    <cfRule type="expression" dxfId="10673" priority="11189">
      <formula>$F40="Administratif"</formula>
    </cfRule>
  </conditionalFormatting>
  <conditionalFormatting sqref="C40:D40">
    <cfRule type="expression" dxfId="10672" priority="11180">
      <formula>$H40="non"</formula>
    </cfRule>
  </conditionalFormatting>
  <conditionalFormatting sqref="C38:D38">
    <cfRule type="expression" dxfId="10671" priority="11171">
      <formula>$F38="Formation CCF"</formula>
    </cfRule>
    <cfRule type="expression" dxfId="10670" priority="11172">
      <formula>$F38="Direction"</formula>
    </cfRule>
    <cfRule type="expression" dxfId="10669" priority="11173">
      <formula>$F38="Ventes Sicli"</formula>
    </cfRule>
    <cfRule type="expression" dxfId="10668" priority="11174">
      <formula>$F38="Ventes Chubb"</formula>
    </cfRule>
    <cfRule type="expression" dxfId="10667" priority="11175">
      <formula>$F38="SAV Sicli"</formula>
    </cfRule>
    <cfRule type="expression" dxfId="10666" priority="11176">
      <formula>$F38="SAV Chubb"</formula>
    </cfRule>
    <cfRule type="expression" dxfId="10665" priority="11177">
      <formula>$F38="Réalisation"</formula>
    </cfRule>
    <cfRule type="expression" dxfId="10664" priority="11178">
      <formula>$F38="Désenfumage"</formula>
    </cfRule>
    <cfRule type="expression" dxfId="10663" priority="11179">
      <formula>$F38="Administratif"</formula>
    </cfRule>
  </conditionalFormatting>
  <conditionalFormatting sqref="C38:D38">
    <cfRule type="expression" dxfId="10662" priority="11170">
      <formula>$H38="non"</formula>
    </cfRule>
  </conditionalFormatting>
  <conditionalFormatting sqref="C42:D42">
    <cfRule type="expression" dxfId="10661" priority="11161">
      <formula>$F42="Formation CCF"</formula>
    </cfRule>
    <cfRule type="expression" dxfId="10660" priority="11162">
      <formula>$F42="Direction"</formula>
    </cfRule>
    <cfRule type="expression" dxfId="10659" priority="11163">
      <formula>$F42="Ventes Sicli"</formula>
    </cfRule>
    <cfRule type="expression" dxfId="10658" priority="11164">
      <formula>$F42="Ventes Chubb"</formula>
    </cfRule>
    <cfRule type="expression" dxfId="10657" priority="11165">
      <formula>$F42="SAV Sicli"</formula>
    </cfRule>
    <cfRule type="expression" dxfId="10656" priority="11166">
      <formula>$F42="SAV Chubb"</formula>
    </cfRule>
    <cfRule type="expression" dxfId="10655" priority="11167">
      <formula>$F42="Réalisation"</formula>
    </cfRule>
    <cfRule type="expression" dxfId="10654" priority="11168">
      <formula>$F42="Désenfumage"</formula>
    </cfRule>
    <cfRule type="expression" dxfId="10653" priority="11169">
      <formula>$F42="Administratif"</formula>
    </cfRule>
  </conditionalFormatting>
  <conditionalFormatting sqref="C42:D42">
    <cfRule type="expression" dxfId="10652" priority="11160">
      <formula>$H42="non"</formula>
    </cfRule>
  </conditionalFormatting>
  <conditionalFormatting sqref="C41:D41">
    <cfRule type="expression" dxfId="10651" priority="11151">
      <formula>$F41="Formation CCF"</formula>
    </cfRule>
    <cfRule type="expression" dxfId="10650" priority="11152">
      <formula>$F41="Direction"</formula>
    </cfRule>
    <cfRule type="expression" dxfId="10649" priority="11153">
      <formula>$F41="Ventes Sicli"</formula>
    </cfRule>
    <cfRule type="expression" dxfId="10648" priority="11154">
      <formula>$F41="Ventes Chubb"</formula>
    </cfRule>
    <cfRule type="expression" dxfId="10647" priority="11155">
      <formula>$F41="SAV Sicli"</formula>
    </cfRule>
    <cfRule type="expression" dxfId="10646" priority="11156">
      <formula>$F41="SAV Chubb"</formula>
    </cfRule>
    <cfRule type="expression" dxfId="10645" priority="11157">
      <formula>$F41="Réalisation"</formula>
    </cfRule>
    <cfRule type="expression" dxfId="10644" priority="11158">
      <formula>$F41="Désenfumage"</formula>
    </cfRule>
    <cfRule type="expression" dxfId="10643" priority="11159">
      <formula>$F41="Administratif"</formula>
    </cfRule>
  </conditionalFormatting>
  <conditionalFormatting sqref="C41:D41">
    <cfRule type="expression" dxfId="10642" priority="11150">
      <formula>$H41="non"</formula>
    </cfRule>
  </conditionalFormatting>
  <conditionalFormatting sqref="C40:D40">
    <cfRule type="expression" dxfId="10641" priority="11141">
      <formula>$F40="Formation CCF"</formula>
    </cfRule>
    <cfRule type="expression" dxfId="10640" priority="11142">
      <formula>$F40="Direction"</formula>
    </cfRule>
    <cfRule type="expression" dxfId="10639" priority="11143">
      <formula>$F40="Ventes Sicli"</formula>
    </cfRule>
    <cfRule type="expression" dxfId="10638" priority="11144">
      <formula>$F40="Ventes Chubb"</formula>
    </cfRule>
    <cfRule type="expression" dxfId="10637" priority="11145">
      <formula>$F40="SAV Sicli"</formula>
    </cfRule>
    <cfRule type="expression" dxfId="10636" priority="11146">
      <formula>$F40="SAV Chubb"</formula>
    </cfRule>
    <cfRule type="expression" dxfId="10635" priority="11147">
      <formula>$F40="Réalisation"</formula>
    </cfRule>
    <cfRule type="expression" dxfId="10634" priority="11148">
      <formula>$F40="Désenfumage"</formula>
    </cfRule>
    <cfRule type="expression" dxfId="10633" priority="11149">
      <formula>$F40="Administratif"</formula>
    </cfRule>
  </conditionalFormatting>
  <conditionalFormatting sqref="C40:D40">
    <cfRule type="expression" dxfId="10632" priority="11140">
      <formula>$H40="non"</formula>
    </cfRule>
  </conditionalFormatting>
  <conditionalFormatting sqref="C38:D38">
    <cfRule type="expression" dxfId="10631" priority="11131">
      <formula>$F38="Formation CCF"</formula>
    </cfRule>
    <cfRule type="expression" dxfId="10630" priority="11132">
      <formula>$F38="Direction"</formula>
    </cfRule>
    <cfRule type="expression" dxfId="10629" priority="11133">
      <formula>$F38="Ventes Sicli"</formula>
    </cfRule>
    <cfRule type="expression" dxfId="10628" priority="11134">
      <formula>$F38="Ventes Chubb"</formula>
    </cfRule>
    <cfRule type="expression" dxfId="10627" priority="11135">
      <formula>$F38="SAV Sicli"</formula>
    </cfRule>
    <cfRule type="expression" dxfId="10626" priority="11136">
      <formula>$F38="SAV Chubb"</formula>
    </cfRule>
    <cfRule type="expression" dxfId="10625" priority="11137">
      <formula>$F38="Réalisation"</formula>
    </cfRule>
    <cfRule type="expression" dxfId="10624" priority="11138">
      <formula>$F38="Désenfumage"</formula>
    </cfRule>
    <cfRule type="expression" dxfId="10623" priority="11139">
      <formula>$F38="Administratif"</formula>
    </cfRule>
  </conditionalFormatting>
  <conditionalFormatting sqref="C38:D38">
    <cfRule type="expression" dxfId="10622" priority="11130">
      <formula>$H38="non"</formula>
    </cfRule>
  </conditionalFormatting>
  <conditionalFormatting sqref="D43">
    <cfRule type="expression" dxfId="10621" priority="11121">
      <formula>$F43="Formation CCF"</formula>
    </cfRule>
    <cfRule type="expression" dxfId="10620" priority="11122">
      <formula>$F43="Direction"</formula>
    </cfRule>
    <cfRule type="expression" dxfId="10619" priority="11123">
      <formula>$F43="Ventes Sicli"</formula>
    </cfRule>
    <cfRule type="expression" dxfId="10618" priority="11124">
      <formula>$F43="Ventes Chubb"</formula>
    </cfRule>
    <cfRule type="expression" dxfId="10617" priority="11125">
      <formula>$F43="SAV Sicli"</formula>
    </cfRule>
    <cfRule type="expression" dxfId="10616" priority="11126">
      <formula>$F43="SAV Chubb"</formula>
    </cfRule>
    <cfRule type="expression" dxfId="10615" priority="11127">
      <formula>$F43="Réalisation"</formula>
    </cfRule>
    <cfRule type="expression" dxfId="10614" priority="11128">
      <formula>$F43="Désenfumage"</formula>
    </cfRule>
    <cfRule type="expression" dxfId="10613" priority="11129">
      <formula>$F43="Administratif"</formula>
    </cfRule>
  </conditionalFormatting>
  <conditionalFormatting sqref="D43">
    <cfRule type="expression" dxfId="10612" priority="11120">
      <formula>$H43="non"</formula>
    </cfRule>
  </conditionalFormatting>
  <conditionalFormatting sqref="D42">
    <cfRule type="expression" dxfId="10611" priority="11091">
      <formula>$F42="Formation CCF"</formula>
    </cfRule>
    <cfRule type="expression" dxfId="10610" priority="11092">
      <formula>$F42="Direction"</formula>
    </cfRule>
    <cfRule type="expression" dxfId="10609" priority="11093">
      <formula>$F42="Ventes Sicli"</formula>
    </cfRule>
    <cfRule type="expression" dxfId="10608" priority="11094">
      <formula>$F42="Ventes Chubb"</formula>
    </cfRule>
    <cfRule type="expression" dxfId="10607" priority="11095">
      <formula>$F42="SAV Sicli"</formula>
    </cfRule>
    <cfRule type="expression" dxfId="10606" priority="11096">
      <formula>$F42="SAV Chubb"</formula>
    </cfRule>
    <cfRule type="expression" dxfId="10605" priority="11097">
      <formula>$F42="Réalisation"</formula>
    </cfRule>
    <cfRule type="expression" dxfId="10604" priority="11098">
      <formula>$F42="Désenfumage"</formula>
    </cfRule>
    <cfRule type="expression" dxfId="10603" priority="11099">
      <formula>$F42="Administratif"</formula>
    </cfRule>
  </conditionalFormatting>
  <conditionalFormatting sqref="D42">
    <cfRule type="expression" dxfId="10602" priority="11090">
      <formula>$H42="non"</formula>
    </cfRule>
  </conditionalFormatting>
  <conditionalFormatting sqref="D41">
    <cfRule type="expression" dxfId="10601" priority="11081">
      <formula>$F41="Formation CCF"</formula>
    </cfRule>
    <cfRule type="expression" dxfId="10600" priority="11082">
      <formula>$F41="Direction"</formula>
    </cfRule>
    <cfRule type="expression" dxfId="10599" priority="11083">
      <formula>$F41="Ventes Sicli"</formula>
    </cfRule>
    <cfRule type="expression" dxfId="10598" priority="11084">
      <formula>$F41="Ventes Chubb"</formula>
    </cfRule>
    <cfRule type="expression" dxfId="10597" priority="11085">
      <formula>$F41="SAV Sicli"</formula>
    </cfRule>
    <cfRule type="expression" dxfId="10596" priority="11086">
      <formula>$F41="SAV Chubb"</formula>
    </cfRule>
    <cfRule type="expression" dxfId="10595" priority="11087">
      <formula>$F41="Réalisation"</formula>
    </cfRule>
    <cfRule type="expression" dxfId="10594" priority="11088">
      <formula>$F41="Désenfumage"</formula>
    </cfRule>
    <cfRule type="expression" dxfId="10593" priority="11089">
      <formula>$F41="Administratif"</formula>
    </cfRule>
  </conditionalFormatting>
  <conditionalFormatting sqref="D41">
    <cfRule type="expression" dxfId="10592" priority="11080">
      <formula>$H41="non"</formula>
    </cfRule>
  </conditionalFormatting>
  <conditionalFormatting sqref="D40">
    <cfRule type="expression" dxfId="10591" priority="11071">
      <formula>$F40="Formation CCF"</formula>
    </cfRule>
    <cfRule type="expression" dxfId="10590" priority="11072">
      <formula>$F40="Direction"</formula>
    </cfRule>
    <cfRule type="expression" dxfId="10589" priority="11073">
      <formula>$F40="Ventes Sicli"</formula>
    </cfRule>
    <cfRule type="expression" dxfId="10588" priority="11074">
      <formula>$F40="Ventes Chubb"</formula>
    </cfRule>
    <cfRule type="expression" dxfId="10587" priority="11075">
      <formula>$F40="SAV Sicli"</formula>
    </cfRule>
    <cfRule type="expression" dxfId="10586" priority="11076">
      <formula>$F40="SAV Chubb"</formula>
    </cfRule>
    <cfRule type="expression" dxfId="10585" priority="11077">
      <formula>$F40="Réalisation"</formula>
    </cfRule>
    <cfRule type="expression" dxfId="10584" priority="11078">
      <formula>$F40="Désenfumage"</formula>
    </cfRule>
    <cfRule type="expression" dxfId="10583" priority="11079">
      <formula>$F40="Administratif"</formula>
    </cfRule>
  </conditionalFormatting>
  <conditionalFormatting sqref="D40">
    <cfRule type="expression" dxfId="10582" priority="11070">
      <formula>$H40="non"</formula>
    </cfRule>
  </conditionalFormatting>
  <conditionalFormatting sqref="D38">
    <cfRule type="expression" dxfId="10581" priority="11061">
      <formula>$F38="Formation CCF"</formula>
    </cfRule>
    <cfRule type="expression" dxfId="10580" priority="11062">
      <formula>$F38="Direction"</formula>
    </cfRule>
    <cfRule type="expression" dxfId="10579" priority="11063">
      <formula>$F38="Ventes Sicli"</formula>
    </cfRule>
    <cfRule type="expression" dxfId="10578" priority="11064">
      <formula>$F38="Ventes Chubb"</formula>
    </cfRule>
    <cfRule type="expression" dxfId="10577" priority="11065">
      <formula>$F38="SAV Sicli"</formula>
    </cfRule>
    <cfRule type="expression" dxfId="10576" priority="11066">
      <formula>$F38="SAV Chubb"</formula>
    </cfRule>
    <cfRule type="expression" dxfId="10575" priority="11067">
      <formula>$F38="Réalisation"</formula>
    </cfRule>
    <cfRule type="expression" dxfId="10574" priority="11068">
      <formula>$F38="Désenfumage"</formula>
    </cfRule>
    <cfRule type="expression" dxfId="10573" priority="11069">
      <formula>$F38="Administratif"</formula>
    </cfRule>
  </conditionalFormatting>
  <conditionalFormatting sqref="D38">
    <cfRule type="expression" dxfId="10572" priority="11060">
      <formula>$H38="non"</formula>
    </cfRule>
  </conditionalFormatting>
  <conditionalFormatting sqref="D43">
    <cfRule type="expression" dxfId="10571" priority="11051">
      <formula>$F43="Formation CCF"</formula>
    </cfRule>
    <cfRule type="expression" dxfId="10570" priority="11052">
      <formula>$F43="Direction"</formula>
    </cfRule>
    <cfRule type="expression" dxfId="10569" priority="11053">
      <formula>$F43="Ventes Sicli"</formula>
    </cfRule>
    <cfRule type="expression" dxfId="10568" priority="11054">
      <formula>$F43="Ventes Chubb"</formula>
    </cfRule>
    <cfRule type="expression" dxfId="10567" priority="11055">
      <formula>$F43="SAV Sicli"</formula>
    </cfRule>
    <cfRule type="expression" dxfId="10566" priority="11056">
      <formula>$F43="SAV Chubb"</formula>
    </cfRule>
    <cfRule type="expression" dxfId="10565" priority="11057">
      <formula>$F43="Réalisation"</formula>
    </cfRule>
    <cfRule type="expression" dxfId="10564" priority="11058">
      <formula>$F43="Désenfumage"</formula>
    </cfRule>
    <cfRule type="expression" dxfId="10563" priority="11059">
      <formula>$F43="Administratif"</formula>
    </cfRule>
  </conditionalFormatting>
  <conditionalFormatting sqref="D43">
    <cfRule type="expression" dxfId="10562" priority="11050">
      <formula>$H43="non"</formula>
    </cfRule>
  </conditionalFormatting>
  <conditionalFormatting sqref="D42">
    <cfRule type="expression" dxfId="10561" priority="11021">
      <formula>$F42="Formation CCF"</formula>
    </cfRule>
    <cfRule type="expression" dxfId="10560" priority="11022">
      <formula>$F42="Direction"</formula>
    </cfRule>
    <cfRule type="expression" dxfId="10559" priority="11023">
      <formula>$F42="Ventes Sicli"</formula>
    </cfRule>
    <cfRule type="expression" dxfId="10558" priority="11024">
      <formula>$F42="Ventes Chubb"</formula>
    </cfRule>
    <cfRule type="expression" dxfId="10557" priority="11025">
      <formula>$F42="SAV Sicli"</formula>
    </cfRule>
    <cfRule type="expression" dxfId="10556" priority="11026">
      <formula>$F42="SAV Chubb"</formula>
    </cfRule>
    <cfRule type="expression" dxfId="10555" priority="11027">
      <formula>$F42="Réalisation"</formula>
    </cfRule>
    <cfRule type="expression" dxfId="10554" priority="11028">
      <formula>$F42="Désenfumage"</formula>
    </cfRule>
    <cfRule type="expression" dxfId="10553" priority="11029">
      <formula>$F42="Administratif"</formula>
    </cfRule>
  </conditionalFormatting>
  <conditionalFormatting sqref="D42">
    <cfRule type="expression" dxfId="10552" priority="11020">
      <formula>$H42="non"</formula>
    </cfRule>
  </conditionalFormatting>
  <conditionalFormatting sqref="D43">
    <cfRule type="expression" dxfId="10551" priority="11011">
      <formula>$F43="Formation CCF"</formula>
    </cfRule>
    <cfRule type="expression" dxfId="10550" priority="11012">
      <formula>$F43="Direction"</formula>
    </cfRule>
    <cfRule type="expression" dxfId="10549" priority="11013">
      <formula>$F43="Ventes Sicli"</formula>
    </cfRule>
    <cfRule type="expression" dxfId="10548" priority="11014">
      <formula>$F43="Ventes Chubb"</formula>
    </cfRule>
    <cfRule type="expression" dxfId="10547" priority="11015">
      <formula>$F43="SAV Sicli"</formula>
    </cfRule>
    <cfRule type="expression" dxfId="10546" priority="11016">
      <formula>$F43="SAV Chubb"</formula>
    </cfRule>
    <cfRule type="expression" dxfId="10545" priority="11017">
      <formula>$F43="Réalisation"</formula>
    </cfRule>
    <cfRule type="expression" dxfId="10544" priority="11018">
      <formula>$F43="Désenfumage"</formula>
    </cfRule>
    <cfRule type="expression" dxfId="10543" priority="11019">
      <formula>$F43="Administratif"</formula>
    </cfRule>
  </conditionalFormatting>
  <conditionalFormatting sqref="D43">
    <cfRule type="expression" dxfId="10542" priority="11010">
      <formula>$H43="non"</formula>
    </cfRule>
  </conditionalFormatting>
  <conditionalFormatting sqref="D43">
    <cfRule type="expression" dxfId="10541" priority="11001">
      <formula>$F43="Formation CCF"</formula>
    </cfRule>
    <cfRule type="expression" dxfId="10540" priority="11002">
      <formula>$F43="Direction"</formula>
    </cfRule>
    <cfRule type="expression" dxfId="10539" priority="11003">
      <formula>$F43="Ventes Sicli"</formula>
    </cfRule>
    <cfRule type="expression" dxfId="10538" priority="11004">
      <formula>$F43="Ventes Chubb"</formula>
    </cfRule>
    <cfRule type="expression" dxfId="10537" priority="11005">
      <formula>$F43="SAV Sicli"</formula>
    </cfRule>
    <cfRule type="expression" dxfId="10536" priority="11006">
      <formula>$F43="SAV Chubb"</formula>
    </cfRule>
    <cfRule type="expression" dxfId="10535" priority="11007">
      <formula>$F43="Réalisation"</formula>
    </cfRule>
    <cfRule type="expression" dxfId="10534" priority="11008">
      <formula>$F43="Désenfumage"</formula>
    </cfRule>
    <cfRule type="expression" dxfId="10533" priority="11009">
      <formula>$F43="Administratif"</formula>
    </cfRule>
  </conditionalFormatting>
  <conditionalFormatting sqref="D43">
    <cfRule type="expression" dxfId="10532" priority="11000">
      <formula>$H43="non"</formula>
    </cfRule>
  </conditionalFormatting>
  <conditionalFormatting sqref="D42">
    <cfRule type="expression" dxfId="10531" priority="10971">
      <formula>$F42="Formation CCF"</formula>
    </cfRule>
    <cfRule type="expression" dxfId="10530" priority="10972">
      <formula>$F42="Direction"</formula>
    </cfRule>
    <cfRule type="expression" dxfId="10529" priority="10973">
      <formula>$F42="Ventes Sicli"</formula>
    </cfRule>
    <cfRule type="expression" dxfId="10528" priority="10974">
      <formula>$F42="Ventes Chubb"</formula>
    </cfRule>
    <cfRule type="expression" dxfId="10527" priority="10975">
      <formula>$F42="SAV Sicli"</formula>
    </cfRule>
    <cfRule type="expression" dxfId="10526" priority="10976">
      <formula>$F42="SAV Chubb"</formula>
    </cfRule>
    <cfRule type="expression" dxfId="10525" priority="10977">
      <formula>$F42="Réalisation"</formula>
    </cfRule>
    <cfRule type="expression" dxfId="10524" priority="10978">
      <formula>$F42="Désenfumage"</formula>
    </cfRule>
    <cfRule type="expression" dxfId="10523" priority="10979">
      <formula>$F42="Administratif"</formula>
    </cfRule>
  </conditionalFormatting>
  <conditionalFormatting sqref="D42">
    <cfRule type="expression" dxfId="10522" priority="10970">
      <formula>$H42="non"</formula>
    </cfRule>
  </conditionalFormatting>
  <conditionalFormatting sqref="D41">
    <cfRule type="expression" dxfId="10521" priority="10961">
      <formula>$F41="Formation CCF"</formula>
    </cfRule>
    <cfRule type="expression" dxfId="10520" priority="10962">
      <formula>$F41="Direction"</formula>
    </cfRule>
    <cfRule type="expression" dxfId="10519" priority="10963">
      <formula>$F41="Ventes Sicli"</formula>
    </cfRule>
    <cfRule type="expression" dxfId="10518" priority="10964">
      <formula>$F41="Ventes Chubb"</formula>
    </cfRule>
    <cfRule type="expression" dxfId="10517" priority="10965">
      <formula>$F41="SAV Sicli"</formula>
    </cfRule>
    <cfRule type="expression" dxfId="10516" priority="10966">
      <formula>$F41="SAV Chubb"</formula>
    </cfRule>
    <cfRule type="expression" dxfId="10515" priority="10967">
      <formula>$F41="Réalisation"</formula>
    </cfRule>
    <cfRule type="expression" dxfId="10514" priority="10968">
      <formula>$F41="Désenfumage"</formula>
    </cfRule>
    <cfRule type="expression" dxfId="10513" priority="10969">
      <formula>$F41="Administratif"</formula>
    </cfRule>
  </conditionalFormatting>
  <conditionalFormatting sqref="D41">
    <cfRule type="expression" dxfId="10512" priority="10960">
      <formula>$H41="non"</formula>
    </cfRule>
  </conditionalFormatting>
  <conditionalFormatting sqref="D40">
    <cfRule type="expression" dxfId="10511" priority="10951">
      <formula>$F40="Formation CCF"</formula>
    </cfRule>
    <cfRule type="expression" dxfId="10510" priority="10952">
      <formula>$F40="Direction"</formula>
    </cfRule>
    <cfRule type="expression" dxfId="10509" priority="10953">
      <formula>$F40="Ventes Sicli"</formula>
    </cfRule>
    <cfRule type="expression" dxfId="10508" priority="10954">
      <formula>$F40="Ventes Chubb"</formula>
    </cfRule>
    <cfRule type="expression" dxfId="10507" priority="10955">
      <formula>$F40="SAV Sicli"</formula>
    </cfRule>
    <cfRule type="expression" dxfId="10506" priority="10956">
      <formula>$F40="SAV Chubb"</formula>
    </cfRule>
    <cfRule type="expression" dxfId="10505" priority="10957">
      <formula>$F40="Réalisation"</formula>
    </cfRule>
    <cfRule type="expression" dxfId="10504" priority="10958">
      <formula>$F40="Désenfumage"</formula>
    </cfRule>
    <cfRule type="expression" dxfId="10503" priority="10959">
      <formula>$F40="Administratif"</formula>
    </cfRule>
  </conditionalFormatting>
  <conditionalFormatting sqref="D40">
    <cfRule type="expression" dxfId="10502" priority="10950">
      <formula>$H40="non"</formula>
    </cfRule>
  </conditionalFormatting>
  <conditionalFormatting sqref="D38">
    <cfRule type="expression" dxfId="10501" priority="10941">
      <formula>$F38="Formation CCF"</formula>
    </cfRule>
    <cfRule type="expression" dxfId="10500" priority="10942">
      <formula>$F38="Direction"</formula>
    </cfRule>
    <cfRule type="expression" dxfId="10499" priority="10943">
      <formula>$F38="Ventes Sicli"</formula>
    </cfRule>
    <cfRule type="expression" dxfId="10498" priority="10944">
      <formula>$F38="Ventes Chubb"</formula>
    </cfRule>
    <cfRule type="expression" dxfId="10497" priority="10945">
      <formula>$F38="SAV Sicli"</formula>
    </cfRule>
    <cfRule type="expression" dxfId="10496" priority="10946">
      <formula>$F38="SAV Chubb"</formula>
    </cfRule>
    <cfRule type="expression" dxfId="10495" priority="10947">
      <formula>$F38="Réalisation"</formula>
    </cfRule>
    <cfRule type="expression" dxfId="10494" priority="10948">
      <formula>$F38="Désenfumage"</formula>
    </cfRule>
    <cfRule type="expression" dxfId="10493" priority="10949">
      <formula>$F38="Administratif"</formula>
    </cfRule>
  </conditionalFormatting>
  <conditionalFormatting sqref="D38">
    <cfRule type="expression" dxfId="10492" priority="10940">
      <formula>$H38="non"</formula>
    </cfRule>
  </conditionalFormatting>
  <conditionalFormatting sqref="D43">
    <cfRule type="expression" dxfId="10491" priority="10931">
      <formula>$F43="Formation CCF"</formula>
    </cfRule>
    <cfRule type="expression" dxfId="10490" priority="10932">
      <formula>$F43="Direction"</formula>
    </cfRule>
    <cfRule type="expression" dxfId="10489" priority="10933">
      <formula>$F43="Ventes Sicli"</formula>
    </cfRule>
    <cfRule type="expression" dxfId="10488" priority="10934">
      <formula>$F43="Ventes Chubb"</formula>
    </cfRule>
    <cfRule type="expression" dxfId="10487" priority="10935">
      <formula>$F43="SAV Sicli"</formula>
    </cfRule>
    <cfRule type="expression" dxfId="10486" priority="10936">
      <formula>$F43="SAV Chubb"</formula>
    </cfRule>
    <cfRule type="expression" dxfId="10485" priority="10937">
      <formula>$F43="Réalisation"</formula>
    </cfRule>
    <cfRule type="expression" dxfId="10484" priority="10938">
      <formula>$F43="Désenfumage"</formula>
    </cfRule>
    <cfRule type="expression" dxfId="10483" priority="10939">
      <formula>$F43="Administratif"</formula>
    </cfRule>
  </conditionalFormatting>
  <conditionalFormatting sqref="D43">
    <cfRule type="expression" dxfId="10482" priority="10930">
      <formula>$H43="non"</formula>
    </cfRule>
  </conditionalFormatting>
  <conditionalFormatting sqref="D43">
    <cfRule type="expression" dxfId="10481" priority="10921">
      <formula>$F43="Formation CCF"</formula>
    </cfRule>
    <cfRule type="expression" dxfId="10480" priority="10922">
      <formula>$F43="Direction"</formula>
    </cfRule>
    <cfRule type="expression" dxfId="10479" priority="10923">
      <formula>$F43="Ventes Sicli"</formula>
    </cfRule>
    <cfRule type="expression" dxfId="10478" priority="10924">
      <formula>$F43="Ventes Chubb"</formula>
    </cfRule>
    <cfRule type="expression" dxfId="10477" priority="10925">
      <formula>$F43="SAV Sicli"</formula>
    </cfRule>
    <cfRule type="expression" dxfId="10476" priority="10926">
      <formula>$F43="SAV Chubb"</formula>
    </cfRule>
    <cfRule type="expression" dxfId="10475" priority="10927">
      <formula>$F43="Réalisation"</formula>
    </cfRule>
    <cfRule type="expression" dxfId="10474" priority="10928">
      <formula>$F43="Désenfumage"</formula>
    </cfRule>
    <cfRule type="expression" dxfId="10473" priority="10929">
      <formula>$F43="Administratif"</formula>
    </cfRule>
  </conditionalFormatting>
  <conditionalFormatting sqref="D43">
    <cfRule type="expression" dxfId="10472" priority="10920">
      <formula>$H43="non"</formula>
    </cfRule>
  </conditionalFormatting>
  <conditionalFormatting sqref="D42">
    <cfRule type="expression" dxfId="10471" priority="10891">
      <formula>$F42="Formation CCF"</formula>
    </cfRule>
    <cfRule type="expression" dxfId="10470" priority="10892">
      <formula>$F42="Direction"</formula>
    </cfRule>
    <cfRule type="expression" dxfId="10469" priority="10893">
      <formula>$F42="Ventes Sicli"</formula>
    </cfRule>
    <cfRule type="expression" dxfId="10468" priority="10894">
      <formula>$F42="Ventes Chubb"</formula>
    </cfRule>
    <cfRule type="expression" dxfId="10467" priority="10895">
      <formula>$F42="SAV Sicli"</formula>
    </cfRule>
    <cfRule type="expression" dxfId="10466" priority="10896">
      <formula>$F42="SAV Chubb"</formula>
    </cfRule>
    <cfRule type="expression" dxfId="10465" priority="10897">
      <formula>$F42="Réalisation"</formula>
    </cfRule>
    <cfRule type="expression" dxfId="10464" priority="10898">
      <formula>$F42="Désenfumage"</formula>
    </cfRule>
    <cfRule type="expression" dxfId="10463" priority="10899">
      <formula>$F42="Administratif"</formula>
    </cfRule>
  </conditionalFormatting>
  <conditionalFormatting sqref="D42">
    <cfRule type="expression" dxfId="10462" priority="10890">
      <formula>$H42="non"</formula>
    </cfRule>
  </conditionalFormatting>
  <conditionalFormatting sqref="D41">
    <cfRule type="expression" dxfId="10461" priority="10881">
      <formula>$F41="Formation CCF"</formula>
    </cfRule>
    <cfRule type="expression" dxfId="10460" priority="10882">
      <formula>$F41="Direction"</formula>
    </cfRule>
    <cfRule type="expression" dxfId="10459" priority="10883">
      <formula>$F41="Ventes Sicli"</formula>
    </cfRule>
    <cfRule type="expression" dxfId="10458" priority="10884">
      <formula>$F41="Ventes Chubb"</formula>
    </cfRule>
    <cfRule type="expression" dxfId="10457" priority="10885">
      <formula>$F41="SAV Sicli"</formula>
    </cfRule>
    <cfRule type="expression" dxfId="10456" priority="10886">
      <formula>$F41="SAV Chubb"</formula>
    </cfRule>
    <cfRule type="expression" dxfId="10455" priority="10887">
      <formula>$F41="Réalisation"</formula>
    </cfRule>
    <cfRule type="expression" dxfId="10454" priority="10888">
      <formula>$F41="Désenfumage"</formula>
    </cfRule>
    <cfRule type="expression" dxfId="10453" priority="10889">
      <formula>$F41="Administratif"</formula>
    </cfRule>
  </conditionalFormatting>
  <conditionalFormatting sqref="D41">
    <cfRule type="expression" dxfId="10452" priority="10880">
      <formula>$H41="non"</formula>
    </cfRule>
  </conditionalFormatting>
  <conditionalFormatting sqref="D43">
    <cfRule type="expression" dxfId="10451" priority="10871">
      <formula>$F43="Formation CCF"</formula>
    </cfRule>
    <cfRule type="expression" dxfId="10450" priority="10872">
      <formula>$F43="Direction"</formula>
    </cfRule>
    <cfRule type="expression" dxfId="10449" priority="10873">
      <formula>$F43="Ventes Sicli"</formula>
    </cfRule>
    <cfRule type="expression" dxfId="10448" priority="10874">
      <formula>$F43="Ventes Chubb"</formula>
    </cfRule>
    <cfRule type="expression" dxfId="10447" priority="10875">
      <formula>$F43="SAV Sicli"</formula>
    </cfRule>
    <cfRule type="expression" dxfId="10446" priority="10876">
      <formula>$F43="SAV Chubb"</formula>
    </cfRule>
    <cfRule type="expression" dxfId="10445" priority="10877">
      <formula>$F43="Réalisation"</formula>
    </cfRule>
    <cfRule type="expression" dxfId="10444" priority="10878">
      <formula>$F43="Désenfumage"</formula>
    </cfRule>
    <cfRule type="expression" dxfId="10443" priority="10879">
      <formula>$F43="Administratif"</formula>
    </cfRule>
  </conditionalFormatting>
  <conditionalFormatting sqref="D43">
    <cfRule type="expression" dxfId="10442" priority="10870">
      <formula>$H43="non"</formula>
    </cfRule>
  </conditionalFormatting>
  <conditionalFormatting sqref="C43:D43">
    <cfRule type="expression" dxfId="10441" priority="10851">
      <formula>$F43="Formation CCF"</formula>
    </cfRule>
    <cfRule type="expression" dxfId="10440" priority="10852">
      <formula>$F43="Direction"</formula>
    </cfRule>
    <cfRule type="expression" dxfId="10439" priority="10853">
      <formula>$F43="Ventes Sicli"</formula>
    </cfRule>
    <cfRule type="expression" dxfId="10438" priority="10854">
      <formula>$F43="Ventes Chubb"</formula>
    </cfRule>
    <cfRule type="expression" dxfId="10437" priority="10855">
      <formula>$F43="SAV Sicli"</formula>
    </cfRule>
    <cfRule type="expression" dxfId="10436" priority="10856">
      <formula>$F43="SAV Chubb"</formula>
    </cfRule>
    <cfRule type="expression" dxfId="10435" priority="10857">
      <formula>$F43="Réalisation"</formula>
    </cfRule>
    <cfRule type="expression" dxfId="10434" priority="10858">
      <formula>$F43="Désenfumage"</formula>
    </cfRule>
    <cfRule type="expression" dxfId="10433" priority="10859">
      <formula>$F43="Administratif"</formula>
    </cfRule>
  </conditionalFormatting>
  <conditionalFormatting sqref="C43:D43">
    <cfRule type="expression" dxfId="10432" priority="10850">
      <formula>$H43="non"</formula>
    </cfRule>
  </conditionalFormatting>
  <conditionalFormatting sqref="D41">
    <cfRule type="expression" dxfId="10431" priority="10821">
      <formula>$F41="Formation CCF"</formula>
    </cfRule>
    <cfRule type="expression" dxfId="10430" priority="10822">
      <formula>$F41="Direction"</formula>
    </cfRule>
    <cfRule type="expression" dxfId="10429" priority="10823">
      <formula>$F41="Ventes Sicli"</formula>
    </cfRule>
    <cfRule type="expression" dxfId="10428" priority="10824">
      <formula>$F41="Ventes Chubb"</formula>
    </cfRule>
    <cfRule type="expression" dxfId="10427" priority="10825">
      <formula>$F41="SAV Sicli"</formula>
    </cfRule>
    <cfRule type="expression" dxfId="10426" priority="10826">
      <formula>$F41="SAV Chubb"</formula>
    </cfRule>
    <cfRule type="expression" dxfId="10425" priority="10827">
      <formula>$F41="Réalisation"</formula>
    </cfRule>
    <cfRule type="expression" dxfId="10424" priority="10828">
      <formula>$F41="Désenfumage"</formula>
    </cfRule>
    <cfRule type="expression" dxfId="10423" priority="10829">
      <formula>$F41="Administratif"</formula>
    </cfRule>
  </conditionalFormatting>
  <conditionalFormatting sqref="D41">
    <cfRule type="expression" dxfId="10422" priority="10820">
      <formula>$H41="non"</formula>
    </cfRule>
  </conditionalFormatting>
  <conditionalFormatting sqref="D40">
    <cfRule type="expression" dxfId="10421" priority="10811">
      <formula>$F40="Formation CCF"</formula>
    </cfRule>
    <cfRule type="expression" dxfId="10420" priority="10812">
      <formula>$F40="Direction"</formula>
    </cfRule>
    <cfRule type="expression" dxfId="10419" priority="10813">
      <formula>$F40="Ventes Sicli"</formula>
    </cfRule>
    <cfRule type="expression" dxfId="10418" priority="10814">
      <formula>$F40="Ventes Chubb"</formula>
    </cfRule>
    <cfRule type="expression" dxfId="10417" priority="10815">
      <formula>$F40="SAV Sicli"</formula>
    </cfRule>
    <cfRule type="expression" dxfId="10416" priority="10816">
      <formula>$F40="SAV Chubb"</formula>
    </cfRule>
    <cfRule type="expression" dxfId="10415" priority="10817">
      <formula>$F40="Réalisation"</formula>
    </cfRule>
    <cfRule type="expression" dxfId="10414" priority="10818">
      <formula>$F40="Désenfumage"</formula>
    </cfRule>
    <cfRule type="expression" dxfId="10413" priority="10819">
      <formula>$F40="Administratif"</formula>
    </cfRule>
  </conditionalFormatting>
  <conditionalFormatting sqref="D40">
    <cfRule type="expression" dxfId="10412" priority="10810">
      <formula>$H40="non"</formula>
    </cfRule>
  </conditionalFormatting>
  <conditionalFormatting sqref="D38">
    <cfRule type="expression" dxfId="10411" priority="10801">
      <formula>$F38="Formation CCF"</formula>
    </cfRule>
    <cfRule type="expression" dxfId="10410" priority="10802">
      <formula>$F38="Direction"</formula>
    </cfRule>
    <cfRule type="expression" dxfId="10409" priority="10803">
      <formula>$F38="Ventes Sicli"</formula>
    </cfRule>
    <cfRule type="expression" dxfId="10408" priority="10804">
      <formula>$F38="Ventes Chubb"</formula>
    </cfRule>
    <cfRule type="expression" dxfId="10407" priority="10805">
      <formula>$F38="SAV Sicli"</formula>
    </cfRule>
    <cfRule type="expression" dxfId="10406" priority="10806">
      <formula>$F38="SAV Chubb"</formula>
    </cfRule>
    <cfRule type="expression" dxfId="10405" priority="10807">
      <formula>$F38="Réalisation"</formula>
    </cfRule>
    <cfRule type="expression" dxfId="10404" priority="10808">
      <formula>$F38="Désenfumage"</formula>
    </cfRule>
    <cfRule type="expression" dxfId="10403" priority="10809">
      <formula>$F38="Administratif"</formula>
    </cfRule>
  </conditionalFormatting>
  <conditionalFormatting sqref="D38">
    <cfRule type="expression" dxfId="10402" priority="10800">
      <formula>$H38="non"</formula>
    </cfRule>
  </conditionalFormatting>
  <conditionalFormatting sqref="D40">
    <cfRule type="expression" dxfId="10401" priority="10791">
      <formula>$F40="Formation CCF"</formula>
    </cfRule>
    <cfRule type="expression" dxfId="10400" priority="10792">
      <formula>$F40="Direction"</formula>
    </cfRule>
    <cfRule type="expression" dxfId="10399" priority="10793">
      <formula>$F40="Ventes Sicli"</formula>
    </cfRule>
    <cfRule type="expression" dxfId="10398" priority="10794">
      <formula>$F40="Ventes Chubb"</formula>
    </cfRule>
    <cfRule type="expression" dxfId="10397" priority="10795">
      <formula>$F40="SAV Sicli"</formula>
    </cfRule>
    <cfRule type="expression" dxfId="10396" priority="10796">
      <formula>$F40="SAV Chubb"</formula>
    </cfRule>
    <cfRule type="expression" dxfId="10395" priority="10797">
      <formula>$F40="Réalisation"</formula>
    </cfRule>
    <cfRule type="expression" dxfId="10394" priority="10798">
      <formula>$F40="Désenfumage"</formula>
    </cfRule>
    <cfRule type="expression" dxfId="10393" priority="10799">
      <formula>$F40="Administratif"</formula>
    </cfRule>
  </conditionalFormatting>
  <conditionalFormatting sqref="D40">
    <cfRule type="expression" dxfId="10392" priority="10790">
      <formula>$H40="non"</formula>
    </cfRule>
  </conditionalFormatting>
  <conditionalFormatting sqref="D38">
    <cfRule type="expression" dxfId="10391" priority="10781">
      <formula>$F38="Formation CCF"</formula>
    </cfRule>
    <cfRule type="expression" dxfId="10390" priority="10782">
      <formula>$F38="Direction"</formula>
    </cfRule>
    <cfRule type="expression" dxfId="10389" priority="10783">
      <formula>$F38="Ventes Sicli"</formula>
    </cfRule>
    <cfRule type="expression" dxfId="10388" priority="10784">
      <formula>$F38="Ventes Chubb"</formula>
    </cfRule>
    <cfRule type="expression" dxfId="10387" priority="10785">
      <formula>$F38="SAV Sicli"</formula>
    </cfRule>
    <cfRule type="expression" dxfId="10386" priority="10786">
      <formula>$F38="SAV Chubb"</formula>
    </cfRule>
    <cfRule type="expression" dxfId="10385" priority="10787">
      <formula>$F38="Réalisation"</formula>
    </cfRule>
    <cfRule type="expression" dxfId="10384" priority="10788">
      <formula>$F38="Désenfumage"</formula>
    </cfRule>
    <cfRule type="expression" dxfId="10383" priority="10789">
      <formula>$F38="Administratif"</formula>
    </cfRule>
  </conditionalFormatting>
  <conditionalFormatting sqref="D38">
    <cfRule type="expression" dxfId="10382" priority="10780">
      <formula>$H38="non"</formula>
    </cfRule>
  </conditionalFormatting>
  <conditionalFormatting sqref="C43:D43">
    <cfRule type="expression" dxfId="10381" priority="10771">
      <formula>$F43="Formation CCF"</formula>
    </cfRule>
    <cfRule type="expression" dxfId="10380" priority="10772">
      <formula>$F43="Direction"</formula>
    </cfRule>
    <cfRule type="expression" dxfId="10379" priority="10773">
      <formula>$F43="Ventes Sicli"</formula>
    </cfRule>
    <cfRule type="expression" dxfId="10378" priority="10774">
      <formula>$F43="Ventes Chubb"</formula>
    </cfRule>
    <cfRule type="expression" dxfId="10377" priority="10775">
      <formula>$F43="SAV Sicli"</formula>
    </cfRule>
    <cfRule type="expression" dxfId="10376" priority="10776">
      <formula>$F43="SAV Chubb"</formula>
    </cfRule>
    <cfRule type="expression" dxfId="10375" priority="10777">
      <formula>$F43="Réalisation"</formula>
    </cfRule>
    <cfRule type="expression" dxfId="10374" priority="10778">
      <formula>$F43="Désenfumage"</formula>
    </cfRule>
    <cfRule type="expression" dxfId="10373" priority="10779">
      <formula>$F43="Administratif"</formula>
    </cfRule>
  </conditionalFormatting>
  <conditionalFormatting sqref="C43:D43">
    <cfRule type="expression" dxfId="10372" priority="10770">
      <formula>$H43="non"</formula>
    </cfRule>
  </conditionalFormatting>
  <conditionalFormatting sqref="C42:D42">
    <cfRule type="expression" dxfId="10371" priority="10741">
      <formula>$F42="Formation CCF"</formula>
    </cfRule>
    <cfRule type="expression" dxfId="10370" priority="10742">
      <formula>$F42="Direction"</formula>
    </cfRule>
    <cfRule type="expression" dxfId="10369" priority="10743">
      <formula>$F42="Ventes Sicli"</formula>
    </cfRule>
    <cfRule type="expression" dxfId="10368" priority="10744">
      <formula>$F42="Ventes Chubb"</formula>
    </cfRule>
    <cfRule type="expression" dxfId="10367" priority="10745">
      <formula>$F42="SAV Sicli"</formula>
    </cfRule>
    <cfRule type="expression" dxfId="10366" priority="10746">
      <formula>$F42="SAV Chubb"</formula>
    </cfRule>
    <cfRule type="expression" dxfId="10365" priority="10747">
      <formula>$F42="Réalisation"</formula>
    </cfRule>
    <cfRule type="expression" dxfId="10364" priority="10748">
      <formula>$F42="Désenfumage"</formula>
    </cfRule>
    <cfRule type="expression" dxfId="10363" priority="10749">
      <formula>$F42="Administratif"</formula>
    </cfRule>
  </conditionalFormatting>
  <conditionalFormatting sqref="C42:D42">
    <cfRule type="expression" dxfId="10362" priority="10740">
      <formula>$H42="non"</formula>
    </cfRule>
  </conditionalFormatting>
  <conditionalFormatting sqref="D40">
    <cfRule type="expression" dxfId="10361" priority="10731">
      <formula>$F40="Formation CCF"</formula>
    </cfRule>
    <cfRule type="expression" dxfId="10360" priority="10732">
      <formula>$F40="Direction"</formula>
    </cfRule>
    <cfRule type="expression" dxfId="10359" priority="10733">
      <formula>$F40="Ventes Sicli"</formula>
    </cfRule>
    <cfRule type="expression" dxfId="10358" priority="10734">
      <formula>$F40="Ventes Chubb"</formula>
    </cfRule>
    <cfRule type="expression" dxfId="10357" priority="10735">
      <formula>$F40="SAV Sicli"</formula>
    </cfRule>
    <cfRule type="expression" dxfId="10356" priority="10736">
      <formula>$F40="SAV Chubb"</formula>
    </cfRule>
    <cfRule type="expression" dxfId="10355" priority="10737">
      <formula>$F40="Réalisation"</formula>
    </cfRule>
    <cfRule type="expression" dxfId="10354" priority="10738">
      <formula>$F40="Désenfumage"</formula>
    </cfRule>
    <cfRule type="expression" dxfId="10353" priority="10739">
      <formula>$F40="Administratif"</formula>
    </cfRule>
  </conditionalFormatting>
  <conditionalFormatting sqref="D40">
    <cfRule type="expression" dxfId="10352" priority="10730">
      <formula>$H40="non"</formula>
    </cfRule>
  </conditionalFormatting>
  <conditionalFormatting sqref="D38">
    <cfRule type="expression" dxfId="10351" priority="10721">
      <formula>$F38="Formation CCF"</formula>
    </cfRule>
    <cfRule type="expression" dxfId="10350" priority="10722">
      <formula>$F38="Direction"</formula>
    </cfRule>
    <cfRule type="expression" dxfId="10349" priority="10723">
      <formula>$F38="Ventes Sicli"</formula>
    </cfRule>
    <cfRule type="expression" dxfId="10348" priority="10724">
      <formula>$F38="Ventes Chubb"</formula>
    </cfRule>
    <cfRule type="expression" dxfId="10347" priority="10725">
      <formula>$F38="SAV Sicli"</formula>
    </cfRule>
    <cfRule type="expression" dxfId="10346" priority="10726">
      <formula>$F38="SAV Chubb"</formula>
    </cfRule>
    <cfRule type="expression" dxfId="10345" priority="10727">
      <formula>$F38="Réalisation"</formula>
    </cfRule>
    <cfRule type="expression" dxfId="10344" priority="10728">
      <formula>$F38="Désenfumage"</formula>
    </cfRule>
    <cfRule type="expression" dxfId="10343" priority="10729">
      <formula>$F38="Administratif"</formula>
    </cfRule>
  </conditionalFormatting>
  <conditionalFormatting sqref="D38">
    <cfRule type="expression" dxfId="10342" priority="10720">
      <formula>$H38="non"</formula>
    </cfRule>
  </conditionalFormatting>
  <conditionalFormatting sqref="D38">
    <cfRule type="expression" dxfId="10341" priority="10711">
      <formula>$F38="Formation CCF"</formula>
    </cfRule>
    <cfRule type="expression" dxfId="10340" priority="10712">
      <formula>$F38="Direction"</formula>
    </cfRule>
    <cfRule type="expression" dxfId="10339" priority="10713">
      <formula>$F38="Ventes Sicli"</formula>
    </cfRule>
    <cfRule type="expression" dxfId="10338" priority="10714">
      <formula>$F38="Ventes Chubb"</formula>
    </cfRule>
    <cfRule type="expression" dxfId="10337" priority="10715">
      <formula>$F38="SAV Sicli"</formula>
    </cfRule>
    <cfRule type="expression" dxfId="10336" priority="10716">
      <formula>$F38="SAV Chubb"</formula>
    </cfRule>
    <cfRule type="expression" dxfId="10335" priority="10717">
      <formula>$F38="Réalisation"</formula>
    </cfRule>
    <cfRule type="expression" dxfId="10334" priority="10718">
      <formula>$F38="Désenfumage"</formula>
    </cfRule>
    <cfRule type="expression" dxfId="10333" priority="10719">
      <formula>$F38="Administratif"</formula>
    </cfRule>
  </conditionalFormatting>
  <conditionalFormatting sqref="D38">
    <cfRule type="expression" dxfId="10332" priority="10710">
      <formula>$H38="non"</formula>
    </cfRule>
  </conditionalFormatting>
  <conditionalFormatting sqref="C43:D43">
    <cfRule type="expression" dxfId="10331" priority="10701">
      <formula>$F43="Formation CCF"</formula>
    </cfRule>
    <cfRule type="expression" dxfId="10330" priority="10702">
      <formula>$F43="Direction"</formula>
    </cfRule>
    <cfRule type="expression" dxfId="10329" priority="10703">
      <formula>$F43="Ventes Sicli"</formula>
    </cfRule>
    <cfRule type="expression" dxfId="10328" priority="10704">
      <formula>$F43="Ventes Chubb"</formula>
    </cfRule>
    <cfRule type="expression" dxfId="10327" priority="10705">
      <formula>$F43="SAV Sicli"</formula>
    </cfRule>
    <cfRule type="expression" dxfId="10326" priority="10706">
      <formula>$F43="SAV Chubb"</formula>
    </cfRule>
    <cfRule type="expression" dxfId="10325" priority="10707">
      <formula>$F43="Réalisation"</formula>
    </cfRule>
    <cfRule type="expression" dxfId="10324" priority="10708">
      <formula>$F43="Désenfumage"</formula>
    </cfRule>
    <cfRule type="expression" dxfId="10323" priority="10709">
      <formula>$F43="Administratif"</formula>
    </cfRule>
  </conditionalFormatting>
  <conditionalFormatting sqref="C43:D43">
    <cfRule type="expression" dxfId="10322" priority="10700">
      <formula>$H43="non"</formula>
    </cfRule>
  </conditionalFormatting>
  <conditionalFormatting sqref="C42:D42">
    <cfRule type="expression" dxfId="10321" priority="10671">
      <formula>$F42="Formation CCF"</formula>
    </cfRule>
    <cfRule type="expression" dxfId="10320" priority="10672">
      <formula>$F42="Direction"</formula>
    </cfRule>
    <cfRule type="expression" dxfId="10319" priority="10673">
      <formula>$F42="Ventes Sicli"</formula>
    </cfRule>
    <cfRule type="expression" dxfId="10318" priority="10674">
      <formula>$F42="Ventes Chubb"</formula>
    </cfRule>
    <cfRule type="expression" dxfId="10317" priority="10675">
      <formula>$F42="SAV Sicli"</formula>
    </cfRule>
    <cfRule type="expression" dxfId="10316" priority="10676">
      <formula>$F42="SAV Chubb"</formula>
    </cfRule>
    <cfRule type="expression" dxfId="10315" priority="10677">
      <formula>$F42="Réalisation"</formula>
    </cfRule>
    <cfRule type="expression" dxfId="10314" priority="10678">
      <formula>$F42="Désenfumage"</formula>
    </cfRule>
    <cfRule type="expression" dxfId="10313" priority="10679">
      <formula>$F42="Administratif"</formula>
    </cfRule>
  </conditionalFormatting>
  <conditionalFormatting sqref="C42:D42">
    <cfRule type="expression" dxfId="10312" priority="10670">
      <formula>$H42="non"</formula>
    </cfRule>
  </conditionalFormatting>
  <conditionalFormatting sqref="D40">
    <cfRule type="expression" dxfId="10311" priority="10661">
      <formula>$F40="Formation CCF"</formula>
    </cfRule>
    <cfRule type="expression" dxfId="10310" priority="10662">
      <formula>$F40="Direction"</formula>
    </cfRule>
    <cfRule type="expression" dxfId="10309" priority="10663">
      <formula>$F40="Ventes Sicli"</formula>
    </cfRule>
    <cfRule type="expression" dxfId="10308" priority="10664">
      <formula>$F40="Ventes Chubb"</formula>
    </cfRule>
    <cfRule type="expression" dxfId="10307" priority="10665">
      <formula>$F40="SAV Sicli"</formula>
    </cfRule>
    <cfRule type="expression" dxfId="10306" priority="10666">
      <formula>$F40="SAV Chubb"</formula>
    </cfRule>
    <cfRule type="expression" dxfId="10305" priority="10667">
      <formula>$F40="Réalisation"</formula>
    </cfRule>
    <cfRule type="expression" dxfId="10304" priority="10668">
      <formula>$F40="Désenfumage"</formula>
    </cfRule>
    <cfRule type="expression" dxfId="10303" priority="10669">
      <formula>$F40="Administratif"</formula>
    </cfRule>
  </conditionalFormatting>
  <conditionalFormatting sqref="D40">
    <cfRule type="expression" dxfId="10302" priority="10660">
      <formula>$H40="non"</formula>
    </cfRule>
  </conditionalFormatting>
  <conditionalFormatting sqref="D38">
    <cfRule type="expression" dxfId="10301" priority="10651">
      <formula>$F38="Formation CCF"</formula>
    </cfRule>
    <cfRule type="expression" dxfId="10300" priority="10652">
      <formula>$F38="Direction"</formula>
    </cfRule>
    <cfRule type="expression" dxfId="10299" priority="10653">
      <formula>$F38="Ventes Sicli"</formula>
    </cfRule>
    <cfRule type="expression" dxfId="10298" priority="10654">
      <formula>$F38="Ventes Chubb"</formula>
    </cfRule>
    <cfRule type="expression" dxfId="10297" priority="10655">
      <formula>$F38="SAV Sicli"</formula>
    </cfRule>
    <cfRule type="expression" dxfId="10296" priority="10656">
      <formula>$F38="SAV Chubb"</formula>
    </cfRule>
    <cfRule type="expression" dxfId="10295" priority="10657">
      <formula>$F38="Réalisation"</formula>
    </cfRule>
    <cfRule type="expression" dxfId="10294" priority="10658">
      <formula>$F38="Désenfumage"</formula>
    </cfRule>
    <cfRule type="expression" dxfId="10293" priority="10659">
      <formula>$F38="Administratif"</formula>
    </cfRule>
  </conditionalFormatting>
  <conditionalFormatting sqref="D38">
    <cfRule type="expression" dxfId="10292" priority="10650">
      <formula>$H38="non"</formula>
    </cfRule>
  </conditionalFormatting>
  <conditionalFormatting sqref="D38">
    <cfRule type="expression" dxfId="10291" priority="10641">
      <formula>$F38="Formation CCF"</formula>
    </cfRule>
    <cfRule type="expression" dxfId="10290" priority="10642">
      <formula>$F38="Direction"</formula>
    </cfRule>
    <cfRule type="expression" dxfId="10289" priority="10643">
      <formula>$F38="Ventes Sicli"</formula>
    </cfRule>
    <cfRule type="expression" dxfId="10288" priority="10644">
      <formula>$F38="Ventes Chubb"</formula>
    </cfRule>
    <cfRule type="expression" dxfId="10287" priority="10645">
      <formula>$F38="SAV Sicli"</formula>
    </cfRule>
    <cfRule type="expression" dxfId="10286" priority="10646">
      <formula>$F38="SAV Chubb"</formula>
    </cfRule>
    <cfRule type="expression" dxfId="10285" priority="10647">
      <formula>$F38="Réalisation"</formula>
    </cfRule>
    <cfRule type="expression" dxfId="10284" priority="10648">
      <formula>$F38="Désenfumage"</formula>
    </cfRule>
    <cfRule type="expression" dxfId="10283" priority="10649">
      <formula>$F38="Administratif"</formula>
    </cfRule>
  </conditionalFormatting>
  <conditionalFormatting sqref="D38">
    <cfRule type="expression" dxfId="10282" priority="10640">
      <formula>$H38="non"</formula>
    </cfRule>
  </conditionalFormatting>
  <conditionalFormatting sqref="C43:D43">
    <cfRule type="expression" dxfId="10281" priority="10631">
      <formula>$F43="Formation CCF"</formula>
    </cfRule>
    <cfRule type="expression" dxfId="10280" priority="10632">
      <formula>$F43="Direction"</formula>
    </cfRule>
    <cfRule type="expression" dxfId="10279" priority="10633">
      <formula>$F43="Ventes Sicli"</formula>
    </cfRule>
    <cfRule type="expression" dxfId="10278" priority="10634">
      <formula>$F43="Ventes Chubb"</formula>
    </cfRule>
    <cfRule type="expression" dxfId="10277" priority="10635">
      <formula>$F43="SAV Sicli"</formula>
    </cfRule>
    <cfRule type="expression" dxfId="10276" priority="10636">
      <formula>$F43="SAV Chubb"</formula>
    </cfRule>
    <cfRule type="expression" dxfId="10275" priority="10637">
      <formula>$F43="Réalisation"</formula>
    </cfRule>
    <cfRule type="expression" dxfId="10274" priority="10638">
      <formula>$F43="Désenfumage"</formula>
    </cfRule>
    <cfRule type="expression" dxfId="10273" priority="10639">
      <formula>$F43="Administratif"</formula>
    </cfRule>
  </conditionalFormatting>
  <conditionalFormatting sqref="C43:D43">
    <cfRule type="expression" dxfId="10272" priority="10630">
      <formula>$H43="non"</formula>
    </cfRule>
  </conditionalFormatting>
  <conditionalFormatting sqref="C42:D42">
    <cfRule type="expression" dxfId="10271" priority="10601">
      <formula>$F42="Formation CCF"</formula>
    </cfRule>
    <cfRule type="expression" dxfId="10270" priority="10602">
      <formula>$F42="Direction"</formula>
    </cfRule>
    <cfRule type="expression" dxfId="10269" priority="10603">
      <formula>$F42="Ventes Sicli"</formula>
    </cfRule>
    <cfRule type="expression" dxfId="10268" priority="10604">
      <formula>$F42="Ventes Chubb"</formula>
    </cfRule>
    <cfRule type="expression" dxfId="10267" priority="10605">
      <formula>$F42="SAV Sicli"</formula>
    </cfRule>
    <cfRule type="expression" dxfId="10266" priority="10606">
      <formula>$F42="SAV Chubb"</formula>
    </cfRule>
    <cfRule type="expression" dxfId="10265" priority="10607">
      <formula>$F42="Réalisation"</formula>
    </cfRule>
    <cfRule type="expression" dxfId="10264" priority="10608">
      <formula>$F42="Désenfumage"</formula>
    </cfRule>
    <cfRule type="expression" dxfId="10263" priority="10609">
      <formula>$F42="Administratif"</formula>
    </cfRule>
  </conditionalFormatting>
  <conditionalFormatting sqref="C42:D42">
    <cfRule type="expression" dxfId="10262" priority="10600">
      <formula>$H42="non"</formula>
    </cfRule>
  </conditionalFormatting>
  <conditionalFormatting sqref="C41:D41">
    <cfRule type="expression" dxfId="10261" priority="10591">
      <formula>$F41="Formation CCF"</formula>
    </cfRule>
    <cfRule type="expression" dxfId="10260" priority="10592">
      <formula>$F41="Direction"</formula>
    </cfRule>
    <cfRule type="expression" dxfId="10259" priority="10593">
      <formula>$F41="Ventes Sicli"</formula>
    </cfRule>
    <cfRule type="expression" dxfId="10258" priority="10594">
      <formula>$F41="Ventes Chubb"</formula>
    </cfRule>
    <cfRule type="expression" dxfId="10257" priority="10595">
      <formula>$F41="SAV Sicli"</formula>
    </cfRule>
    <cfRule type="expression" dxfId="10256" priority="10596">
      <formula>$F41="SAV Chubb"</formula>
    </cfRule>
    <cfRule type="expression" dxfId="10255" priority="10597">
      <formula>$F41="Réalisation"</formula>
    </cfRule>
    <cfRule type="expression" dxfId="10254" priority="10598">
      <formula>$F41="Désenfumage"</formula>
    </cfRule>
    <cfRule type="expression" dxfId="10253" priority="10599">
      <formula>$F41="Administratif"</formula>
    </cfRule>
  </conditionalFormatting>
  <conditionalFormatting sqref="C41:D41">
    <cfRule type="expression" dxfId="10252" priority="10590">
      <formula>$H41="non"</formula>
    </cfRule>
  </conditionalFormatting>
  <conditionalFormatting sqref="D38">
    <cfRule type="expression" dxfId="10251" priority="10581">
      <formula>$F38="Formation CCF"</formula>
    </cfRule>
    <cfRule type="expression" dxfId="10250" priority="10582">
      <formula>$F38="Direction"</formula>
    </cfRule>
    <cfRule type="expression" dxfId="10249" priority="10583">
      <formula>$F38="Ventes Sicli"</formula>
    </cfRule>
    <cfRule type="expression" dxfId="10248" priority="10584">
      <formula>$F38="Ventes Chubb"</formula>
    </cfRule>
    <cfRule type="expression" dxfId="10247" priority="10585">
      <formula>$F38="SAV Sicli"</formula>
    </cfRule>
    <cfRule type="expression" dxfId="10246" priority="10586">
      <formula>$F38="SAV Chubb"</formula>
    </cfRule>
    <cfRule type="expression" dxfId="10245" priority="10587">
      <formula>$F38="Réalisation"</formula>
    </cfRule>
    <cfRule type="expression" dxfId="10244" priority="10588">
      <formula>$F38="Désenfumage"</formula>
    </cfRule>
    <cfRule type="expression" dxfId="10243" priority="10589">
      <formula>$F38="Administratif"</formula>
    </cfRule>
  </conditionalFormatting>
  <conditionalFormatting sqref="D38">
    <cfRule type="expression" dxfId="10242" priority="10580">
      <formula>$H38="non"</formula>
    </cfRule>
  </conditionalFormatting>
  <conditionalFormatting sqref="C43:D43">
    <cfRule type="expression" dxfId="10241" priority="10571">
      <formula>$F43="Formation CCF"</formula>
    </cfRule>
    <cfRule type="expression" dxfId="10240" priority="10572">
      <formula>$F43="Direction"</formula>
    </cfRule>
    <cfRule type="expression" dxfId="10239" priority="10573">
      <formula>$F43="Ventes Sicli"</formula>
    </cfRule>
    <cfRule type="expression" dxfId="10238" priority="10574">
      <formula>$F43="Ventes Chubb"</formula>
    </cfRule>
    <cfRule type="expression" dxfId="10237" priority="10575">
      <formula>$F43="SAV Sicli"</formula>
    </cfRule>
    <cfRule type="expression" dxfId="10236" priority="10576">
      <formula>$F43="SAV Chubb"</formula>
    </cfRule>
    <cfRule type="expression" dxfId="10235" priority="10577">
      <formula>$F43="Réalisation"</formula>
    </cfRule>
    <cfRule type="expression" dxfId="10234" priority="10578">
      <formula>$F43="Désenfumage"</formula>
    </cfRule>
    <cfRule type="expression" dxfId="10233" priority="10579">
      <formula>$F43="Administratif"</formula>
    </cfRule>
  </conditionalFormatting>
  <conditionalFormatting sqref="C43:D43">
    <cfRule type="expression" dxfId="10232" priority="10570">
      <formula>$H43="non"</formula>
    </cfRule>
  </conditionalFormatting>
  <conditionalFormatting sqref="D43">
    <cfRule type="expression" dxfId="10231" priority="10531">
      <formula>$F43="Formation CCF"</formula>
    </cfRule>
    <cfRule type="expression" dxfId="10230" priority="10532">
      <formula>$F43="Direction"</formula>
    </cfRule>
    <cfRule type="expression" dxfId="10229" priority="10533">
      <formula>$F43="Ventes Sicli"</formula>
    </cfRule>
    <cfRule type="expression" dxfId="10228" priority="10534">
      <formula>$F43="Ventes Chubb"</formula>
    </cfRule>
    <cfRule type="expression" dxfId="10227" priority="10535">
      <formula>$F43="SAV Sicli"</formula>
    </cfRule>
    <cfRule type="expression" dxfId="10226" priority="10536">
      <formula>$F43="SAV Chubb"</formula>
    </cfRule>
    <cfRule type="expression" dxfId="10225" priority="10537">
      <formula>$F43="Réalisation"</formula>
    </cfRule>
    <cfRule type="expression" dxfId="10224" priority="10538">
      <formula>$F43="Désenfumage"</formula>
    </cfRule>
    <cfRule type="expression" dxfId="10223" priority="10539">
      <formula>$F43="Administratif"</formula>
    </cfRule>
  </conditionalFormatting>
  <conditionalFormatting sqref="D43">
    <cfRule type="expression" dxfId="10222" priority="10530">
      <formula>$H43="non"</formula>
    </cfRule>
  </conditionalFormatting>
  <conditionalFormatting sqref="D43">
    <cfRule type="expression" dxfId="10221" priority="10511">
      <formula>$F43="Formation CCF"</formula>
    </cfRule>
    <cfRule type="expression" dxfId="10220" priority="10512">
      <formula>$F43="Direction"</formula>
    </cfRule>
    <cfRule type="expression" dxfId="10219" priority="10513">
      <formula>$F43="Ventes Sicli"</formula>
    </cfRule>
    <cfRule type="expression" dxfId="10218" priority="10514">
      <formula>$F43="Ventes Chubb"</formula>
    </cfRule>
    <cfRule type="expression" dxfId="10217" priority="10515">
      <formula>$F43="SAV Sicli"</formula>
    </cfRule>
    <cfRule type="expression" dxfId="10216" priority="10516">
      <formula>$F43="SAV Chubb"</formula>
    </cfRule>
    <cfRule type="expression" dxfId="10215" priority="10517">
      <formula>$F43="Réalisation"</formula>
    </cfRule>
    <cfRule type="expression" dxfId="10214" priority="10518">
      <formula>$F43="Désenfumage"</formula>
    </cfRule>
    <cfRule type="expression" dxfId="10213" priority="10519">
      <formula>$F43="Administratif"</formula>
    </cfRule>
  </conditionalFormatting>
  <conditionalFormatting sqref="D43">
    <cfRule type="expression" dxfId="10212" priority="10510">
      <formula>$H43="non"</formula>
    </cfRule>
  </conditionalFormatting>
  <conditionalFormatting sqref="D43">
    <cfRule type="expression" dxfId="10211" priority="10491">
      <formula>$F43="Formation CCF"</formula>
    </cfRule>
    <cfRule type="expression" dxfId="10210" priority="10492">
      <formula>$F43="Direction"</formula>
    </cfRule>
    <cfRule type="expression" dxfId="10209" priority="10493">
      <formula>$F43="Ventes Sicli"</formula>
    </cfRule>
    <cfRule type="expression" dxfId="10208" priority="10494">
      <formula>$F43="Ventes Chubb"</formula>
    </cfRule>
    <cfRule type="expression" dxfId="10207" priority="10495">
      <formula>$F43="SAV Sicli"</formula>
    </cfRule>
    <cfRule type="expression" dxfId="10206" priority="10496">
      <formula>$F43="SAV Chubb"</formula>
    </cfRule>
    <cfRule type="expression" dxfId="10205" priority="10497">
      <formula>$F43="Réalisation"</formula>
    </cfRule>
    <cfRule type="expression" dxfId="10204" priority="10498">
      <formula>$F43="Désenfumage"</formula>
    </cfRule>
    <cfRule type="expression" dxfId="10203" priority="10499">
      <formula>$F43="Administratif"</formula>
    </cfRule>
  </conditionalFormatting>
  <conditionalFormatting sqref="D43">
    <cfRule type="expression" dxfId="10202" priority="10490">
      <formula>$H43="non"</formula>
    </cfRule>
  </conditionalFormatting>
  <conditionalFormatting sqref="D43">
    <cfRule type="expression" dxfId="10201" priority="10471">
      <formula>$F43="Formation CCF"</formula>
    </cfRule>
    <cfRule type="expression" dxfId="10200" priority="10472">
      <formula>$F43="Direction"</formula>
    </cfRule>
    <cfRule type="expression" dxfId="10199" priority="10473">
      <formula>$F43="Ventes Sicli"</formula>
    </cfRule>
    <cfRule type="expression" dxfId="10198" priority="10474">
      <formula>$F43="Ventes Chubb"</formula>
    </cfRule>
    <cfRule type="expression" dxfId="10197" priority="10475">
      <formula>$F43="SAV Sicli"</formula>
    </cfRule>
    <cfRule type="expression" dxfId="10196" priority="10476">
      <formula>$F43="SAV Chubb"</formula>
    </cfRule>
    <cfRule type="expression" dxfId="10195" priority="10477">
      <formula>$F43="Réalisation"</formula>
    </cfRule>
    <cfRule type="expression" dxfId="10194" priority="10478">
      <formula>$F43="Désenfumage"</formula>
    </cfRule>
    <cfRule type="expression" dxfId="10193" priority="10479">
      <formula>$F43="Administratif"</formula>
    </cfRule>
  </conditionalFormatting>
  <conditionalFormatting sqref="D43">
    <cfRule type="expression" dxfId="10192" priority="10470">
      <formula>$H43="non"</formula>
    </cfRule>
  </conditionalFormatting>
  <conditionalFormatting sqref="D43">
    <cfRule type="expression" dxfId="10191" priority="10451">
      <formula>$F43="Formation CCF"</formula>
    </cfRule>
    <cfRule type="expression" dxfId="10190" priority="10452">
      <formula>$F43="Direction"</formula>
    </cfRule>
    <cfRule type="expression" dxfId="10189" priority="10453">
      <formula>$F43="Ventes Sicli"</formula>
    </cfRule>
    <cfRule type="expression" dxfId="10188" priority="10454">
      <formula>$F43="Ventes Chubb"</formula>
    </cfRule>
    <cfRule type="expression" dxfId="10187" priority="10455">
      <formula>$F43="SAV Sicli"</formula>
    </cfRule>
    <cfRule type="expression" dxfId="10186" priority="10456">
      <formula>$F43="SAV Chubb"</formula>
    </cfRule>
    <cfRule type="expression" dxfId="10185" priority="10457">
      <formula>$F43="Réalisation"</formula>
    </cfRule>
    <cfRule type="expression" dxfId="10184" priority="10458">
      <formula>$F43="Désenfumage"</formula>
    </cfRule>
    <cfRule type="expression" dxfId="10183" priority="10459">
      <formula>$F43="Administratif"</formula>
    </cfRule>
  </conditionalFormatting>
  <conditionalFormatting sqref="D43">
    <cfRule type="expression" dxfId="10182" priority="10450">
      <formula>$H43="non"</formula>
    </cfRule>
  </conditionalFormatting>
  <conditionalFormatting sqref="C43:D43">
    <cfRule type="expression" dxfId="10181" priority="10441">
      <formula>$F43="Formation CCF"</formula>
    </cfRule>
    <cfRule type="expression" dxfId="10180" priority="10442">
      <formula>$F43="Direction"</formula>
    </cfRule>
    <cfRule type="expression" dxfId="10179" priority="10443">
      <formula>$F43="Ventes Sicli"</formula>
    </cfRule>
    <cfRule type="expression" dxfId="10178" priority="10444">
      <formula>$F43="Ventes Chubb"</formula>
    </cfRule>
    <cfRule type="expression" dxfId="10177" priority="10445">
      <formula>$F43="SAV Sicli"</formula>
    </cfRule>
    <cfRule type="expression" dxfId="10176" priority="10446">
      <formula>$F43="SAV Chubb"</formula>
    </cfRule>
    <cfRule type="expression" dxfId="10175" priority="10447">
      <formula>$F43="Réalisation"</formula>
    </cfRule>
    <cfRule type="expression" dxfId="10174" priority="10448">
      <formula>$F43="Désenfumage"</formula>
    </cfRule>
    <cfRule type="expression" dxfId="10173" priority="10449">
      <formula>$F43="Administratif"</formula>
    </cfRule>
  </conditionalFormatting>
  <conditionalFormatting sqref="C43:D43">
    <cfRule type="expression" dxfId="10172" priority="10440">
      <formula>$H43="non"</formula>
    </cfRule>
  </conditionalFormatting>
  <conditionalFormatting sqref="C43:D43">
    <cfRule type="expression" dxfId="10171" priority="10421">
      <formula>$F43="Formation CCF"</formula>
    </cfRule>
    <cfRule type="expression" dxfId="10170" priority="10422">
      <formula>$F43="Direction"</formula>
    </cfRule>
    <cfRule type="expression" dxfId="10169" priority="10423">
      <formula>$F43="Ventes Sicli"</formula>
    </cfRule>
    <cfRule type="expression" dxfId="10168" priority="10424">
      <formula>$F43="Ventes Chubb"</formula>
    </cfRule>
    <cfRule type="expression" dxfId="10167" priority="10425">
      <formula>$F43="SAV Sicli"</formula>
    </cfRule>
    <cfRule type="expression" dxfId="10166" priority="10426">
      <formula>$F43="SAV Chubb"</formula>
    </cfRule>
    <cfRule type="expression" dxfId="10165" priority="10427">
      <formula>$F43="Réalisation"</formula>
    </cfRule>
    <cfRule type="expression" dxfId="10164" priority="10428">
      <formula>$F43="Désenfumage"</formula>
    </cfRule>
    <cfRule type="expression" dxfId="10163" priority="10429">
      <formula>$F43="Administratif"</formula>
    </cfRule>
  </conditionalFormatting>
  <conditionalFormatting sqref="C43:D43">
    <cfRule type="expression" dxfId="10162" priority="10420">
      <formula>$H43="non"</formula>
    </cfRule>
  </conditionalFormatting>
  <conditionalFormatting sqref="C43:D43">
    <cfRule type="expression" dxfId="10161" priority="10401">
      <formula>$F43="Formation CCF"</formula>
    </cfRule>
    <cfRule type="expression" dxfId="10160" priority="10402">
      <formula>$F43="Direction"</formula>
    </cfRule>
    <cfRule type="expression" dxfId="10159" priority="10403">
      <formula>$F43="Ventes Sicli"</formula>
    </cfRule>
    <cfRule type="expression" dxfId="10158" priority="10404">
      <formula>$F43="Ventes Chubb"</formula>
    </cfRule>
    <cfRule type="expression" dxfId="10157" priority="10405">
      <formula>$F43="SAV Sicli"</formula>
    </cfRule>
    <cfRule type="expression" dxfId="10156" priority="10406">
      <formula>$F43="SAV Chubb"</formula>
    </cfRule>
    <cfRule type="expression" dxfId="10155" priority="10407">
      <formula>$F43="Réalisation"</formula>
    </cfRule>
    <cfRule type="expression" dxfId="10154" priority="10408">
      <formula>$F43="Désenfumage"</formula>
    </cfRule>
    <cfRule type="expression" dxfId="10153" priority="10409">
      <formula>$F43="Administratif"</formula>
    </cfRule>
  </conditionalFormatting>
  <conditionalFormatting sqref="C43:D43">
    <cfRule type="expression" dxfId="10152" priority="10400">
      <formula>$H43="non"</formula>
    </cfRule>
  </conditionalFormatting>
  <conditionalFormatting sqref="C43:D43">
    <cfRule type="expression" dxfId="10151" priority="10381">
      <formula>$F43="Formation CCF"</formula>
    </cfRule>
    <cfRule type="expression" dxfId="10150" priority="10382">
      <formula>$F43="Direction"</formula>
    </cfRule>
    <cfRule type="expression" dxfId="10149" priority="10383">
      <formula>$F43="Ventes Sicli"</formula>
    </cfRule>
    <cfRule type="expression" dxfId="10148" priority="10384">
      <formula>$F43="Ventes Chubb"</formula>
    </cfRule>
    <cfRule type="expression" dxfId="10147" priority="10385">
      <formula>$F43="SAV Sicli"</formula>
    </cfRule>
    <cfRule type="expression" dxfId="10146" priority="10386">
      <formula>$F43="SAV Chubb"</formula>
    </cfRule>
    <cfRule type="expression" dxfId="10145" priority="10387">
      <formula>$F43="Réalisation"</formula>
    </cfRule>
    <cfRule type="expression" dxfId="10144" priority="10388">
      <formula>$F43="Désenfumage"</formula>
    </cfRule>
    <cfRule type="expression" dxfId="10143" priority="10389">
      <formula>$F43="Administratif"</formula>
    </cfRule>
  </conditionalFormatting>
  <conditionalFormatting sqref="C43:D43">
    <cfRule type="expression" dxfId="10142" priority="10380">
      <formula>$H43="non"</formula>
    </cfRule>
  </conditionalFormatting>
  <conditionalFormatting sqref="C42:D42">
    <cfRule type="expression" dxfId="10141" priority="10351">
      <formula>$F42="Formation CCF"</formula>
    </cfRule>
    <cfRule type="expression" dxfId="10140" priority="10352">
      <formula>$F42="Direction"</formula>
    </cfRule>
    <cfRule type="expression" dxfId="10139" priority="10353">
      <formula>$F42="Ventes Sicli"</formula>
    </cfRule>
    <cfRule type="expression" dxfId="10138" priority="10354">
      <formula>$F42="Ventes Chubb"</formula>
    </cfRule>
    <cfRule type="expression" dxfId="10137" priority="10355">
      <formula>$F42="SAV Sicli"</formula>
    </cfRule>
    <cfRule type="expression" dxfId="10136" priority="10356">
      <formula>$F42="SAV Chubb"</formula>
    </cfRule>
    <cfRule type="expression" dxfId="10135" priority="10357">
      <formula>$F42="Réalisation"</formula>
    </cfRule>
    <cfRule type="expression" dxfId="10134" priority="10358">
      <formula>$F42="Désenfumage"</formula>
    </cfRule>
    <cfRule type="expression" dxfId="10133" priority="10359">
      <formula>$F42="Administratif"</formula>
    </cfRule>
  </conditionalFormatting>
  <conditionalFormatting sqref="C42:D42">
    <cfRule type="expression" dxfId="10132" priority="10350">
      <formula>$H42="non"</formula>
    </cfRule>
  </conditionalFormatting>
  <conditionalFormatting sqref="C41:D41">
    <cfRule type="expression" dxfId="10131" priority="10341">
      <formula>$F41="Formation CCF"</formula>
    </cfRule>
    <cfRule type="expression" dxfId="10130" priority="10342">
      <formula>$F41="Direction"</formula>
    </cfRule>
    <cfRule type="expression" dxfId="10129" priority="10343">
      <formula>$F41="Ventes Sicli"</formula>
    </cfRule>
    <cfRule type="expression" dxfId="10128" priority="10344">
      <formula>$F41="Ventes Chubb"</formula>
    </cfRule>
    <cfRule type="expression" dxfId="10127" priority="10345">
      <formula>$F41="SAV Sicli"</formula>
    </cfRule>
    <cfRule type="expression" dxfId="10126" priority="10346">
      <formula>$F41="SAV Chubb"</formula>
    </cfRule>
    <cfRule type="expression" dxfId="10125" priority="10347">
      <formula>$F41="Réalisation"</formula>
    </cfRule>
    <cfRule type="expression" dxfId="10124" priority="10348">
      <formula>$F41="Désenfumage"</formula>
    </cfRule>
    <cfRule type="expression" dxfId="10123" priority="10349">
      <formula>$F41="Administratif"</formula>
    </cfRule>
  </conditionalFormatting>
  <conditionalFormatting sqref="C41:D41">
    <cfRule type="expression" dxfId="10122" priority="10340">
      <formula>$H41="non"</formula>
    </cfRule>
  </conditionalFormatting>
  <conditionalFormatting sqref="D38">
    <cfRule type="expression" dxfId="10121" priority="10331">
      <formula>$F38="Formation CCF"</formula>
    </cfRule>
    <cfRule type="expression" dxfId="10120" priority="10332">
      <formula>$F38="Direction"</formula>
    </cfRule>
    <cfRule type="expression" dxfId="10119" priority="10333">
      <formula>$F38="Ventes Sicli"</formula>
    </cfRule>
    <cfRule type="expression" dxfId="10118" priority="10334">
      <formula>$F38="Ventes Chubb"</formula>
    </cfRule>
    <cfRule type="expression" dxfId="10117" priority="10335">
      <formula>$F38="SAV Sicli"</formula>
    </cfRule>
    <cfRule type="expression" dxfId="10116" priority="10336">
      <formula>$F38="SAV Chubb"</formula>
    </cfRule>
    <cfRule type="expression" dxfId="10115" priority="10337">
      <formula>$F38="Réalisation"</formula>
    </cfRule>
    <cfRule type="expression" dxfId="10114" priority="10338">
      <formula>$F38="Désenfumage"</formula>
    </cfRule>
    <cfRule type="expression" dxfId="10113" priority="10339">
      <formula>$F38="Administratif"</formula>
    </cfRule>
  </conditionalFormatting>
  <conditionalFormatting sqref="D38">
    <cfRule type="expression" dxfId="10112" priority="10330">
      <formula>$H38="non"</formula>
    </cfRule>
  </conditionalFormatting>
  <conditionalFormatting sqref="C42:D42">
    <cfRule type="expression" dxfId="10111" priority="10311">
      <formula>$F42="Formation CCF"</formula>
    </cfRule>
    <cfRule type="expression" dxfId="10110" priority="10312">
      <formula>$F42="Direction"</formula>
    </cfRule>
    <cfRule type="expression" dxfId="10109" priority="10313">
      <formula>$F42="Ventes Sicli"</formula>
    </cfRule>
    <cfRule type="expression" dxfId="10108" priority="10314">
      <formula>$F42="Ventes Chubb"</formula>
    </cfRule>
    <cfRule type="expression" dxfId="10107" priority="10315">
      <formula>$F42="SAV Sicli"</formula>
    </cfRule>
    <cfRule type="expression" dxfId="10106" priority="10316">
      <formula>$F42="SAV Chubb"</formula>
    </cfRule>
    <cfRule type="expression" dxfId="10105" priority="10317">
      <formula>$F42="Réalisation"</formula>
    </cfRule>
    <cfRule type="expression" dxfId="10104" priority="10318">
      <formula>$F42="Désenfumage"</formula>
    </cfRule>
    <cfRule type="expression" dxfId="10103" priority="10319">
      <formula>$F42="Administratif"</formula>
    </cfRule>
  </conditionalFormatting>
  <conditionalFormatting sqref="C42:D42">
    <cfRule type="expression" dxfId="10102" priority="10310">
      <formula>$H42="non"</formula>
    </cfRule>
  </conditionalFormatting>
  <conditionalFormatting sqref="C41:D41">
    <cfRule type="expression" dxfId="10101" priority="10301">
      <formula>$F41="Formation CCF"</formula>
    </cfRule>
    <cfRule type="expression" dxfId="10100" priority="10302">
      <formula>$F41="Direction"</formula>
    </cfRule>
    <cfRule type="expression" dxfId="10099" priority="10303">
      <formula>$F41="Ventes Sicli"</formula>
    </cfRule>
    <cfRule type="expression" dxfId="10098" priority="10304">
      <formula>$F41="Ventes Chubb"</formula>
    </cfRule>
    <cfRule type="expression" dxfId="10097" priority="10305">
      <formula>$F41="SAV Sicli"</formula>
    </cfRule>
    <cfRule type="expression" dxfId="10096" priority="10306">
      <formula>$F41="SAV Chubb"</formula>
    </cfRule>
    <cfRule type="expression" dxfId="10095" priority="10307">
      <formula>$F41="Réalisation"</formula>
    </cfRule>
    <cfRule type="expression" dxfId="10094" priority="10308">
      <formula>$F41="Désenfumage"</formula>
    </cfRule>
    <cfRule type="expression" dxfId="10093" priority="10309">
      <formula>$F41="Administratif"</formula>
    </cfRule>
  </conditionalFormatting>
  <conditionalFormatting sqref="C41:D41">
    <cfRule type="expression" dxfId="10092" priority="10300">
      <formula>$H41="non"</formula>
    </cfRule>
  </conditionalFormatting>
  <conditionalFormatting sqref="C40:D40">
    <cfRule type="expression" dxfId="10091" priority="10291">
      <formula>$F40="Formation CCF"</formula>
    </cfRule>
    <cfRule type="expression" dxfId="10090" priority="10292">
      <formula>$F40="Direction"</formula>
    </cfRule>
    <cfRule type="expression" dxfId="10089" priority="10293">
      <formula>$F40="Ventes Sicli"</formula>
    </cfRule>
    <cfRule type="expression" dxfId="10088" priority="10294">
      <formula>$F40="Ventes Chubb"</formula>
    </cfRule>
    <cfRule type="expression" dxfId="10087" priority="10295">
      <formula>$F40="SAV Sicli"</formula>
    </cfRule>
    <cfRule type="expression" dxfId="10086" priority="10296">
      <formula>$F40="SAV Chubb"</formula>
    </cfRule>
    <cfRule type="expression" dxfId="10085" priority="10297">
      <formula>$F40="Réalisation"</formula>
    </cfRule>
    <cfRule type="expression" dxfId="10084" priority="10298">
      <formula>$F40="Désenfumage"</formula>
    </cfRule>
    <cfRule type="expression" dxfId="10083" priority="10299">
      <formula>$F40="Administratif"</formula>
    </cfRule>
  </conditionalFormatting>
  <conditionalFormatting sqref="C40:D40">
    <cfRule type="expression" dxfId="10082" priority="10290">
      <formula>$H40="non"</formula>
    </cfRule>
  </conditionalFormatting>
  <conditionalFormatting sqref="C42:D42">
    <cfRule type="expression" dxfId="10081" priority="10271">
      <formula>$F42="Formation CCF"</formula>
    </cfRule>
    <cfRule type="expression" dxfId="10080" priority="10272">
      <formula>$F42="Direction"</formula>
    </cfRule>
    <cfRule type="expression" dxfId="10079" priority="10273">
      <formula>$F42="Ventes Sicli"</formula>
    </cfRule>
    <cfRule type="expression" dxfId="10078" priority="10274">
      <formula>$F42="Ventes Chubb"</formula>
    </cfRule>
    <cfRule type="expression" dxfId="10077" priority="10275">
      <formula>$F42="SAV Sicli"</formula>
    </cfRule>
    <cfRule type="expression" dxfId="10076" priority="10276">
      <formula>$F42="SAV Chubb"</formula>
    </cfRule>
    <cfRule type="expression" dxfId="10075" priority="10277">
      <formula>$F42="Réalisation"</formula>
    </cfRule>
    <cfRule type="expression" dxfId="10074" priority="10278">
      <formula>$F42="Désenfumage"</formula>
    </cfRule>
    <cfRule type="expression" dxfId="10073" priority="10279">
      <formula>$F42="Administratif"</formula>
    </cfRule>
  </conditionalFormatting>
  <conditionalFormatting sqref="C42:D42">
    <cfRule type="expression" dxfId="10072" priority="10270">
      <formula>$H42="non"</formula>
    </cfRule>
  </conditionalFormatting>
  <conditionalFormatting sqref="C41:D41">
    <cfRule type="expression" dxfId="10071" priority="10261">
      <formula>$F41="Formation CCF"</formula>
    </cfRule>
    <cfRule type="expression" dxfId="10070" priority="10262">
      <formula>$F41="Direction"</formula>
    </cfRule>
    <cfRule type="expression" dxfId="10069" priority="10263">
      <formula>$F41="Ventes Sicli"</formula>
    </cfRule>
    <cfRule type="expression" dxfId="10068" priority="10264">
      <formula>$F41="Ventes Chubb"</formula>
    </cfRule>
    <cfRule type="expression" dxfId="10067" priority="10265">
      <formula>$F41="SAV Sicli"</formula>
    </cfRule>
    <cfRule type="expression" dxfId="10066" priority="10266">
      <formula>$F41="SAV Chubb"</formula>
    </cfRule>
    <cfRule type="expression" dxfId="10065" priority="10267">
      <formula>$F41="Réalisation"</formula>
    </cfRule>
    <cfRule type="expression" dxfId="10064" priority="10268">
      <formula>$F41="Désenfumage"</formula>
    </cfRule>
    <cfRule type="expression" dxfId="10063" priority="10269">
      <formula>$F41="Administratif"</formula>
    </cfRule>
  </conditionalFormatting>
  <conditionalFormatting sqref="C41:D41">
    <cfRule type="expression" dxfId="10062" priority="10260">
      <formula>$H41="non"</formula>
    </cfRule>
  </conditionalFormatting>
  <conditionalFormatting sqref="C40:D40">
    <cfRule type="expression" dxfId="10061" priority="10251">
      <formula>$F40="Formation CCF"</formula>
    </cfRule>
    <cfRule type="expression" dxfId="10060" priority="10252">
      <formula>$F40="Direction"</formula>
    </cfRule>
    <cfRule type="expression" dxfId="10059" priority="10253">
      <formula>$F40="Ventes Sicli"</formula>
    </cfRule>
    <cfRule type="expression" dxfId="10058" priority="10254">
      <formula>$F40="Ventes Chubb"</formula>
    </cfRule>
    <cfRule type="expression" dxfId="10057" priority="10255">
      <formula>$F40="SAV Sicli"</formula>
    </cfRule>
    <cfRule type="expression" dxfId="10056" priority="10256">
      <formula>$F40="SAV Chubb"</formula>
    </cfRule>
    <cfRule type="expression" dxfId="10055" priority="10257">
      <formula>$F40="Réalisation"</formula>
    </cfRule>
    <cfRule type="expression" dxfId="10054" priority="10258">
      <formula>$F40="Désenfumage"</formula>
    </cfRule>
    <cfRule type="expression" dxfId="10053" priority="10259">
      <formula>$F40="Administratif"</formula>
    </cfRule>
  </conditionalFormatting>
  <conditionalFormatting sqref="C40:D40">
    <cfRule type="expression" dxfId="10052" priority="10250">
      <formula>$H40="non"</formula>
    </cfRule>
  </conditionalFormatting>
  <conditionalFormatting sqref="C42:D42">
    <cfRule type="expression" dxfId="10051" priority="10231">
      <formula>$F42="Formation CCF"</formula>
    </cfRule>
    <cfRule type="expression" dxfId="10050" priority="10232">
      <formula>$F42="Direction"</formula>
    </cfRule>
    <cfRule type="expression" dxfId="10049" priority="10233">
      <formula>$F42="Ventes Sicli"</formula>
    </cfRule>
    <cfRule type="expression" dxfId="10048" priority="10234">
      <formula>$F42="Ventes Chubb"</formula>
    </cfRule>
    <cfRule type="expression" dxfId="10047" priority="10235">
      <formula>$F42="SAV Sicli"</formula>
    </cfRule>
    <cfRule type="expression" dxfId="10046" priority="10236">
      <formula>$F42="SAV Chubb"</formula>
    </cfRule>
    <cfRule type="expression" dxfId="10045" priority="10237">
      <formula>$F42="Réalisation"</formula>
    </cfRule>
    <cfRule type="expression" dxfId="10044" priority="10238">
      <formula>$F42="Désenfumage"</formula>
    </cfRule>
    <cfRule type="expression" dxfId="10043" priority="10239">
      <formula>$F42="Administratif"</formula>
    </cfRule>
  </conditionalFormatting>
  <conditionalFormatting sqref="C42:D42">
    <cfRule type="expression" dxfId="10042" priority="10230">
      <formula>$H42="non"</formula>
    </cfRule>
  </conditionalFormatting>
  <conditionalFormatting sqref="C41:D41">
    <cfRule type="expression" dxfId="10041" priority="10221">
      <formula>$F41="Formation CCF"</formula>
    </cfRule>
    <cfRule type="expression" dxfId="10040" priority="10222">
      <formula>$F41="Direction"</formula>
    </cfRule>
    <cfRule type="expression" dxfId="10039" priority="10223">
      <formula>$F41="Ventes Sicli"</formula>
    </cfRule>
    <cfRule type="expression" dxfId="10038" priority="10224">
      <formula>$F41="Ventes Chubb"</formula>
    </cfRule>
    <cfRule type="expression" dxfId="10037" priority="10225">
      <formula>$F41="SAV Sicli"</formula>
    </cfRule>
    <cfRule type="expression" dxfId="10036" priority="10226">
      <formula>$F41="SAV Chubb"</formula>
    </cfRule>
    <cfRule type="expression" dxfId="10035" priority="10227">
      <formula>$F41="Réalisation"</formula>
    </cfRule>
    <cfRule type="expression" dxfId="10034" priority="10228">
      <formula>$F41="Désenfumage"</formula>
    </cfRule>
    <cfRule type="expression" dxfId="10033" priority="10229">
      <formula>$F41="Administratif"</formula>
    </cfRule>
  </conditionalFormatting>
  <conditionalFormatting sqref="C41:D41">
    <cfRule type="expression" dxfId="10032" priority="10220">
      <formula>$H41="non"</formula>
    </cfRule>
  </conditionalFormatting>
  <conditionalFormatting sqref="C40:D40">
    <cfRule type="expression" dxfId="10031" priority="10211">
      <formula>$F40="Formation CCF"</formula>
    </cfRule>
    <cfRule type="expression" dxfId="10030" priority="10212">
      <formula>$F40="Direction"</formula>
    </cfRule>
    <cfRule type="expression" dxfId="10029" priority="10213">
      <formula>$F40="Ventes Sicli"</formula>
    </cfRule>
    <cfRule type="expression" dxfId="10028" priority="10214">
      <formula>$F40="Ventes Chubb"</formula>
    </cfRule>
    <cfRule type="expression" dxfId="10027" priority="10215">
      <formula>$F40="SAV Sicli"</formula>
    </cfRule>
    <cfRule type="expression" dxfId="10026" priority="10216">
      <formula>$F40="SAV Chubb"</formula>
    </cfRule>
    <cfRule type="expression" dxfId="10025" priority="10217">
      <formula>$F40="Réalisation"</formula>
    </cfRule>
    <cfRule type="expression" dxfId="10024" priority="10218">
      <formula>$F40="Désenfumage"</formula>
    </cfRule>
    <cfRule type="expression" dxfId="10023" priority="10219">
      <formula>$F40="Administratif"</formula>
    </cfRule>
  </conditionalFormatting>
  <conditionalFormatting sqref="C40:D40">
    <cfRule type="expression" dxfId="10022" priority="10210">
      <formula>$H40="non"</formula>
    </cfRule>
  </conditionalFormatting>
  <conditionalFormatting sqref="C38:D38">
    <cfRule type="expression" dxfId="10021" priority="10201">
      <formula>$F38="Formation CCF"</formula>
    </cfRule>
    <cfRule type="expression" dxfId="10020" priority="10202">
      <formula>$F38="Direction"</formula>
    </cfRule>
    <cfRule type="expression" dxfId="10019" priority="10203">
      <formula>$F38="Ventes Sicli"</formula>
    </cfRule>
    <cfRule type="expression" dxfId="10018" priority="10204">
      <formula>$F38="Ventes Chubb"</formula>
    </cfRule>
    <cfRule type="expression" dxfId="10017" priority="10205">
      <formula>$F38="SAV Sicli"</formula>
    </cfRule>
    <cfRule type="expression" dxfId="10016" priority="10206">
      <formula>$F38="SAV Chubb"</formula>
    </cfRule>
    <cfRule type="expression" dxfId="10015" priority="10207">
      <formula>$F38="Réalisation"</formula>
    </cfRule>
    <cfRule type="expression" dxfId="10014" priority="10208">
      <formula>$F38="Désenfumage"</formula>
    </cfRule>
    <cfRule type="expression" dxfId="10013" priority="10209">
      <formula>$F38="Administratif"</formula>
    </cfRule>
  </conditionalFormatting>
  <conditionalFormatting sqref="C38:D38">
    <cfRule type="expression" dxfId="10012" priority="10200">
      <formula>$H38="non"</formula>
    </cfRule>
  </conditionalFormatting>
  <conditionalFormatting sqref="D42">
    <cfRule type="expression" dxfId="10011" priority="10181">
      <formula>$F42="Formation CCF"</formula>
    </cfRule>
    <cfRule type="expression" dxfId="10010" priority="10182">
      <formula>$F42="Direction"</formula>
    </cfRule>
    <cfRule type="expression" dxfId="10009" priority="10183">
      <formula>$F42="Ventes Sicli"</formula>
    </cfRule>
    <cfRule type="expression" dxfId="10008" priority="10184">
      <formula>$F42="Ventes Chubb"</formula>
    </cfRule>
    <cfRule type="expression" dxfId="10007" priority="10185">
      <formula>$F42="SAV Sicli"</formula>
    </cfRule>
    <cfRule type="expression" dxfId="10006" priority="10186">
      <formula>$F42="SAV Chubb"</formula>
    </cfRule>
    <cfRule type="expression" dxfId="10005" priority="10187">
      <formula>$F42="Réalisation"</formula>
    </cfRule>
    <cfRule type="expression" dxfId="10004" priority="10188">
      <formula>$F42="Désenfumage"</formula>
    </cfRule>
    <cfRule type="expression" dxfId="10003" priority="10189">
      <formula>$F42="Administratif"</formula>
    </cfRule>
  </conditionalFormatting>
  <conditionalFormatting sqref="D42">
    <cfRule type="expression" dxfId="10002" priority="10180">
      <formula>$H42="non"</formula>
    </cfRule>
  </conditionalFormatting>
  <conditionalFormatting sqref="D41">
    <cfRule type="expression" dxfId="10001" priority="10171">
      <formula>$F41="Formation CCF"</formula>
    </cfRule>
    <cfRule type="expression" dxfId="10000" priority="10172">
      <formula>$F41="Direction"</formula>
    </cfRule>
    <cfRule type="expression" dxfId="9999" priority="10173">
      <formula>$F41="Ventes Sicli"</formula>
    </cfRule>
    <cfRule type="expression" dxfId="9998" priority="10174">
      <formula>$F41="Ventes Chubb"</formula>
    </cfRule>
    <cfRule type="expression" dxfId="9997" priority="10175">
      <formula>$F41="SAV Sicli"</formula>
    </cfRule>
    <cfRule type="expression" dxfId="9996" priority="10176">
      <formula>$F41="SAV Chubb"</formula>
    </cfRule>
    <cfRule type="expression" dxfId="9995" priority="10177">
      <formula>$F41="Réalisation"</formula>
    </cfRule>
    <cfRule type="expression" dxfId="9994" priority="10178">
      <formula>$F41="Désenfumage"</formula>
    </cfRule>
    <cfRule type="expression" dxfId="9993" priority="10179">
      <formula>$F41="Administratif"</formula>
    </cfRule>
  </conditionalFormatting>
  <conditionalFormatting sqref="D41">
    <cfRule type="expression" dxfId="9992" priority="10170">
      <formula>$H41="non"</formula>
    </cfRule>
  </conditionalFormatting>
  <conditionalFormatting sqref="D40">
    <cfRule type="expression" dxfId="9991" priority="10161">
      <formula>$F40="Formation CCF"</formula>
    </cfRule>
    <cfRule type="expression" dxfId="9990" priority="10162">
      <formula>$F40="Direction"</formula>
    </cfRule>
    <cfRule type="expression" dxfId="9989" priority="10163">
      <formula>$F40="Ventes Sicli"</formula>
    </cfRule>
    <cfRule type="expression" dxfId="9988" priority="10164">
      <formula>$F40="Ventes Chubb"</formula>
    </cfRule>
    <cfRule type="expression" dxfId="9987" priority="10165">
      <formula>$F40="SAV Sicli"</formula>
    </cfRule>
    <cfRule type="expression" dxfId="9986" priority="10166">
      <formula>$F40="SAV Chubb"</formula>
    </cfRule>
    <cfRule type="expression" dxfId="9985" priority="10167">
      <formula>$F40="Réalisation"</formula>
    </cfRule>
    <cfRule type="expression" dxfId="9984" priority="10168">
      <formula>$F40="Désenfumage"</formula>
    </cfRule>
    <cfRule type="expression" dxfId="9983" priority="10169">
      <formula>$F40="Administratif"</formula>
    </cfRule>
  </conditionalFormatting>
  <conditionalFormatting sqref="D40">
    <cfRule type="expression" dxfId="9982" priority="10160">
      <formula>$H40="non"</formula>
    </cfRule>
  </conditionalFormatting>
  <conditionalFormatting sqref="C38">
    <cfRule type="expression" dxfId="9981" priority="10151">
      <formula>$F38="Formation CCF"</formula>
    </cfRule>
    <cfRule type="expression" dxfId="9980" priority="10152">
      <formula>$F38="Direction"</formula>
    </cfRule>
    <cfRule type="expression" dxfId="9979" priority="10153">
      <formula>$F38="Ventes Sicli"</formula>
    </cfRule>
    <cfRule type="expression" dxfId="9978" priority="10154">
      <formula>$F38="Ventes Chubb"</formula>
    </cfRule>
    <cfRule type="expression" dxfId="9977" priority="10155">
      <formula>$F38="SAV Sicli"</formula>
    </cfRule>
    <cfRule type="expression" dxfId="9976" priority="10156">
      <formula>$F38="SAV Chubb"</formula>
    </cfRule>
    <cfRule type="expression" dxfId="9975" priority="10157">
      <formula>$F38="Réalisation"</formula>
    </cfRule>
    <cfRule type="expression" dxfId="9974" priority="10158">
      <formula>$F38="Désenfumage"</formula>
    </cfRule>
    <cfRule type="expression" dxfId="9973" priority="10159">
      <formula>$F38="Administratif"</formula>
    </cfRule>
  </conditionalFormatting>
  <conditionalFormatting sqref="C38">
    <cfRule type="expression" dxfId="9972" priority="10150">
      <formula>$H38="non"</formula>
    </cfRule>
  </conditionalFormatting>
  <conditionalFormatting sqref="D38">
    <cfRule type="expression" dxfId="9971" priority="10141">
      <formula>$F38="Formation CCF"</formula>
    </cfRule>
    <cfRule type="expression" dxfId="9970" priority="10142">
      <formula>$F38="Direction"</formula>
    </cfRule>
    <cfRule type="expression" dxfId="9969" priority="10143">
      <formula>$F38="Ventes Sicli"</formula>
    </cfRule>
    <cfRule type="expression" dxfId="9968" priority="10144">
      <formula>$F38="Ventes Chubb"</formula>
    </cfRule>
    <cfRule type="expression" dxfId="9967" priority="10145">
      <formula>$F38="SAV Sicli"</formula>
    </cfRule>
    <cfRule type="expression" dxfId="9966" priority="10146">
      <formula>$F38="SAV Chubb"</formula>
    </cfRule>
    <cfRule type="expression" dxfId="9965" priority="10147">
      <formula>$F38="Réalisation"</formula>
    </cfRule>
    <cfRule type="expression" dxfId="9964" priority="10148">
      <formula>$F38="Désenfumage"</formula>
    </cfRule>
    <cfRule type="expression" dxfId="9963" priority="10149">
      <formula>$F38="Administratif"</formula>
    </cfRule>
  </conditionalFormatting>
  <conditionalFormatting sqref="D38">
    <cfRule type="expression" dxfId="9962" priority="10140">
      <formula>$H38="non"</formula>
    </cfRule>
  </conditionalFormatting>
  <conditionalFormatting sqref="D42">
    <cfRule type="expression" dxfId="9961" priority="10111">
      <formula>$F42="Formation CCF"</formula>
    </cfRule>
    <cfRule type="expression" dxfId="9960" priority="10112">
      <formula>$F42="Direction"</formula>
    </cfRule>
    <cfRule type="expression" dxfId="9959" priority="10113">
      <formula>$F42="Ventes Sicli"</formula>
    </cfRule>
    <cfRule type="expression" dxfId="9958" priority="10114">
      <formula>$F42="Ventes Chubb"</formula>
    </cfRule>
    <cfRule type="expression" dxfId="9957" priority="10115">
      <formula>$F42="SAV Sicli"</formula>
    </cfRule>
    <cfRule type="expression" dxfId="9956" priority="10116">
      <formula>$F42="SAV Chubb"</formula>
    </cfRule>
    <cfRule type="expression" dxfId="9955" priority="10117">
      <formula>$F42="Réalisation"</formula>
    </cfRule>
    <cfRule type="expression" dxfId="9954" priority="10118">
      <formula>$F42="Désenfumage"</formula>
    </cfRule>
    <cfRule type="expression" dxfId="9953" priority="10119">
      <formula>$F42="Administratif"</formula>
    </cfRule>
  </conditionalFormatting>
  <conditionalFormatting sqref="D42">
    <cfRule type="expression" dxfId="9952" priority="10110">
      <formula>$H42="non"</formula>
    </cfRule>
  </conditionalFormatting>
  <conditionalFormatting sqref="D41">
    <cfRule type="expression" dxfId="9951" priority="10101">
      <formula>$F41="Formation CCF"</formula>
    </cfRule>
    <cfRule type="expression" dxfId="9950" priority="10102">
      <formula>$F41="Direction"</formula>
    </cfRule>
    <cfRule type="expression" dxfId="9949" priority="10103">
      <formula>$F41="Ventes Sicli"</formula>
    </cfRule>
    <cfRule type="expression" dxfId="9948" priority="10104">
      <formula>$F41="Ventes Chubb"</formula>
    </cfRule>
    <cfRule type="expression" dxfId="9947" priority="10105">
      <formula>$F41="SAV Sicli"</formula>
    </cfRule>
    <cfRule type="expression" dxfId="9946" priority="10106">
      <formula>$F41="SAV Chubb"</formula>
    </cfRule>
    <cfRule type="expression" dxfId="9945" priority="10107">
      <formula>$F41="Réalisation"</formula>
    </cfRule>
    <cfRule type="expression" dxfId="9944" priority="10108">
      <formula>$F41="Désenfumage"</formula>
    </cfRule>
    <cfRule type="expression" dxfId="9943" priority="10109">
      <formula>$F41="Administratif"</formula>
    </cfRule>
  </conditionalFormatting>
  <conditionalFormatting sqref="D41">
    <cfRule type="expression" dxfId="9942" priority="10100">
      <formula>$H41="non"</formula>
    </cfRule>
  </conditionalFormatting>
  <conditionalFormatting sqref="D40">
    <cfRule type="expression" dxfId="9941" priority="10091">
      <formula>$F40="Formation CCF"</formula>
    </cfRule>
    <cfRule type="expression" dxfId="9940" priority="10092">
      <formula>$F40="Direction"</formula>
    </cfRule>
    <cfRule type="expression" dxfId="9939" priority="10093">
      <formula>$F40="Ventes Sicli"</formula>
    </cfRule>
    <cfRule type="expression" dxfId="9938" priority="10094">
      <formula>$F40="Ventes Chubb"</formula>
    </cfRule>
    <cfRule type="expression" dxfId="9937" priority="10095">
      <formula>$F40="SAV Sicli"</formula>
    </cfRule>
    <cfRule type="expression" dxfId="9936" priority="10096">
      <formula>$F40="SAV Chubb"</formula>
    </cfRule>
    <cfRule type="expression" dxfId="9935" priority="10097">
      <formula>$F40="Réalisation"</formula>
    </cfRule>
    <cfRule type="expression" dxfId="9934" priority="10098">
      <formula>$F40="Désenfumage"</formula>
    </cfRule>
    <cfRule type="expression" dxfId="9933" priority="10099">
      <formula>$F40="Administratif"</formula>
    </cfRule>
  </conditionalFormatting>
  <conditionalFormatting sqref="D40">
    <cfRule type="expression" dxfId="9932" priority="10090">
      <formula>$H40="non"</formula>
    </cfRule>
  </conditionalFormatting>
  <conditionalFormatting sqref="D38">
    <cfRule type="expression" dxfId="9931" priority="10081">
      <formula>$F38="Formation CCF"</formula>
    </cfRule>
    <cfRule type="expression" dxfId="9930" priority="10082">
      <formula>$F38="Direction"</formula>
    </cfRule>
    <cfRule type="expression" dxfId="9929" priority="10083">
      <formula>$F38="Ventes Sicli"</formula>
    </cfRule>
    <cfRule type="expression" dxfId="9928" priority="10084">
      <formula>$F38="Ventes Chubb"</formula>
    </cfRule>
    <cfRule type="expression" dxfId="9927" priority="10085">
      <formula>$F38="SAV Sicli"</formula>
    </cfRule>
    <cfRule type="expression" dxfId="9926" priority="10086">
      <formula>$F38="SAV Chubb"</formula>
    </cfRule>
    <cfRule type="expression" dxfId="9925" priority="10087">
      <formula>$F38="Réalisation"</formula>
    </cfRule>
    <cfRule type="expression" dxfId="9924" priority="10088">
      <formula>$F38="Désenfumage"</formula>
    </cfRule>
    <cfRule type="expression" dxfId="9923" priority="10089">
      <formula>$F38="Administratif"</formula>
    </cfRule>
  </conditionalFormatting>
  <conditionalFormatting sqref="D38">
    <cfRule type="expression" dxfId="9922" priority="10080">
      <formula>$H38="non"</formula>
    </cfRule>
  </conditionalFormatting>
  <conditionalFormatting sqref="D42">
    <cfRule type="expression" dxfId="9921" priority="10061">
      <formula>$F42="Formation CCF"</formula>
    </cfRule>
    <cfRule type="expression" dxfId="9920" priority="10062">
      <formula>$F42="Direction"</formula>
    </cfRule>
    <cfRule type="expression" dxfId="9919" priority="10063">
      <formula>$F42="Ventes Sicli"</formula>
    </cfRule>
    <cfRule type="expression" dxfId="9918" priority="10064">
      <formula>$F42="Ventes Chubb"</formula>
    </cfRule>
    <cfRule type="expression" dxfId="9917" priority="10065">
      <formula>$F42="SAV Sicli"</formula>
    </cfRule>
    <cfRule type="expression" dxfId="9916" priority="10066">
      <formula>$F42="SAV Chubb"</formula>
    </cfRule>
    <cfRule type="expression" dxfId="9915" priority="10067">
      <formula>$F42="Réalisation"</formula>
    </cfRule>
    <cfRule type="expression" dxfId="9914" priority="10068">
      <formula>$F42="Désenfumage"</formula>
    </cfRule>
    <cfRule type="expression" dxfId="9913" priority="10069">
      <formula>$F42="Administratif"</formula>
    </cfRule>
  </conditionalFormatting>
  <conditionalFormatting sqref="D42">
    <cfRule type="expression" dxfId="9912" priority="10060">
      <formula>$H42="non"</formula>
    </cfRule>
  </conditionalFormatting>
  <conditionalFormatting sqref="D42">
    <cfRule type="expression" dxfId="9911" priority="10051">
      <formula>$F42="Formation CCF"</formula>
    </cfRule>
    <cfRule type="expression" dxfId="9910" priority="10052">
      <formula>$F42="Direction"</formula>
    </cfRule>
    <cfRule type="expression" dxfId="9909" priority="10053">
      <formula>$F42="Ventes Sicli"</formula>
    </cfRule>
    <cfRule type="expression" dxfId="9908" priority="10054">
      <formula>$F42="Ventes Chubb"</formula>
    </cfRule>
    <cfRule type="expression" dxfId="9907" priority="10055">
      <formula>$F42="SAV Sicli"</formula>
    </cfRule>
    <cfRule type="expression" dxfId="9906" priority="10056">
      <formula>$F42="SAV Chubb"</formula>
    </cfRule>
    <cfRule type="expression" dxfId="9905" priority="10057">
      <formula>$F42="Réalisation"</formula>
    </cfRule>
    <cfRule type="expression" dxfId="9904" priority="10058">
      <formula>$F42="Désenfumage"</formula>
    </cfRule>
    <cfRule type="expression" dxfId="9903" priority="10059">
      <formula>$F42="Administratif"</formula>
    </cfRule>
  </conditionalFormatting>
  <conditionalFormatting sqref="D42">
    <cfRule type="expression" dxfId="9902" priority="10050">
      <formula>$H42="non"</formula>
    </cfRule>
  </conditionalFormatting>
  <conditionalFormatting sqref="D41">
    <cfRule type="expression" dxfId="9901" priority="10041">
      <formula>$F41="Formation CCF"</formula>
    </cfRule>
    <cfRule type="expression" dxfId="9900" priority="10042">
      <formula>$F41="Direction"</formula>
    </cfRule>
    <cfRule type="expression" dxfId="9899" priority="10043">
      <formula>$F41="Ventes Sicli"</formula>
    </cfRule>
    <cfRule type="expression" dxfId="9898" priority="10044">
      <formula>$F41="Ventes Chubb"</formula>
    </cfRule>
    <cfRule type="expression" dxfId="9897" priority="10045">
      <formula>$F41="SAV Sicli"</formula>
    </cfRule>
    <cfRule type="expression" dxfId="9896" priority="10046">
      <formula>$F41="SAV Chubb"</formula>
    </cfRule>
    <cfRule type="expression" dxfId="9895" priority="10047">
      <formula>$F41="Réalisation"</formula>
    </cfRule>
    <cfRule type="expression" dxfId="9894" priority="10048">
      <formula>$F41="Désenfumage"</formula>
    </cfRule>
    <cfRule type="expression" dxfId="9893" priority="10049">
      <formula>$F41="Administratif"</formula>
    </cfRule>
  </conditionalFormatting>
  <conditionalFormatting sqref="D41">
    <cfRule type="expression" dxfId="9892" priority="10040">
      <formula>$H41="non"</formula>
    </cfRule>
  </conditionalFormatting>
  <conditionalFormatting sqref="D40">
    <cfRule type="expression" dxfId="9891" priority="10031">
      <formula>$F40="Formation CCF"</formula>
    </cfRule>
    <cfRule type="expression" dxfId="9890" priority="10032">
      <formula>$F40="Direction"</formula>
    </cfRule>
    <cfRule type="expression" dxfId="9889" priority="10033">
      <formula>$F40="Ventes Sicli"</formula>
    </cfRule>
    <cfRule type="expression" dxfId="9888" priority="10034">
      <formula>$F40="Ventes Chubb"</formula>
    </cfRule>
    <cfRule type="expression" dxfId="9887" priority="10035">
      <formula>$F40="SAV Sicli"</formula>
    </cfRule>
    <cfRule type="expression" dxfId="9886" priority="10036">
      <formula>$F40="SAV Chubb"</formula>
    </cfRule>
    <cfRule type="expression" dxfId="9885" priority="10037">
      <formula>$F40="Réalisation"</formula>
    </cfRule>
    <cfRule type="expression" dxfId="9884" priority="10038">
      <formula>$F40="Désenfumage"</formula>
    </cfRule>
    <cfRule type="expression" dxfId="9883" priority="10039">
      <formula>$F40="Administratif"</formula>
    </cfRule>
  </conditionalFormatting>
  <conditionalFormatting sqref="D40">
    <cfRule type="expression" dxfId="9882" priority="10030">
      <formula>$H40="non"</formula>
    </cfRule>
  </conditionalFormatting>
  <conditionalFormatting sqref="D38">
    <cfRule type="expression" dxfId="9881" priority="10021">
      <formula>$F38="Formation CCF"</formula>
    </cfRule>
    <cfRule type="expression" dxfId="9880" priority="10022">
      <formula>$F38="Direction"</formula>
    </cfRule>
    <cfRule type="expression" dxfId="9879" priority="10023">
      <formula>$F38="Ventes Sicli"</formula>
    </cfRule>
    <cfRule type="expression" dxfId="9878" priority="10024">
      <formula>$F38="Ventes Chubb"</formula>
    </cfRule>
    <cfRule type="expression" dxfId="9877" priority="10025">
      <formula>$F38="SAV Sicli"</formula>
    </cfRule>
    <cfRule type="expression" dxfId="9876" priority="10026">
      <formula>$F38="SAV Chubb"</formula>
    </cfRule>
    <cfRule type="expression" dxfId="9875" priority="10027">
      <formula>$F38="Réalisation"</formula>
    </cfRule>
    <cfRule type="expression" dxfId="9874" priority="10028">
      <formula>$F38="Désenfumage"</formula>
    </cfRule>
    <cfRule type="expression" dxfId="9873" priority="10029">
      <formula>$F38="Administratif"</formula>
    </cfRule>
  </conditionalFormatting>
  <conditionalFormatting sqref="D38">
    <cfRule type="expression" dxfId="9872" priority="10020">
      <formula>$H38="non"</formula>
    </cfRule>
  </conditionalFormatting>
  <conditionalFormatting sqref="D41">
    <cfRule type="expression" dxfId="9871" priority="10011">
      <formula>$F41="Formation CCF"</formula>
    </cfRule>
    <cfRule type="expression" dxfId="9870" priority="10012">
      <formula>$F41="Direction"</formula>
    </cfRule>
    <cfRule type="expression" dxfId="9869" priority="10013">
      <formula>$F41="Ventes Sicli"</formula>
    </cfRule>
    <cfRule type="expression" dxfId="9868" priority="10014">
      <formula>$F41="Ventes Chubb"</formula>
    </cfRule>
    <cfRule type="expression" dxfId="9867" priority="10015">
      <formula>$F41="SAV Sicli"</formula>
    </cfRule>
    <cfRule type="expression" dxfId="9866" priority="10016">
      <formula>$F41="SAV Chubb"</formula>
    </cfRule>
    <cfRule type="expression" dxfId="9865" priority="10017">
      <formula>$F41="Réalisation"</formula>
    </cfRule>
    <cfRule type="expression" dxfId="9864" priority="10018">
      <formula>$F41="Désenfumage"</formula>
    </cfRule>
    <cfRule type="expression" dxfId="9863" priority="10019">
      <formula>$F41="Administratif"</formula>
    </cfRule>
  </conditionalFormatting>
  <conditionalFormatting sqref="D41">
    <cfRule type="expression" dxfId="9862" priority="10010">
      <formula>$H41="non"</formula>
    </cfRule>
  </conditionalFormatting>
  <conditionalFormatting sqref="D40">
    <cfRule type="expression" dxfId="9861" priority="10001">
      <formula>$F40="Formation CCF"</formula>
    </cfRule>
    <cfRule type="expression" dxfId="9860" priority="10002">
      <formula>$F40="Direction"</formula>
    </cfRule>
    <cfRule type="expression" dxfId="9859" priority="10003">
      <formula>$F40="Ventes Sicli"</formula>
    </cfRule>
    <cfRule type="expression" dxfId="9858" priority="10004">
      <formula>$F40="Ventes Chubb"</formula>
    </cfRule>
    <cfRule type="expression" dxfId="9857" priority="10005">
      <formula>$F40="SAV Sicli"</formula>
    </cfRule>
    <cfRule type="expression" dxfId="9856" priority="10006">
      <formula>$F40="SAV Chubb"</formula>
    </cfRule>
    <cfRule type="expression" dxfId="9855" priority="10007">
      <formula>$F40="Réalisation"</formula>
    </cfRule>
    <cfRule type="expression" dxfId="9854" priority="10008">
      <formula>$F40="Désenfumage"</formula>
    </cfRule>
    <cfRule type="expression" dxfId="9853" priority="10009">
      <formula>$F40="Administratif"</formula>
    </cfRule>
  </conditionalFormatting>
  <conditionalFormatting sqref="D40">
    <cfRule type="expression" dxfId="9852" priority="10000">
      <formula>$H40="non"</formula>
    </cfRule>
  </conditionalFormatting>
  <conditionalFormatting sqref="D38">
    <cfRule type="expression" dxfId="9851" priority="9991">
      <formula>$F38="Formation CCF"</formula>
    </cfRule>
    <cfRule type="expression" dxfId="9850" priority="9992">
      <formula>$F38="Direction"</formula>
    </cfRule>
    <cfRule type="expression" dxfId="9849" priority="9993">
      <formula>$F38="Ventes Sicli"</formula>
    </cfRule>
    <cfRule type="expression" dxfId="9848" priority="9994">
      <formula>$F38="Ventes Chubb"</formula>
    </cfRule>
    <cfRule type="expression" dxfId="9847" priority="9995">
      <formula>$F38="SAV Sicli"</formula>
    </cfRule>
    <cfRule type="expression" dxfId="9846" priority="9996">
      <formula>$F38="SAV Chubb"</formula>
    </cfRule>
    <cfRule type="expression" dxfId="9845" priority="9997">
      <formula>$F38="Réalisation"</formula>
    </cfRule>
    <cfRule type="expression" dxfId="9844" priority="9998">
      <formula>$F38="Désenfumage"</formula>
    </cfRule>
    <cfRule type="expression" dxfId="9843" priority="9999">
      <formula>$F38="Administratif"</formula>
    </cfRule>
  </conditionalFormatting>
  <conditionalFormatting sqref="D38">
    <cfRule type="expression" dxfId="9842" priority="9990">
      <formula>$H38="non"</formula>
    </cfRule>
  </conditionalFormatting>
  <conditionalFormatting sqref="D41">
    <cfRule type="expression" dxfId="9841" priority="9971">
      <formula>$F41="Formation CCF"</formula>
    </cfRule>
    <cfRule type="expression" dxfId="9840" priority="9972">
      <formula>$F41="Direction"</formula>
    </cfRule>
    <cfRule type="expression" dxfId="9839" priority="9973">
      <formula>$F41="Ventes Sicli"</formula>
    </cfRule>
    <cfRule type="expression" dxfId="9838" priority="9974">
      <formula>$F41="Ventes Chubb"</formula>
    </cfRule>
    <cfRule type="expression" dxfId="9837" priority="9975">
      <formula>$F41="SAV Sicli"</formula>
    </cfRule>
    <cfRule type="expression" dxfId="9836" priority="9976">
      <formula>$F41="SAV Chubb"</formula>
    </cfRule>
    <cfRule type="expression" dxfId="9835" priority="9977">
      <formula>$F41="Réalisation"</formula>
    </cfRule>
    <cfRule type="expression" dxfId="9834" priority="9978">
      <formula>$F41="Désenfumage"</formula>
    </cfRule>
    <cfRule type="expression" dxfId="9833" priority="9979">
      <formula>$F41="Administratif"</formula>
    </cfRule>
  </conditionalFormatting>
  <conditionalFormatting sqref="D41">
    <cfRule type="expression" dxfId="9832" priority="9970">
      <formula>$H41="non"</formula>
    </cfRule>
  </conditionalFormatting>
  <conditionalFormatting sqref="D40">
    <cfRule type="expression" dxfId="9831" priority="9961">
      <formula>$F40="Formation CCF"</formula>
    </cfRule>
    <cfRule type="expression" dxfId="9830" priority="9962">
      <formula>$F40="Direction"</formula>
    </cfRule>
    <cfRule type="expression" dxfId="9829" priority="9963">
      <formula>$F40="Ventes Sicli"</formula>
    </cfRule>
    <cfRule type="expression" dxfId="9828" priority="9964">
      <formula>$F40="Ventes Chubb"</formula>
    </cfRule>
    <cfRule type="expression" dxfId="9827" priority="9965">
      <formula>$F40="SAV Sicli"</formula>
    </cfRule>
    <cfRule type="expression" dxfId="9826" priority="9966">
      <formula>$F40="SAV Chubb"</formula>
    </cfRule>
    <cfRule type="expression" dxfId="9825" priority="9967">
      <formula>$F40="Réalisation"</formula>
    </cfRule>
    <cfRule type="expression" dxfId="9824" priority="9968">
      <formula>$F40="Désenfumage"</formula>
    </cfRule>
    <cfRule type="expression" dxfId="9823" priority="9969">
      <formula>$F40="Administratif"</formula>
    </cfRule>
  </conditionalFormatting>
  <conditionalFormatting sqref="D40">
    <cfRule type="expression" dxfId="9822" priority="9960">
      <formula>$H40="non"</formula>
    </cfRule>
  </conditionalFormatting>
  <conditionalFormatting sqref="D38">
    <cfRule type="expression" dxfId="9821" priority="9951">
      <formula>$F38="Formation CCF"</formula>
    </cfRule>
    <cfRule type="expression" dxfId="9820" priority="9952">
      <formula>$F38="Direction"</formula>
    </cfRule>
    <cfRule type="expression" dxfId="9819" priority="9953">
      <formula>$F38="Ventes Sicli"</formula>
    </cfRule>
    <cfRule type="expression" dxfId="9818" priority="9954">
      <formula>$F38="Ventes Chubb"</formula>
    </cfRule>
    <cfRule type="expression" dxfId="9817" priority="9955">
      <formula>$F38="SAV Sicli"</formula>
    </cfRule>
    <cfRule type="expression" dxfId="9816" priority="9956">
      <formula>$F38="SAV Chubb"</formula>
    </cfRule>
    <cfRule type="expression" dxfId="9815" priority="9957">
      <formula>$F38="Réalisation"</formula>
    </cfRule>
    <cfRule type="expression" dxfId="9814" priority="9958">
      <formula>$F38="Désenfumage"</formula>
    </cfRule>
    <cfRule type="expression" dxfId="9813" priority="9959">
      <formula>$F38="Administratif"</formula>
    </cfRule>
  </conditionalFormatting>
  <conditionalFormatting sqref="D38">
    <cfRule type="expression" dxfId="9812" priority="9950">
      <formula>$H38="non"</formula>
    </cfRule>
  </conditionalFormatting>
  <conditionalFormatting sqref="D40">
    <cfRule type="expression" dxfId="9811" priority="9941">
      <formula>$F40="Formation CCF"</formula>
    </cfRule>
    <cfRule type="expression" dxfId="9810" priority="9942">
      <formula>$F40="Direction"</formula>
    </cfRule>
    <cfRule type="expression" dxfId="9809" priority="9943">
      <formula>$F40="Ventes Sicli"</formula>
    </cfRule>
    <cfRule type="expression" dxfId="9808" priority="9944">
      <formula>$F40="Ventes Chubb"</formula>
    </cfRule>
    <cfRule type="expression" dxfId="9807" priority="9945">
      <formula>$F40="SAV Sicli"</formula>
    </cfRule>
    <cfRule type="expression" dxfId="9806" priority="9946">
      <formula>$F40="SAV Chubb"</formula>
    </cfRule>
    <cfRule type="expression" dxfId="9805" priority="9947">
      <formula>$F40="Réalisation"</formula>
    </cfRule>
    <cfRule type="expression" dxfId="9804" priority="9948">
      <formula>$F40="Désenfumage"</formula>
    </cfRule>
    <cfRule type="expression" dxfId="9803" priority="9949">
      <formula>$F40="Administratif"</formula>
    </cfRule>
  </conditionalFormatting>
  <conditionalFormatting sqref="D40">
    <cfRule type="expression" dxfId="9802" priority="9940">
      <formula>$H40="non"</formula>
    </cfRule>
  </conditionalFormatting>
  <conditionalFormatting sqref="D38">
    <cfRule type="expression" dxfId="9801" priority="9931">
      <formula>$F38="Formation CCF"</formula>
    </cfRule>
    <cfRule type="expression" dxfId="9800" priority="9932">
      <formula>$F38="Direction"</formula>
    </cfRule>
    <cfRule type="expression" dxfId="9799" priority="9933">
      <formula>$F38="Ventes Sicli"</formula>
    </cfRule>
    <cfRule type="expression" dxfId="9798" priority="9934">
      <formula>$F38="Ventes Chubb"</formula>
    </cfRule>
    <cfRule type="expression" dxfId="9797" priority="9935">
      <formula>$F38="SAV Sicli"</formula>
    </cfRule>
    <cfRule type="expression" dxfId="9796" priority="9936">
      <formula>$F38="SAV Chubb"</formula>
    </cfRule>
    <cfRule type="expression" dxfId="9795" priority="9937">
      <formula>$F38="Réalisation"</formula>
    </cfRule>
    <cfRule type="expression" dxfId="9794" priority="9938">
      <formula>$F38="Désenfumage"</formula>
    </cfRule>
    <cfRule type="expression" dxfId="9793" priority="9939">
      <formula>$F38="Administratif"</formula>
    </cfRule>
  </conditionalFormatting>
  <conditionalFormatting sqref="D38">
    <cfRule type="expression" dxfId="9792" priority="9930">
      <formula>$H38="non"</formula>
    </cfRule>
  </conditionalFormatting>
  <conditionalFormatting sqref="D41">
    <cfRule type="expression" dxfId="9791" priority="9911">
      <formula>$F41="Formation CCF"</formula>
    </cfRule>
    <cfRule type="expression" dxfId="9790" priority="9912">
      <formula>$F41="Direction"</formula>
    </cfRule>
    <cfRule type="expression" dxfId="9789" priority="9913">
      <formula>$F41="Ventes Sicli"</formula>
    </cfRule>
    <cfRule type="expression" dxfId="9788" priority="9914">
      <formula>$F41="Ventes Chubb"</formula>
    </cfRule>
    <cfRule type="expression" dxfId="9787" priority="9915">
      <formula>$F41="SAV Sicli"</formula>
    </cfRule>
    <cfRule type="expression" dxfId="9786" priority="9916">
      <formula>$F41="SAV Chubb"</formula>
    </cfRule>
    <cfRule type="expression" dxfId="9785" priority="9917">
      <formula>$F41="Réalisation"</formula>
    </cfRule>
    <cfRule type="expression" dxfId="9784" priority="9918">
      <formula>$F41="Désenfumage"</formula>
    </cfRule>
    <cfRule type="expression" dxfId="9783" priority="9919">
      <formula>$F41="Administratif"</formula>
    </cfRule>
  </conditionalFormatting>
  <conditionalFormatting sqref="D41">
    <cfRule type="expression" dxfId="9782" priority="9910">
      <formula>$H41="non"</formula>
    </cfRule>
  </conditionalFormatting>
  <conditionalFormatting sqref="D40">
    <cfRule type="expression" dxfId="9781" priority="9901">
      <formula>$F40="Formation CCF"</formula>
    </cfRule>
    <cfRule type="expression" dxfId="9780" priority="9902">
      <formula>$F40="Direction"</formula>
    </cfRule>
    <cfRule type="expression" dxfId="9779" priority="9903">
      <formula>$F40="Ventes Sicli"</formula>
    </cfRule>
    <cfRule type="expression" dxfId="9778" priority="9904">
      <formula>$F40="Ventes Chubb"</formula>
    </cfRule>
    <cfRule type="expression" dxfId="9777" priority="9905">
      <formula>$F40="SAV Sicli"</formula>
    </cfRule>
    <cfRule type="expression" dxfId="9776" priority="9906">
      <formula>$F40="SAV Chubb"</formula>
    </cfRule>
    <cfRule type="expression" dxfId="9775" priority="9907">
      <formula>$F40="Réalisation"</formula>
    </cfRule>
    <cfRule type="expression" dxfId="9774" priority="9908">
      <formula>$F40="Désenfumage"</formula>
    </cfRule>
    <cfRule type="expression" dxfId="9773" priority="9909">
      <formula>$F40="Administratif"</formula>
    </cfRule>
  </conditionalFormatting>
  <conditionalFormatting sqref="D40">
    <cfRule type="expression" dxfId="9772" priority="9900">
      <formula>$H40="non"</formula>
    </cfRule>
  </conditionalFormatting>
  <conditionalFormatting sqref="D38">
    <cfRule type="expression" dxfId="9771" priority="9891">
      <formula>$F38="Formation CCF"</formula>
    </cfRule>
    <cfRule type="expression" dxfId="9770" priority="9892">
      <formula>$F38="Direction"</formula>
    </cfRule>
    <cfRule type="expression" dxfId="9769" priority="9893">
      <formula>$F38="Ventes Sicli"</formula>
    </cfRule>
    <cfRule type="expression" dxfId="9768" priority="9894">
      <formula>$F38="Ventes Chubb"</formula>
    </cfRule>
    <cfRule type="expression" dxfId="9767" priority="9895">
      <formula>$F38="SAV Sicli"</formula>
    </cfRule>
    <cfRule type="expression" dxfId="9766" priority="9896">
      <formula>$F38="SAV Chubb"</formula>
    </cfRule>
    <cfRule type="expression" dxfId="9765" priority="9897">
      <formula>$F38="Réalisation"</formula>
    </cfRule>
    <cfRule type="expression" dxfId="9764" priority="9898">
      <formula>$F38="Désenfumage"</formula>
    </cfRule>
    <cfRule type="expression" dxfId="9763" priority="9899">
      <formula>$F38="Administratif"</formula>
    </cfRule>
  </conditionalFormatting>
  <conditionalFormatting sqref="D38">
    <cfRule type="expression" dxfId="9762" priority="9890">
      <formula>$H38="non"</formula>
    </cfRule>
  </conditionalFormatting>
  <conditionalFormatting sqref="D40">
    <cfRule type="expression" dxfId="9761" priority="9881">
      <formula>$F40="Formation CCF"</formula>
    </cfRule>
    <cfRule type="expression" dxfId="9760" priority="9882">
      <formula>$F40="Direction"</formula>
    </cfRule>
    <cfRule type="expression" dxfId="9759" priority="9883">
      <formula>$F40="Ventes Sicli"</formula>
    </cfRule>
    <cfRule type="expression" dxfId="9758" priority="9884">
      <formula>$F40="Ventes Chubb"</formula>
    </cfRule>
    <cfRule type="expression" dxfId="9757" priority="9885">
      <formula>$F40="SAV Sicli"</formula>
    </cfRule>
    <cfRule type="expression" dxfId="9756" priority="9886">
      <formula>$F40="SAV Chubb"</formula>
    </cfRule>
    <cfRule type="expression" dxfId="9755" priority="9887">
      <formula>$F40="Réalisation"</formula>
    </cfRule>
    <cfRule type="expression" dxfId="9754" priority="9888">
      <formula>$F40="Désenfumage"</formula>
    </cfRule>
    <cfRule type="expression" dxfId="9753" priority="9889">
      <formula>$F40="Administratif"</formula>
    </cfRule>
  </conditionalFormatting>
  <conditionalFormatting sqref="D40">
    <cfRule type="expression" dxfId="9752" priority="9880">
      <formula>$H40="non"</formula>
    </cfRule>
  </conditionalFormatting>
  <conditionalFormatting sqref="D38">
    <cfRule type="expression" dxfId="9751" priority="9871">
      <formula>$F38="Formation CCF"</formula>
    </cfRule>
    <cfRule type="expression" dxfId="9750" priority="9872">
      <formula>$F38="Direction"</formula>
    </cfRule>
    <cfRule type="expression" dxfId="9749" priority="9873">
      <formula>$F38="Ventes Sicli"</formula>
    </cfRule>
    <cfRule type="expression" dxfId="9748" priority="9874">
      <formula>$F38="Ventes Chubb"</formula>
    </cfRule>
    <cfRule type="expression" dxfId="9747" priority="9875">
      <formula>$F38="SAV Sicli"</formula>
    </cfRule>
    <cfRule type="expression" dxfId="9746" priority="9876">
      <formula>$F38="SAV Chubb"</formula>
    </cfRule>
    <cfRule type="expression" dxfId="9745" priority="9877">
      <formula>$F38="Réalisation"</formula>
    </cfRule>
    <cfRule type="expression" dxfId="9744" priority="9878">
      <formula>$F38="Désenfumage"</formula>
    </cfRule>
    <cfRule type="expression" dxfId="9743" priority="9879">
      <formula>$F38="Administratif"</formula>
    </cfRule>
  </conditionalFormatting>
  <conditionalFormatting sqref="D38">
    <cfRule type="expression" dxfId="9742" priority="9870">
      <formula>$H38="non"</formula>
    </cfRule>
  </conditionalFormatting>
  <conditionalFormatting sqref="C42:D42">
    <cfRule type="expression" dxfId="9741" priority="9851">
      <formula>$F42="Formation CCF"</formula>
    </cfRule>
    <cfRule type="expression" dxfId="9740" priority="9852">
      <formula>$F42="Direction"</formula>
    </cfRule>
    <cfRule type="expression" dxfId="9739" priority="9853">
      <formula>$F42="Ventes Sicli"</formula>
    </cfRule>
    <cfRule type="expression" dxfId="9738" priority="9854">
      <formula>$F42="Ventes Chubb"</formula>
    </cfRule>
    <cfRule type="expression" dxfId="9737" priority="9855">
      <formula>$F42="SAV Sicli"</formula>
    </cfRule>
    <cfRule type="expression" dxfId="9736" priority="9856">
      <formula>$F42="SAV Chubb"</formula>
    </cfRule>
    <cfRule type="expression" dxfId="9735" priority="9857">
      <formula>$F42="Réalisation"</formula>
    </cfRule>
    <cfRule type="expression" dxfId="9734" priority="9858">
      <formula>$F42="Désenfumage"</formula>
    </cfRule>
    <cfRule type="expression" dxfId="9733" priority="9859">
      <formula>$F42="Administratif"</formula>
    </cfRule>
  </conditionalFormatting>
  <conditionalFormatting sqref="C42:D42">
    <cfRule type="expression" dxfId="9732" priority="9850">
      <formula>$H42="non"</formula>
    </cfRule>
  </conditionalFormatting>
  <conditionalFormatting sqref="D40">
    <cfRule type="expression" dxfId="9731" priority="9841">
      <formula>$F40="Formation CCF"</formula>
    </cfRule>
    <cfRule type="expression" dxfId="9730" priority="9842">
      <formula>$F40="Direction"</formula>
    </cfRule>
    <cfRule type="expression" dxfId="9729" priority="9843">
      <formula>$F40="Ventes Sicli"</formula>
    </cfRule>
    <cfRule type="expression" dxfId="9728" priority="9844">
      <formula>$F40="Ventes Chubb"</formula>
    </cfRule>
    <cfRule type="expression" dxfId="9727" priority="9845">
      <formula>$F40="SAV Sicli"</formula>
    </cfRule>
    <cfRule type="expression" dxfId="9726" priority="9846">
      <formula>$F40="SAV Chubb"</formula>
    </cfRule>
    <cfRule type="expression" dxfId="9725" priority="9847">
      <formula>$F40="Réalisation"</formula>
    </cfRule>
    <cfRule type="expression" dxfId="9724" priority="9848">
      <formula>$F40="Désenfumage"</formula>
    </cfRule>
    <cfRule type="expression" dxfId="9723" priority="9849">
      <formula>$F40="Administratif"</formula>
    </cfRule>
  </conditionalFormatting>
  <conditionalFormatting sqref="D40">
    <cfRule type="expression" dxfId="9722" priority="9840">
      <formula>$H40="non"</formula>
    </cfRule>
  </conditionalFormatting>
  <conditionalFormatting sqref="D38">
    <cfRule type="expression" dxfId="9721" priority="9831">
      <formula>$F38="Formation CCF"</formula>
    </cfRule>
    <cfRule type="expression" dxfId="9720" priority="9832">
      <formula>$F38="Direction"</formula>
    </cfRule>
    <cfRule type="expression" dxfId="9719" priority="9833">
      <formula>$F38="Ventes Sicli"</formula>
    </cfRule>
    <cfRule type="expression" dxfId="9718" priority="9834">
      <formula>$F38="Ventes Chubb"</formula>
    </cfRule>
    <cfRule type="expression" dxfId="9717" priority="9835">
      <formula>$F38="SAV Sicli"</formula>
    </cfRule>
    <cfRule type="expression" dxfId="9716" priority="9836">
      <formula>$F38="SAV Chubb"</formula>
    </cfRule>
    <cfRule type="expression" dxfId="9715" priority="9837">
      <formula>$F38="Réalisation"</formula>
    </cfRule>
    <cfRule type="expression" dxfId="9714" priority="9838">
      <formula>$F38="Désenfumage"</formula>
    </cfRule>
    <cfRule type="expression" dxfId="9713" priority="9839">
      <formula>$F38="Administratif"</formula>
    </cfRule>
  </conditionalFormatting>
  <conditionalFormatting sqref="D38">
    <cfRule type="expression" dxfId="9712" priority="9830">
      <formula>$H38="non"</formula>
    </cfRule>
  </conditionalFormatting>
  <conditionalFormatting sqref="D38">
    <cfRule type="expression" dxfId="9711" priority="9821">
      <formula>$F38="Formation CCF"</formula>
    </cfRule>
    <cfRule type="expression" dxfId="9710" priority="9822">
      <formula>$F38="Direction"</formula>
    </cfRule>
    <cfRule type="expression" dxfId="9709" priority="9823">
      <formula>$F38="Ventes Sicli"</formula>
    </cfRule>
    <cfRule type="expression" dxfId="9708" priority="9824">
      <formula>$F38="Ventes Chubb"</formula>
    </cfRule>
    <cfRule type="expression" dxfId="9707" priority="9825">
      <formula>$F38="SAV Sicli"</formula>
    </cfRule>
    <cfRule type="expression" dxfId="9706" priority="9826">
      <formula>$F38="SAV Chubb"</formula>
    </cfRule>
    <cfRule type="expression" dxfId="9705" priority="9827">
      <formula>$F38="Réalisation"</formula>
    </cfRule>
    <cfRule type="expression" dxfId="9704" priority="9828">
      <formula>$F38="Désenfumage"</formula>
    </cfRule>
    <cfRule type="expression" dxfId="9703" priority="9829">
      <formula>$F38="Administratif"</formula>
    </cfRule>
  </conditionalFormatting>
  <conditionalFormatting sqref="D38">
    <cfRule type="expression" dxfId="9702" priority="9820">
      <formula>$H38="non"</formula>
    </cfRule>
  </conditionalFormatting>
  <conditionalFormatting sqref="C73:C74">
    <cfRule type="expression" dxfId="9701" priority="9811">
      <formula>$F73="Formation CCF"</formula>
    </cfRule>
    <cfRule type="expression" dxfId="9700" priority="9812">
      <formula>$F73="Direction"</formula>
    </cfRule>
    <cfRule type="expression" dxfId="9699" priority="9813">
      <formula>$F73="Ventes Sicli"</formula>
    </cfRule>
    <cfRule type="expression" dxfId="9698" priority="9814">
      <formula>$F73="Ventes Chubb"</formula>
    </cfRule>
    <cfRule type="expression" dxfId="9697" priority="9815">
      <formula>$F73="SAV Sicli"</formula>
    </cfRule>
    <cfRule type="expression" dxfId="9696" priority="9816">
      <formula>$F73="SAV Chubb"</formula>
    </cfRule>
    <cfRule type="expression" dxfId="9695" priority="9817">
      <formula>$F73="Réalisation"</formula>
    </cfRule>
    <cfRule type="expression" dxfId="9694" priority="9818">
      <formula>$F73="Désenfumage"</formula>
    </cfRule>
    <cfRule type="expression" dxfId="9693" priority="9819">
      <formula>$F73="Administratif"</formula>
    </cfRule>
  </conditionalFormatting>
  <conditionalFormatting sqref="C73:C74">
    <cfRule type="expression" dxfId="9692" priority="9810">
      <formula>$H73="non"</formula>
    </cfRule>
  </conditionalFormatting>
  <conditionalFormatting sqref="D74">
    <cfRule type="expression" dxfId="9691" priority="9801">
      <formula>$F74="Formation CCF"</formula>
    </cfRule>
    <cfRule type="expression" dxfId="9690" priority="9802">
      <formula>$F74="Direction"</formula>
    </cfRule>
    <cfRule type="expression" dxfId="9689" priority="9803">
      <formula>$F74="Ventes Sicli"</formula>
    </cfRule>
    <cfRule type="expression" dxfId="9688" priority="9804">
      <formula>$F74="Ventes Chubb"</formula>
    </cfRule>
    <cfRule type="expression" dxfId="9687" priority="9805">
      <formula>$F74="SAV Sicli"</formula>
    </cfRule>
    <cfRule type="expression" dxfId="9686" priority="9806">
      <formula>$F74="SAV Chubb"</formula>
    </cfRule>
    <cfRule type="expression" dxfId="9685" priority="9807">
      <formula>$F74="Réalisation"</formula>
    </cfRule>
    <cfRule type="expression" dxfId="9684" priority="9808">
      <formula>$F74="Désenfumage"</formula>
    </cfRule>
    <cfRule type="expression" dxfId="9683" priority="9809">
      <formula>$F74="Administratif"</formula>
    </cfRule>
  </conditionalFormatting>
  <conditionalFormatting sqref="D74">
    <cfRule type="expression" dxfId="9682" priority="9800">
      <formula>$H74="non"</formula>
    </cfRule>
  </conditionalFormatting>
  <conditionalFormatting sqref="D73">
    <cfRule type="expression" dxfId="9681" priority="9791">
      <formula>$F73="Formation CCF"</formula>
    </cfRule>
    <cfRule type="expression" dxfId="9680" priority="9792">
      <formula>$F73="Direction"</formula>
    </cfRule>
    <cfRule type="expression" dxfId="9679" priority="9793">
      <formula>$F73="Ventes Sicli"</formula>
    </cfRule>
    <cfRule type="expression" dxfId="9678" priority="9794">
      <formula>$F73="Ventes Chubb"</formula>
    </cfRule>
    <cfRule type="expression" dxfId="9677" priority="9795">
      <formula>$F73="SAV Sicli"</formula>
    </cfRule>
    <cfRule type="expression" dxfId="9676" priority="9796">
      <formula>$F73="SAV Chubb"</formula>
    </cfRule>
    <cfRule type="expression" dxfId="9675" priority="9797">
      <formula>$F73="Réalisation"</formula>
    </cfRule>
    <cfRule type="expression" dxfId="9674" priority="9798">
      <formula>$F73="Désenfumage"</formula>
    </cfRule>
    <cfRule type="expression" dxfId="9673" priority="9799">
      <formula>$F73="Administratif"</formula>
    </cfRule>
  </conditionalFormatting>
  <conditionalFormatting sqref="D73">
    <cfRule type="expression" dxfId="9672" priority="9790">
      <formula>$H73="non"</formula>
    </cfRule>
  </conditionalFormatting>
  <conditionalFormatting sqref="D74">
    <cfRule type="expression" dxfId="9671" priority="9781">
      <formula>$F74="Formation CCF"</formula>
    </cfRule>
    <cfRule type="expression" dxfId="9670" priority="9782">
      <formula>$F74="Direction"</formula>
    </cfRule>
    <cfRule type="expression" dxfId="9669" priority="9783">
      <formula>$F74="Ventes Sicli"</formula>
    </cfRule>
    <cfRule type="expression" dxfId="9668" priority="9784">
      <formula>$F74="Ventes Chubb"</formula>
    </cfRule>
    <cfRule type="expression" dxfId="9667" priority="9785">
      <formula>$F74="SAV Sicli"</formula>
    </cfRule>
    <cfRule type="expression" dxfId="9666" priority="9786">
      <formula>$F74="SAV Chubb"</formula>
    </cfRule>
    <cfRule type="expression" dxfId="9665" priority="9787">
      <formula>$F74="Réalisation"</formula>
    </cfRule>
    <cfRule type="expression" dxfId="9664" priority="9788">
      <formula>$F74="Désenfumage"</formula>
    </cfRule>
    <cfRule type="expression" dxfId="9663" priority="9789">
      <formula>$F74="Administratif"</formula>
    </cfRule>
  </conditionalFormatting>
  <conditionalFormatting sqref="D74">
    <cfRule type="expression" dxfId="9662" priority="9780">
      <formula>$H74="non"</formula>
    </cfRule>
  </conditionalFormatting>
  <conditionalFormatting sqref="D74">
    <cfRule type="expression" dxfId="9661" priority="9771">
      <formula>$F74="Formation CCF"</formula>
    </cfRule>
    <cfRule type="expression" dxfId="9660" priority="9772">
      <formula>$F74="Direction"</formula>
    </cfRule>
    <cfRule type="expression" dxfId="9659" priority="9773">
      <formula>$F74="Ventes Sicli"</formula>
    </cfRule>
    <cfRule type="expression" dxfId="9658" priority="9774">
      <formula>$F74="Ventes Chubb"</formula>
    </cfRule>
    <cfRule type="expression" dxfId="9657" priority="9775">
      <formula>$F74="SAV Sicli"</formula>
    </cfRule>
    <cfRule type="expression" dxfId="9656" priority="9776">
      <formula>$F74="SAV Chubb"</formula>
    </cfRule>
    <cfRule type="expression" dxfId="9655" priority="9777">
      <formula>$F74="Réalisation"</formula>
    </cfRule>
    <cfRule type="expression" dxfId="9654" priority="9778">
      <formula>$F74="Désenfumage"</formula>
    </cfRule>
    <cfRule type="expression" dxfId="9653" priority="9779">
      <formula>$F74="Administratif"</formula>
    </cfRule>
  </conditionalFormatting>
  <conditionalFormatting sqref="D74">
    <cfRule type="expression" dxfId="9652" priority="9770">
      <formula>$H74="non"</formula>
    </cfRule>
  </conditionalFormatting>
  <conditionalFormatting sqref="D73">
    <cfRule type="expression" dxfId="9651" priority="9761">
      <formula>$F73="Formation CCF"</formula>
    </cfRule>
    <cfRule type="expression" dxfId="9650" priority="9762">
      <formula>$F73="Direction"</formula>
    </cfRule>
    <cfRule type="expression" dxfId="9649" priority="9763">
      <formula>$F73="Ventes Sicli"</formula>
    </cfRule>
    <cfRule type="expression" dxfId="9648" priority="9764">
      <formula>$F73="Ventes Chubb"</formula>
    </cfRule>
    <cfRule type="expression" dxfId="9647" priority="9765">
      <formula>$F73="SAV Sicli"</formula>
    </cfRule>
    <cfRule type="expression" dxfId="9646" priority="9766">
      <formula>$F73="SAV Chubb"</formula>
    </cfRule>
    <cfRule type="expression" dxfId="9645" priority="9767">
      <formula>$F73="Réalisation"</formula>
    </cfRule>
    <cfRule type="expression" dxfId="9644" priority="9768">
      <formula>$F73="Désenfumage"</formula>
    </cfRule>
    <cfRule type="expression" dxfId="9643" priority="9769">
      <formula>$F73="Administratif"</formula>
    </cfRule>
  </conditionalFormatting>
  <conditionalFormatting sqref="D73">
    <cfRule type="expression" dxfId="9642" priority="9760">
      <formula>$H73="non"</formula>
    </cfRule>
  </conditionalFormatting>
  <conditionalFormatting sqref="D74">
    <cfRule type="expression" dxfId="9641" priority="9751">
      <formula>$F74="Formation CCF"</formula>
    </cfRule>
    <cfRule type="expression" dxfId="9640" priority="9752">
      <formula>$F74="Direction"</formula>
    </cfRule>
    <cfRule type="expression" dxfId="9639" priority="9753">
      <formula>$F74="Ventes Sicli"</formula>
    </cfRule>
    <cfRule type="expression" dxfId="9638" priority="9754">
      <formula>$F74="Ventes Chubb"</formula>
    </cfRule>
    <cfRule type="expression" dxfId="9637" priority="9755">
      <formula>$F74="SAV Sicli"</formula>
    </cfRule>
    <cfRule type="expression" dxfId="9636" priority="9756">
      <formula>$F74="SAV Chubb"</formula>
    </cfRule>
    <cfRule type="expression" dxfId="9635" priority="9757">
      <formula>$F74="Réalisation"</formula>
    </cfRule>
    <cfRule type="expression" dxfId="9634" priority="9758">
      <formula>$F74="Désenfumage"</formula>
    </cfRule>
    <cfRule type="expression" dxfId="9633" priority="9759">
      <formula>$F74="Administratif"</formula>
    </cfRule>
  </conditionalFormatting>
  <conditionalFormatting sqref="D74">
    <cfRule type="expression" dxfId="9632" priority="9750">
      <formula>$H74="non"</formula>
    </cfRule>
  </conditionalFormatting>
  <conditionalFormatting sqref="D73">
    <cfRule type="expression" dxfId="9631" priority="9741">
      <formula>$F73="Formation CCF"</formula>
    </cfRule>
    <cfRule type="expression" dxfId="9630" priority="9742">
      <formula>$F73="Direction"</formula>
    </cfRule>
    <cfRule type="expression" dxfId="9629" priority="9743">
      <formula>$F73="Ventes Sicli"</formula>
    </cfRule>
    <cfRule type="expression" dxfId="9628" priority="9744">
      <formula>$F73="Ventes Chubb"</formula>
    </cfRule>
    <cfRule type="expression" dxfId="9627" priority="9745">
      <formula>$F73="SAV Sicli"</formula>
    </cfRule>
    <cfRule type="expression" dxfId="9626" priority="9746">
      <formula>$F73="SAV Chubb"</formula>
    </cfRule>
    <cfRule type="expression" dxfId="9625" priority="9747">
      <formula>$F73="Réalisation"</formula>
    </cfRule>
    <cfRule type="expression" dxfId="9624" priority="9748">
      <formula>$F73="Désenfumage"</formula>
    </cfRule>
    <cfRule type="expression" dxfId="9623" priority="9749">
      <formula>$F73="Administratif"</formula>
    </cfRule>
  </conditionalFormatting>
  <conditionalFormatting sqref="D73">
    <cfRule type="expression" dxfId="9622" priority="9740">
      <formula>$H73="non"</formula>
    </cfRule>
  </conditionalFormatting>
  <conditionalFormatting sqref="D74">
    <cfRule type="expression" dxfId="9621" priority="9731">
      <formula>$F74="Formation CCF"</formula>
    </cfRule>
    <cfRule type="expression" dxfId="9620" priority="9732">
      <formula>$F74="Direction"</formula>
    </cfRule>
    <cfRule type="expression" dxfId="9619" priority="9733">
      <formula>$F74="Ventes Sicli"</formula>
    </cfRule>
    <cfRule type="expression" dxfId="9618" priority="9734">
      <formula>$F74="Ventes Chubb"</formula>
    </cfRule>
    <cfRule type="expression" dxfId="9617" priority="9735">
      <formula>$F74="SAV Sicli"</formula>
    </cfRule>
    <cfRule type="expression" dxfId="9616" priority="9736">
      <formula>$F74="SAV Chubb"</formula>
    </cfRule>
    <cfRule type="expression" dxfId="9615" priority="9737">
      <formula>$F74="Réalisation"</formula>
    </cfRule>
    <cfRule type="expression" dxfId="9614" priority="9738">
      <formula>$F74="Désenfumage"</formula>
    </cfRule>
    <cfRule type="expression" dxfId="9613" priority="9739">
      <formula>$F74="Administratif"</formula>
    </cfRule>
  </conditionalFormatting>
  <conditionalFormatting sqref="D74">
    <cfRule type="expression" dxfId="9612" priority="9730">
      <formula>$H74="non"</formula>
    </cfRule>
  </conditionalFormatting>
  <conditionalFormatting sqref="D73">
    <cfRule type="expression" dxfId="9611" priority="9721">
      <formula>$F73="Formation CCF"</formula>
    </cfRule>
    <cfRule type="expression" dxfId="9610" priority="9722">
      <formula>$F73="Direction"</formula>
    </cfRule>
    <cfRule type="expression" dxfId="9609" priority="9723">
      <formula>$F73="Ventes Sicli"</formula>
    </cfRule>
    <cfRule type="expression" dxfId="9608" priority="9724">
      <formula>$F73="Ventes Chubb"</formula>
    </cfRule>
    <cfRule type="expression" dxfId="9607" priority="9725">
      <formula>$F73="SAV Sicli"</formula>
    </cfRule>
    <cfRule type="expression" dxfId="9606" priority="9726">
      <formula>$F73="SAV Chubb"</formula>
    </cfRule>
    <cfRule type="expression" dxfId="9605" priority="9727">
      <formula>$F73="Réalisation"</formula>
    </cfRule>
    <cfRule type="expression" dxfId="9604" priority="9728">
      <formula>$F73="Désenfumage"</formula>
    </cfRule>
    <cfRule type="expression" dxfId="9603" priority="9729">
      <formula>$F73="Administratif"</formula>
    </cfRule>
  </conditionalFormatting>
  <conditionalFormatting sqref="D73">
    <cfRule type="expression" dxfId="9602" priority="9720">
      <formula>$H73="non"</formula>
    </cfRule>
  </conditionalFormatting>
  <conditionalFormatting sqref="D74">
    <cfRule type="expression" dxfId="9601" priority="9711">
      <formula>$F74="Formation CCF"</formula>
    </cfRule>
    <cfRule type="expression" dxfId="9600" priority="9712">
      <formula>$F74="Direction"</formula>
    </cfRule>
    <cfRule type="expression" dxfId="9599" priority="9713">
      <formula>$F74="Ventes Sicli"</formula>
    </cfRule>
    <cfRule type="expression" dxfId="9598" priority="9714">
      <formula>$F74="Ventes Chubb"</formula>
    </cfRule>
    <cfRule type="expression" dxfId="9597" priority="9715">
      <formula>$F74="SAV Sicli"</formula>
    </cfRule>
    <cfRule type="expression" dxfId="9596" priority="9716">
      <formula>$F74="SAV Chubb"</formula>
    </cfRule>
    <cfRule type="expression" dxfId="9595" priority="9717">
      <formula>$F74="Réalisation"</formula>
    </cfRule>
    <cfRule type="expression" dxfId="9594" priority="9718">
      <formula>$F74="Désenfumage"</formula>
    </cfRule>
    <cfRule type="expression" dxfId="9593" priority="9719">
      <formula>$F74="Administratif"</formula>
    </cfRule>
  </conditionalFormatting>
  <conditionalFormatting sqref="D74">
    <cfRule type="expression" dxfId="9592" priority="9710">
      <formula>$H74="non"</formula>
    </cfRule>
  </conditionalFormatting>
  <conditionalFormatting sqref="D73">
    <cfRule type="expression" dxfId="9591" priority="9701">
      <formula>$F73="Formation CCF"</formula>
    </cfRule>
    <cfRule type="expression" dxfId="9590" priority="9702">
      <formula>$F73="Direction"</formula>
    </cfRule>
    <cfRule type="expression" dxfId="9589" priority="9703">
      <formula>$F73="Ventes Sicli"</formula>
    </cfRule>
    <cfRule type="expression" dxfId="9588" priority="9704">
      <formula>$F73="Ventes Chubb"</formula>
    </cfRule>
    <cfRule type="expression" dxfId="9587" priority="9705">
      <formula>$F73="SAV Sicli"</formula>
    </cfRule>
    <cfRule type="expression" dxfId="9586" priority="9706">
      <formula>$F73="SAV Chubb"</formula>
    </cfRule>
    <cfRule type="expression" dxfId="9585" priority="9707">
      <formula>$F73="Réalisation"</formula>
    </cfRule>
    <cfRule type="expression" dxfId="9584" priority="9708">
      <formula>$F73="Désenfumage"</formula>
    </cfRule>
    <cfRule type="expression" dxfId="9583" priority="9709">
      <formula>$F73="Administratif"</formula>
    </cfRule>
  </conditionalFormatting>
  <conditionalFormatting sqref="D73">
    <cfRule type="expression" dxfId="9582" priority="9700">
      <formula>$H73="non"</formula>
    </cfRule>
  </conditionalFormatting>
  <conditionalFormatting sqref="D74">
    <cfRule type="expression" dxfId="9581" priority="9691">
      <formula>$F74="Formation CCF"</formula>
    </cfRule>
    <cfRule type="expression" dxfId="9580" priority="9692">
      <formula>$F74="Direction"</formula>
    </cfRule>
    <cfRule type="expression" dxfId="9579" priority="9693">
      <formula>$F74="Ventes Sicli"</formula>
    </cfRule>
    <cfRule type="expression" dxfId="9578" priority="9694">
      <formula>$F74="Ventes Chubb"</formula>
    </cfRule>
    <cfRule type="expression" dxfId="9577" priority="9695">
      <formula>$F74="SAV Sicli"</formula>
    </cfRule>
    <cfRule type="expression" dxfId="9576" priority="9696">
      <formula>$F74="SAV Chubb"</formula>
    </cfRule>
    <cfRule type="expression" dxfId="9575" priority="9697">
      <formula>$F74="Réalisation"</formula>
    </cfRule>
    <cfRule type="expression" dxfId="9574" priority="9698">
      <formula>$F74="Désenfumage"</formula>
    </cfRule>
    <cfRule type="expression" dxfId="9573" priority="9699">
      <formula>$F74="Administratif"</formula>
    </cfRule>
  </conditionalFormatting>
  <conditionalFormatting sqref="D74">
    <cfRule type="expression" dxfId="9572" priority="9690">
      <formula>$H74="non"</formula>
    </cfRule>
  </conditionalFormatting>
  <conditionalFormatting sqref="D73">
    <cfRule type="expression" dxfId="9571" priority="9681">
      <formula>$F73="Formation CCF"</formula>
    </cfRule>
    <cfRule type="expression" dxfId="9570" priority="9682">
      <formula>$F73="Direction"</formula>
    </cfRule>
    <cfRule type="expression" dxfId="9569" priority="9683">
      <formula>$F73="Ventes Sicli"</formula>
    </cfRule>
    <cfRule type="expression" dxfId="9568" priority="9684">
      <formula>$F73="Ventes Chubb"</formula>
    </cfRule>
    <cfRule type="expression" dxfId="9567" priority="9685">
      <formula>$F73="SAV Sicli"</formula>
    </cfRule>
    <cfRule type="expression" dxfId="9566" priority="9686">
      <formula>$F73="SAV Chubb"</formula>
    </cfRule>
    <cfRule type="expression" dxfId="9565" priority="9687">
      <formula>$F73="Réalisation"</formula>
    </cfRule>
    <cfRule type="expression" dxfId="9564" priority="9688">
      <formula>$F73="Désenfumage"</formula>
    </cfRule>
    <cfRule type="expression" dxfId="9563" priority="9689">
      <formula>$F73="Administratif"</formula>
    </cfRule>
  </conditionalFormatting>
  <conditionalFormatting sqref="D73">
    <cfRule type="expression" dxfId="9562" priority="9680">
      <formula>$H73="non"</formula>
    </cfRule>
  </conditionalFormatting>
  <conditionalFormatting sqref="D74">
    <cfRule type="expression" dxfId="9561" priority="9671">
      <formula>$F74="Formation CCF"</formula>
    </cfRule>
    <cfRule type="expression" dxfId="9560" priority="9672">
      <formula>$F74="Direction"</formula>
    </cfRule>
    <cfRule type="expression" dxfId="9559" priority="9673">
      <formula>$F74="Ventes Sicli"</formula>
    </cfRule>
    <cfRule type="expression" dxfId="9558" priority="9674">
      <formula>$F74="Ventes Chubb"</formula>
    </cfRule>
    <cfRule type="expression" dxfId="9557" priority="9675">
      <formula>$F74="SAV Sicli"</formula>
    </cfRule>
    <cfRule type="expression" dxfId="9556" priority="9676">
      <formula>$F74="SAV Chubb"</formula>
    </cfRule>
    <cfRule type="expression" dxfId="9555" priority="9677">
      <formula>$F74="Réalisation"</formula>
    </cfRule>
    <cfRule type="expression" dxfId="9554" priority="9678">
      <formula>$F74="Désenfumage"</formula>
    </cfRule>
    <cfRule type="expression" dxfId="9553" priority="9679">
      <formula>$F74="Administratif"</formula>
    </cfRule>
  </conditionalFormatting>
  <conditionalFormatting sqref="D74">
    <cfRule type="expression" dxfId="9552" priority="9670">
      <formula>$H74="non"</formula>
    </cfRule>
  </conditionalFormatting>
  <conditionalFormatting sqref="D73">
    <cfRule type="expression" dxfId="9551" priority="9661">
      <formula>$F73="Formation CCF"</formula>
    </cfRule>
    <cfRule type="expression" dxfId="9550" priority="9662">
      <formula>$F73="Direction"</formula>
    </cfRule>
    <cfRule type="expression" dxfId="9549" priority="9663">
      <formula>$F73="Ventes Sicli"</formula>
    </cfRule>
    <cfRule type="expression" dxfId="9548" priority="9664">
      <formula>$F73="Ventes Chubb"</formula>
    </cfRule>
    <cfRule type="expression" dxfId="9547" priority="9665">
      <formula>$F73="SAV Sicli"</formula>
    </cfRule>
    <cfRule type="expression" dxfId="9546" priority="9666">
      <formula>$F73="SAV Chubb"</formula>
    </cfRule>
    <cfRule type="expression" dxfId="9545" priority="9667">
      <formula>$F73="Réalisation"</formula>
    </cfRule>
    <cfRule type="expression" dxfId="9544" priority="9668">
      <formula>$F73="Désenfumage"</formula>
    </cfRule>
    <cfRule type="expression" dxfId="9543" priority="9669">
      <formula>$F73="Administratif"</formula>
    </cfRule>
  </conditionalFormatting>
  <conditionalFormatting sqref="D73">
    <cfRule type="expression" dxfId="9542" priority="9660">
      <formula>$H73="non"</formula>
    </cfRule>
  </conditionalFormatting>
  <conditionalFormatting sqref="C74:D74">
    <cfRule type="expression" dxfId="9541" priority="9651">
      <formula>$F74="Formation CCF"</formula>
    </cfRule>
    <cfRule type="expression" dxfId="9540" priority="9652">
      <formula>$F74="Direction"</formula>
    </cfRule>
    <cfRule type="expression" dxfId="9539" priority="9653">
      <formula>$F74="Ventes Sicli"</formula>
    </cfRule>
    <cfRule type="expression" dxfId="9538" priority="9654">
      <formula>$F74="Ventes Chubb"</formula>
    </cfRule>
    <cfRule type="expression" dxfId="9537" priority="9655">
      <formula>$F74="SAV Sicli"</formula>
    </cfRule>
    <cfRule type="expression" dxfId="9536" priority="9656">
      <formula>$F74="SAV Chubb"</formula>
    </cfRule>
    <cfRule type="expression" dxfId="9535" priority="9657">
      <formula>$F74="Réalisation"</formula>
    </cfRule>
    <cfRule type="expression" dxfId="9534" priority="9658">
      <formula>$F74="Désenfumage"</formula>
    </cfRule>
    <cfRule type="expression" dxfId="9533" priority="9659">
      <formula>$F74="Administratif"</formula>
    </cfRule>
  </conditionalFormatting>
  <conditionalFormatting sqref="C74:D74">
    <cfRule type="expression" dxfId="9532" priority="9650">
      <formula>$H74="non"</formula>
    </cfRule>
  </conditionalFormatting>
  <conditionalFormatting sqref="C73:D73">
    <cfRule type="expression" dxfId="9531" priority="9641">
      <formula>$F73="Formation CCF"</formula>
    </cfRule>
    <cfRule type="expression" dxfId="9530" priority="9642">
      <formula>$F73="Direction"</formula>
    </cfRule>
    <cfRule type="expression" dxfId="9529" priority="9643">
      <formula>$F73="Ventes Sicli"</formula>
    </cfRule>
    <cfRule type="expression" dxfId="9528" priority="9644">
      <formula>$F73="Ventes Chubb"</formula>
    </cfRule>
    <cfRule type="expression" dxfId="9527" priority="9645">
      <formula>$F73="SAV Sicli"</formula>
    </cfRule>
    <cfRule type="expression" dxfId="9526" priority="9646">
      <formula>$F73="SAV Chubb"</formula>
    </cfRule>
    <cfRule type="expression" dxfId="9525" priority="9647">
      <formula>$F73="Réalisation"</formula>
    </cfRule>
    <cfRule type="expression" dxfId="9524" priority="9648">
      <formula>$F73="Désenfumage"</formula>
    </cfRule>
    <cfRule type="expression" dxfId="9523" priority="9649">
      <formula>$F73="Administratif"</formula>
    </cfRule>
  </conditionalFormatting>
  <conditionalFormatting sqref="C73:D73">
    <cfRule type="expression" dxfId="9522" priority="9640">
      <formula>$H73="non"</formula>
    </cfRule>
  </conditionalFormatting>
  <conditionalFormatting sqref="C74:D74">
    <cfRule type="expression" dxfId="9521" priority="9631">
      <formula>$F74="Formation CCF"</formula>
    </cfRule>
    <cfRule type="expression" dxfId="9520" priority="9632">
      <formula>$F74="Direction"</formula>
    </cfRule>
    <cfRule type="expression" dxfId="9519" priority="9633">
      <formula>$F74="Ventes Sicli"</formula>
    </cfRule>
    <cfRule type="expression" dxfId="9518" priority="9634">
      <formula>$F74="Ventes Chubb"</formula>
    </cfRule>
    <cfRule type="expression" dxfId="9517" priority="9635">
      <formula>$F74="SAV Sicli"</formula>
    </cfRule>
    <cfRule type="expression" dxfId="9516" priority="9636">
      <formula>$F74="SAV Chubb"</formula>
    </cfRule>
    <cfRule type="expression" dxfId="9515" priority="9637">
      <formula>$F74="Réalisation"</formula>
    </cfRule>
    <cfRule type="expression" dxfId="9514" priority="9638">
      <formula>$F74="Désenfumage"</formula>
    </cfRule>
    <cfRule type="expression" dxfId="9513" priority="9639">
      <formula>$F74="Administratif"</formula>
    </cfRule>
  </conditionalFormatting>
  <conditionalFormatting sqref="C74:D74">
    <cfRule type="expression" dxfId="9512" priority="9630">
      <formula>$H74="non"</formula>
    </cfRule>
  </conditionalFormatting>
  <conditionalFormatting sqref="C73:D73">
    <cfRule type="expression" dxfId="9511" priority="9621">
      <formula>$F73="Formation CCF"</formula>
    </cfRule>
    <cfRule type="expression" dxfId="9510" priority="9622">
      <formula>$F73="Direction"</formula>
    </cfRule>
    <cfRule type="expression" dxfId="9509" priority="9623">
      <formula>$F73="Ventes Sicli"</formula>
    </cfRule>
    <cfRule type="expression" dxfId="9508" priority="9624">
      <formula>$F73="Ventes Chubb"</formula>
    </cfRule>
    <cfRule type="expression" dxfId="9507" priority="9625">
      <formula>$F73="SAV Sicli"</formula>
    </cfRule>
    <cfRule type="expression" dxfId="9506" priority="9626">
      <formula>$F73="SAV Chubb"</formula>
    </cfRule>
    <cfRule type="expression" dxfId="9505" priority="9627">
      <formula>$F73="Réalisation"</formula>
    </cfRule>
    <cfRule type="expression" dxfId="9504" priority="9628">
      <formula>$F73="Désenfumage"</formula>
    </cfRule>
    <cfRule type="expression" dxfId="9503" priority="9629">
      <formula>$F73="Administratif"</formula>
    </cfRule>
  </conditionalFormatting>
  <conditionalFormatting sqref="C73:D73">
    <cfRule type="expression" dxfId="9502" priority="9620">
      <formula>$H73="non"</formula>
    </cfRule>
  </conditionalFormatting>
  <conditionalFormatting sqref="C74:D74">
    <cfRule type="expression" dxfId="9501" priority="9611">
      <formula>$F74="Formation CCF"</formula>
    </cfRule>
    <cfRule type="expression" dxfId="9500" priority="9612">
      <formula>$F74="Direction"</formula>
    </cfRule>
    <cfRule type="expression" dxfId="9499" priority="9613">
      <formula>$F74="Ventes Sicli"</formula>
    </cfRule>
    <cfRule type="expression" dxfId="9498" priority="9614">
      <formula>$F74="Ventes Chubb"</formula>
    </cfRule>
    <cfRule type="expression" dxfId="9497" priority="9615">
      <formula>$F74="SAV Sicli"</formula>
    </cfRule>
    <cfRule type="expression" dxfId="9496" priority="9616">
      <formula>$F74="SAV Chubb"</formula>
    </cfRule>
    <cfRule type="expression" dxfId="9495" priority="9617">
      <formula>$F74="Réalisation"</formula>
    </cfRule>
    <cfRule type="expression" dxfId="9494" priority="9618">
      <formula>$F74="Désenfumage"</formula>
    </cfRule>
    <cfRule type="expression" dxfId="9493" priority="9619">
      <formula>$F74="Administratif"</formula>
    </cfRule>
  </conditionalFormatting>
  <conditionalFormatting sqref="C74:D74">
    <cfRule type="expression" dxfId="9492" priority="9610">
      <formula>$H74="non"</formula>
    </cfRule>
  </conditionalFormatting>
  <conditionalFormatting sqref="C73:D73">
    <cfRule type="expression" dxfId="9491" priority="9601">
      <formula>$F73="Formation CCF"</formula>
    </cfRule>
    <cfRule type="expression" dxfId="9490" priority="9602">
      <formula>$F73="Direction"</formula>
    </cfRule>
    <cfRule type="expression" dxfId="9489" priority="9603">
      <formula>$F73="Ventes Sicli"</formula>
    </cfRule>
    <cfRule type="expression" dxfId="9488" priority="9604">
      <formula>$F73="Ventes Chubb"</formula>
    </cfRule>
    <cfRule type="expression" dxfId="9487" priority="9605">
      <formula>$F73="SAV Sicli"</formula>
    </cfRule>
    <cfRule type="expression" dxfId="9486" priority="9606">
      <formula>$F73="SAV Chubb"</formula>
    </cfRule>
    <cfRule type="expression" dxfId="9485" priority="9607">
      <formula>$F73="Réalisation"</formula>
    </cfRule>
    <cfRule type="expression" dxfId="9484" priority="9608">
      <formula>$F73="Désenfumage"</formula>
    </cfRule>
    <cfRule type="expression" dxfId="9483" priority="9609">
      <formula>$F73="Administratif"</formula>
    </cfRule>
  </conditionalFormatting>
  <conditionalFormatting sqref="C73:D73">
    <cfRule type="expression" dxfId="9482" priority="9600">
      <formula>$H73="non"</formula>
    </cfRule>
  </conditionalFormatting>
  <conditionalFormatting sqref="C73:D73">
    <cfRule type="expression" dxfId="9481" priority="9591">
      <formula>$F73="Formation CCF"</formula>
    </cfRule>
    <cfRule type="expression" dxfId="9480" priority="9592">
      <formula>$F73="Direction"</formula>
    </cfRule>
    <cfRule type="expression" dxfId="9479" priority="9593">
      <formula>$F73="Ventes Sicli"</formula>
    </cfRule>
    <cfRule type="expression" dxfId="9478" priority="9594">
      <formula>$F73="Ventes Chubb"</formula>
    </cfRule>
    <cfRule type="expression" dxfId="9477" priority="9595">
      <formula>$F73="SAV Sicli"</formula>
    </cfRule>
    <cfRule type="expression" dxfId="9476" priority="9596">
      <formula>$F73="SAV Chubb"</formula>
    </cfRule>
    <cfRule type="expression" dxfId="9475" priority="9597">
      <formula>$F73="Réalisation"</formula>
    </cfRule>
    <cfRule type="expression" dxfId="9474" priority="9598">
      <formula>$F73="Désenfumage"</formula>
    </cfRule>
    <cfRule type="expression" dxfId="9473" priority="9599">
      <formula>$F73="Administratif"</formula>
    </cfRule>
  </conditionalFormatting>
  <conditionalFormatting sqref="C73:D73">
    <cfRule type="expression" dxfId="9472" priority="9590">
      <formula>$H73="non"</formula>
    </cfRule>
  </conditionalFormatting>
  <conditionalFormatting sqref="D74">
    <cfRule type="expression" dxfId="9471" priority="9581">
      <formula>$F74="Formation CCF"</formula>
    </cfRule>
    <cfRule type="expression" dxfId="9470" priority="9582">
      <formula>$F74="Direction"</formula>
    </cfRule>
    <cfRule type="expression" dxfId="9469" priority="9583">
      <formula>$F74="Ventes Sicli"</formula>
    </cfRule>
    <cfRule type="expression" dxfId="9468" priority="9584">
      <formula>$F74="Ventes Chubb"</formula>
    </cfRule>
    <cfRule type="expression" dxfId="9467" priority="9585">
      <formula>$F74="SAV Sicli"</formula>
    </cfRule>
    <cfRule type="expression" dxfId="9466" priority="9586">
      <formula>$F74="SAV Chubb"</formula>
    </cfRule>
    <cfRule type="expression" dxfId="9465" priority="9587">
      <formula>$F74="Réalisation"</formula>
    </cfRule>
    <cfRule type="expression" dxfId="9464" priority="9588">
      <formula>$F74="Désenfumage"</formula>
    </cfRule>
    <cfRule type="expression" dxfId="9463" priority="9589">
      <formula>$F74="Administratif"</formula>
    </cfRule>
  </conditionalFormatting>
  <conditionalFormatting sqref="D74">
    <cfRule type="expression" dxfId="9462" priority="9580">
      <formula>$H74="non"</formula>
    </cfRule>
  </conditionalFormatting>
  <conditionalFormatting sqref="D73">
    <cfRule type="expression" dxfId="9461" priority="9571">
      <formula>$F73="Formation CCF"</formula>
    </cfRule>
    <cfRule type="expression" dxfId="9460" priority="9572">
      <formula>$F73="Direction"</formula>
    </cfRule>
    <cfRule type="expression" dxfId="9459" priority="9573">
      <formula>$F73="Ventes Sicli"</formula>
    </cfRule>
    <cfRule type="expression" dxfId="9458" priority="9574">
      <formula>$F73="Ventes Chubb"</formula>
    </cfRule>
    <cfRule type="expression" dxfId="9457" priority="9575">
      <formula>$F73="SAV Sicli"</formula>
    </cfRule>
    <cfRule type="expression" dxfId="9456" priority="9576">
      <formula>$F73="SAV Chubb"</formula>
    </cfRule>
    <cfRule type="expression" dxfId="9455" priority="9577">
      <formula>$F73="Réalisation"</formula>
    </cfRule>
    <cfRule type="expression" dxfId="9454" priority="9578">
      <formula>$F73="Désenfumage"</formula>
    </cfRule>
    <cfRule type="expression" dxfId="9453" priority="9579">
      <formula>$F73="Administratif"</formula>
    </cfRule>
  </conditionalFormatting>
  <conditionalFormatting sqref="D73">
    <cfRule type="expression" dxfId="9452" priority="9570">
      <formula>$H73="non"</formula>
    </cfRule>
  </conditionalFormatting>
  <conditionalFormatting sqref="D74">
    <cfRule type="expression" dxfId="9451" priority="9561">
      <formula>$F74="Formation CCF"</formula>
    </cfRule>
    <cfRule type="expression" dxfId="9450" priority="9562">
      <formula>$F74="Direction"</formula>
    </cfRule>
    <cfRule type="expression" dxfId="9449" priority="9563">
      <formula>$F74="Ventes Sicli"</formula>
    </cfRule>
    <cfRule type="expression" dxfId="9448" priority="9564">
      <formula>$F74="Ventes Chubb"</formula>
    </cfRule>
    <cfRule type="expression" dxfId="9447" priority="9565">
      <formula>$F74="SAV Sicli"</formula>
    </cfRule>
    <cfRule type="expression" dxfId="9446" priority="9566">
      <formula>$F74="SAV Chubb"</formula>
    </cfRule>
    <cfRule type="expression" dxfId="9445" priority="9567">
      <formula>$F74="Réalisation"</formula>
    </cfRule>
    <cfRule type="expression" dxfId="9444" priority="9568">
      <formula>$F74="Désenfumage"</formula>
    </cfRule>
    <cfRule type="expression" dxfId="9443" priority="9569">
      <formula>$F74="Administratif"</formula>
    </cfRule>
  </conditionalFormatting>
  <conditionalFormatting sqref="D74">
    <cfRule type="expression" dxfId="9442" priority="9560">
      <formula>$H74="non"</formula>
    </cfRule>
  </conditionalFormatting>
  <conditionalFormatting sqref="D73">
    <cfRule type="expression" dxfId="9441" priority="9551">
      <formula>$F73="Formation CCF"</formula>
    </cfRule>
    <cfRule type="expression" dxfId="9440" priority="9552">
      <formula>$F73="Direction"</formula>
    </cfRule>
    <cfRule type="expression" dxfId="9439" priority="9553">
      <formula>$F73="Ventes Sicli"</formula>
    </cfRule>
    <cfRule type="expression" dxfId="9438" priority="9554">
      <formula>$F73="Ventes Chubb"</formula>
    </cfRule>
    <cfRule type="expression" dxfId="9437" priority="9555">
      <formula>$F73="SAV Sicli"</formula>
    </cfRule>
    <cfRule type="expression" dxfId="9436" priority="9556">
      <formula>$F73="SAV Chubb"</formula>
    </cfRule>
    <cfRule type="expression" dxfId="9435" priority="9557">
      <formula>$F73="Réalisation"</formula>
    </cfRule>
    <cfRule type="expression" dxfId="9434" priority="9558">
      <formula>$F73="Désenfumage"</formula>
    </cfRule>
    <cfRule type="expression" dxfId="9433" priority="9559">
      <formula>$F73="Administratif"</formula>
    </cfRule>
  </conditionalFormatting>
  <conditionalFormatting sqref="D73">
    <cfRule type="expression" dxfId="9432" priority="9550">
      <formula>$H73="non"</formula>
    </cfRule>
  </conditionalFormatting>
  <conditionalFormatting sqref="D74">
    <cfRule type="expression" dxfId="9431" priority="9541">
      <formula>$F74="Formation CCF"</formula>
    </cfRule>
    <cfRule type="expression" dxfId="9430" priority="9542">
      <formula>$F74="Direction"</formula>
    </cfRule>
    <cfRule type="expression" dxfId="9429" priority="9543">
      <formula>$F74="Ventes Sicli"</formula>
    </cfRule>
    <cfRule type="expression" dxfId="9428" priority="9544">
      <formula>$F74="Ventes Chubb"</formula>
    </cfRule>
    <cfRule type="expression" dxfId="9427" priority="9545">
      <formula>$F74="SAV Sicli"</formula>
    </cfRule>
    <cfRule type="expression" dxfId="9426" priority="9546">
      <formula>$F74="SAV Chubb"</formula>
    </cfRule>
    <cfRule type="expression" dxfId="9425" priority="9547">
      <formula>$F74="Réalisation"</formula>
    </cfRule>
    <cfRule type="expression" dxfId="9424" priority="9548">
      <formula>$F74="Désenfumage"</formula>
    </cfRule>
    <cfRule type="expression" dxfId="9423" priority="9549">
      <formula>$F74="Administratif"</formula>
    </cfRule>
  </conditionalFormatting>
  <conditionalFormatting sqref="D74">
    <cfRule type="expression" dxfId="9422" priority="9540">
      <formula>$H74="non"</formula>
    </cfRule>
  </conditionalFormatting>
  <conditionalFormatting sqref="D73">
    <cfRule type="expression" dxfId="9421" priority="9531">
      <formula>$F73="Formation CCF"</formula>
    </cfRule>
    <cfRule type="expression" dxfId="9420" priority="9532">
      <formula>$F73="Direction"</formula>
    </cfRule>
    <cfRule type="expression" dxfId="9419" priority="9533">
      <formula>$F73="Ventes Sicli"</formula>
    </cfRule>
    <cfRule type="expression" dxfId="9418" priority="9534">
      <formula>$F73="Ventes Chubb"</formula>
    </cfRule>
    <cfRule type="expression" dxfId="9417" priority="9535">
      <formula>$F73="SAV Sicli"</formula>
    </cfRule>
    <cfRule type="expression" dxfId="9416" priority="9536">
      <formula>$F73="SAV Chubb"</formula>
    </cfRule>
    <cfRule type="expression" dxfId="9415" priority="9537">
      <formula>$F73="Réalisation"</formula>
    </cfRule>
    <cfRule type="expression" dxfId="9414" priority="9538">
      <formula>$F73="Désenfumage"</formula>
    </cfRule>
    <cfRule type="expression" dxfId="9413" priority="9539">
      <formula>$F73="Administratif"</formula>
    </cfRule>
  </conditionalFormatting>
  <conditionalFormatting sqref="D73">
    <cfRule type="expression" dxfId="9412" priority="9530">
      <formula>$H73="non"</formula>
    </cfRule>
  </conditionalFormatting>
  <conditionalFormatting sqref="D74">
    <cfRule type="expression" dxfId="9411" priority="9521">
      <formula>$F74="Formation CCF"</formula>
    </cfRule>
    <cfRule type="expression" dxfId="9410" priority="9522">
      <formula>$F74="Direction"</formula>
    </cfRule>
    <cfRule type="expression" dxfId="9409" priority="9523">
      <formula>$F74="Ventes Sicli"</formula>
    </cfRule>
    <cfRule type="expression" dxfId="9408" priority="9524">
      <formula>$F74="Ventes Chubb"</formula>
    </cfRule>
    <cfRule type="expression" dxfId="9407" priority="9525">
      <formula>$F74="SAV Sicli"</formula>
    </cfRule>
    <cfRule type="expression" dxfId="9406" priority="9526">
      <formula>$F74="SAV Chubb"</formula>
    </cfRule>
    <cfRule type="expression" dxfId="9405" priority="9527">
      <formula>$F74="Réalisation"</formula>
    </cfRule>
    <cfRule type="expression" dxfId="9404" priority="9528">
      <formula>$F74="Désenfumage"</formula>
    </cfRule>
    <cfRule type="expression" dxfId="9403" priority="9529">
      <formula>$F74="Administratif"</formula>
    </cfRule>
  </conditionalFormatting>
  <conditionalFormatting sqref="D74">
    <cfRule type="expression" dxfId="9402" priority="9520">
      <formula>$H74="non"</formula>
    </cfRule>
  </conditionalFormatting>
  <conditionalFormatting sqref="D73">
    <cfRule type="expression" dxfId="9401" priority="9511">
      <formula>$F73="Formation CCF"</formula>
    </cfRule>
    <cfRule type="expression" dxfId="9400" priority="9512">
      <formula>$F73="Direction"</formula>
    </cfRule>
    <cfRule type="expression" dxfId="9399" priority="9513">
      <formula>$F73="Ventes Sicli"</formula>
    </cfRule>
    <cfRule type="expression" dxfId="9398" priority="9514">
      <formula>$F73="Ventes Chubb"</formula>
    </cfRule>
    <cfRule type="expression" dxfId="9397" priority="9515">
      <formula>$F73="SAV Sicli"</formula>
    </cfRule>
    <cfRule type="expression" dxfId="9396" priority="9516">
      <formula>$F73="SAV Chubb"</formula>
    </cfRule>
    <cfRule type="expression" dxfId="9395" priority="9517">
      <formula>$F73="Réalisation"</formula>
    </cfRule>
    <cfRule type="expression" dxfId="9394" priority="9518">
      <formula>$F73="Désenfumage"</formula>
    </cfRule>
    <cfRule type="expression" dxfId="9393" priority="9519">
      <formula>$F73="Administratif"</formula>
    </cfRule>
  </conditionalFormatting>
  <conditionalFormatting sqref="D73">
    <cfRule type="expression" dxfId="9392" priority="9510">
      <formula>$H73="non"</formula>
    </cfRule>
  </conditionalFormatting>
  <conditionalFormatting sqref="C79:D108">
    <cfRule type="expression" dxfId="9391" priority="9501">
      <formula>$F79="Formation CCF"</formula>
    </cfRule>
    <cfRule type="expression" dxfId="9390" priority="9502">
      <formula>$F79="Direction"</formula>
    </cfRule>
    <cfRule type="expression" dxfId="9389" priority="9503">
      <formula>$F79="Ventes Sicli"</formula>
    </cfRule>
    <cfRule type="expression" dxfId="9388" priority="9504">
      <formula>$F79="Ventes Chubb"</formula>
    </cfRule>
    <cfRule type="expression" dxfId="9387" priority="9505">
      <formula>$F79="SAV Sicli"</formula>
    </cfRule>
    <cfRule type="expression" dxfId="9386" priority="9506">
      <formula>$F79="SAV Chubb"</formula>
    </cfRule>
    <cfRule type="expression" dxfId="9385" priority="9507">
      <formula>$F79="Réalisation"</formula>
    </cfRule>
    <cfRule type="expression" dxfId="9384" priority="9508">
      <formula>$F79="Désenfumage"</formula>
    </cfRule>
    <cfRule type="expression" dxfId="9383" priority="9509">
      <formula>$F79="Administratif"</formula>
    </cfRule>
  </conditionalFormatting>
  <conditionalFormatting sqref="C79:D108">
    <cfRule type="expression" dxfId="9382" priority="9500">
      <formula>$H79="non"</formula>
    </cfRule>
  </conditionalFormatting>
  <conditionalFormatting sqref="C91:D91">
    <cfRule type="expression" dxfId="9381" priority="9491">
      <formula>$F91="Formation CCF"</formula>
    </cfRule>
    <cfRule type="expression" dxfId="9380" priority="9492">
      <formula>$F91="Direction"</formula>
    </cfRule>
    <cfRule type="expression" dxfId="9379" priority="9493">
      <formula>$F91="Ventes Sicli"</formula>
    </cfRule>
    <cfRule type="expression" dxfId="9378" priority="9494">
      <formula>$F91="Ventes Chubb"</formula>
    </cfRule>
    <cfRule type="expression" dxfId="9377" priority="9495">
      <formula>$F91="SAV Sicli"</formula>
    </cfRule>
    <cfRule type="expression" dxfId="9376" priority="9496">
      <formula>$F91="SAV Chubb"</formula>
    </cfRule>
    <cfRule type="expression" dxfId="9375" priority="9497">
      <formula>$F91="Réalisation"</formula>
    </cfRule>
    <cfRule type="expression" dxfId="9374" priority="9498">
      <formula>$F91="Désenfumage"</formula>
    </cfRule>
    <cfRule type="expression" dxfId="9373" priority="9499">
      <formula>$F91="Administratif"</formula>
    </cfRule>
  </conditionalFormatting>
  <conditionalFormatting sqref="C91:D91">
    <cfRule type="expression" dxfId="9372" priority="9490">
      <formula>$H91="non"</formula>
    </cfRule>
  </conditionalFormatting>
  <conditionalFormatting sqref="C90:D90">
    <cfRule type="expression" dxfId="9371" priority="9481">
      <formula>$F90="Formation CCF"</formula>
    </cfRule>
    <cfRule type="expression" dxfId="9370" priority="9482">
      <formula>$F90="Direction"</formula>
    </cfRule>
    <cfRule type="expression" dxfId="9369" priority="9483">
      <formula>$F90="Ventes Sicli"</formula>
    </cfRule>
    <cfRule type="expression" dxfId="9368" priority="9484">
      <formula>$F90="Ventes Chubb"</formula>
    </cfRule>
    <cfRule type="expression" dxfId="9367" priority="9485">
      <formula>$F90="SAV Sicli"</formula>
    </cfRule>
    <cfRule type="expression" dxfId="9366" priority="9486">
      <formula>$F90="SAV Chubb"</formula>
    </cfRule>
    <cfRule type="expression" dxfId="9365" priority="9487">
      <formula>$F90="Réalisation"</formula>
    </cfRule>
    <cfRule type="expression" dxfId="9364" priority="9488">
      <formula>$F90="Désenfumage"</formula>
    </cfRule>
    <cfRule type="expression" dxfId="9363" priority="9489">
      <formula>$F90="Administratif"</formula>
    </cfRule>
  </conditionalFormatting>
  <conditionalFormatting sqref="C90:D90">
    <cfRule type="expression" dxfId="9362" priority="9480">
      <formula>$H90="non"</formula>
    </cfRule>
  </conditionalFormatting>
  <conditionalFormatting sqref="C89:D89">
    <cfRule type="expression" dxfId="9361" priority="9471">
      <formula>$F89="Formation CCF"</formula>
    </cfRule>
    <cfRule type="expression" dxfId="9360" priority="9472">
      <formula>$F89="Direction"</formula>
    </cfRule>
    <cfRule type="expression" dxfId="9359" priority="9473">
      <formula>$F89="Ventes Sicli"</formula>
    </cfRule>
    <cfRule type="expression" dxfId="9358" priority="9474">
      <formula>$F89="Ventes Chubb"</formula>
    </cfRule>
    <cfRule type="expression" dxfId="9357" priority="9475">
      <formula>$F89="SAV Sicli"</formula>
    </cfRule>
    <cfRule type="expression" dxfId="9356" priority="9476">
      <formula>$F89="SAV Chubb"</formula>
    </cfRule>
    <cfRule type="expression" dxfId="9355" priority="9477">
      <formula>$F89="Réalisation"</formula>
    </cfRule>
    <cfRule type="expression" dxfId="9354" priority="9478">
      <formula>$F89="Désenfumage"</formula>
    </cfRule>
    <cfRule type="expression" dxfId="9353" priority="9479">
      <formula>$F89="Administratif"</formula>
    </cfRule>
  </conditionalFormatting>
  <conditionalFormatting sqref="C89:D89">
    <cfRule type="expression" dxfId="9352" priority="9470">
      <formula>$H89="non"</formula>
    </cfRule>
  </conditionalFormatting>
  <conditionalFormatting sqref="C88:D88">
    <cfRule type="expression" dxfId="9351" priority="9461">
      <formula>$F88="Formation CCF"</formula>
    </cfRule>
    <cfRule type="expression" dxfId="9350" priority="9462">
      <formula>$F88="Direction"</formula>
    </cfRule>
    <cfRule type="expression" dxfId="9349" priority="9463">
      <formula>$F88="Ventes Sicli"</formula>
    </cfRule>
    <cfRule type="expression" dxfId="9348" priority="9464">
      <formula>$F88="Ventes Chubb"</formula>
    </cfRule>
    <cfRule type="expression" dxfId="9347" priority="9465">
      <formula>$F88="SAV Sicli"</formula>
    </cfRule>
    <cfRule type="expression" dxfId="9346" priority="9466">
      <formula>$F88="SAV Chubb"</formula>
    </cfRule>
    <cfRule type="expression" dxfId="9345" priority="9467">
      <formula>$F88="Réalisation"</formula>
    </cfRule>
    <cfRule type="expression" dxfId="9344" priority="9468">
      <formula>$F88="Désenfumage"</formula>
    </cfRule>
    <cfRule type="expression" dxfId="9343" priority="9469">
      <formula>$F88="Administratif"</formula>
    </cfRule>
  </conditionalFormatting>
  <conditionalFormatting sqref="C88:D88">
    <cfRule type="expression" dxfId="9342" priority="9460">
      <formula>$H88="non"</formula>
    </cfRule>
  </conditionalFormatting>
  <conditionalFormatting sqref="C87:D87">
    <cfRule type="expression" dxfId="9341" priority="9451">
      <formula>$F87="Formation CCF"</formula>
    </cfRule>
    <cfRule type="expression" dxfId="9340" priority="9452">
      <formula>$F87="Direction"</formula>
    </cfRule>
    <cfRule type="expression" dxfId="9339" priority="9453">
      <formula>$F87="Ventes Sicli"</formula>
    </cfRule>
    <cfRule type="expression" dxfId="9338" priority="9454">
      <formula>$F87="Ventes Chubb"</formula>
    </cfRule>
    <cfRule type="expression" dxfId="9337" priority="9455">
      <formula>$F87="SAV Sicli"</formula>
    </cfRule>
    <cfRule type="expression" dxfId="9336" priority="9456">
      <formula>$F87="SAV Chubb"</formula>
    </cfRule>
    <cfRule type="expression" dxfId="9335" priority="9457">
      <formula>$F87="Réalisation"</formula>
    </cfRule>
    <cfRule type="expression" dxfId="9334" priority="9458">
      <formula>$F87="Désenfumage"</formula>
    </cfRule>
    <cfRule type="expression" dxfId="9333" priority="9459">
      <formula>$F87="Administratif"</formula>
    </cfRule>
  </conditionalFormatting>
  <conditionalFormatting sqref="C87:D87">
    <cfRule type="expression" dxfId="9332" priority="9450">
      <formula>$H87="non"</formula>
    </cfRule>
  </conditionalFormatting>
  <conditionalFormatting sqref="C86:D86">
    <cfRule type="expression" dxfId="9331" priority="9441">
      <formula>$F86="Formation CCF"</formula>
    </cfRule>
    <cfRule type="expression" dxfId="9330" priority="9442">
      <formula>$F86="Direction"</formula>
    </cfRule>
    <cfRule type="expression" dxfId="9329" priority="9443">
      <formula>$F86="Ventes Sicli"</formula>
    </cfRule>
    <cfRule type="expression" dxfId="9328" priority="9444">
      <formula>$F86="Ventes Chubb"</formula>
    </cfRule>
    <cfRule type="expression" dxfId="9327" priority="9445">
      <formula>$F86="SAV Sicli"</formula>
    </cfRule>
    <cfRule type="expression" dxfId="9326" priority="9446">
      <formula>$F86="SAV Chubb"</formula>
    </cfRule>
    <cfRule type="expression" dxfId="9325" priority="9447">
      <formula>$F86="Réalisation"</formula>
    </cfRule>
    <cfRule type="expression" dxfId="9324" priority="9448">
      <formula>$F86="Désenfumage"</formula>
    </cfRule>
    <cfRule type="expression" dxfId="9323" priority="9449">
      <formula>$F86="Administratif"</formula>
    </cfRule>
  </conditionalFormatting>
  <conditionalFormatting sqref="C86:D86">
    <cfRule type="expression" dxfId="9322" priority="9440">
      <formula>$H86="non"</formula>
    </cfRule>
  </conditionalFormatting>
  <conditionalFormatting sqref="C85:D85">
    <cfRule type="expression" dxfId="9321" priority="9431">
      <formula>$F85="Formation CCF"</formula>
    </cfRule>
    <cfRule type="expression" dxfId="9320" priority="9432">
      <formula>$F85="Direction"</formula>
    </cfRule>
    <cfRule type="expression" dxfId="9319" priority="9433">
      <formula>$F85="Ventes Sicli"</formula>
    </cfRule>
    <cfRule type="expression" dxfId="9318" priority="9434">
      <formula>$F85="Ventes Chubb"</formula>
    </cfRule>
    <cfRule type="expression" dxfId="9317" priority="9435">
      <formula>$F85="SAV Sicli"</formula>
    </cfRule>
    <cfRule type="expression" dxfId="9316" priority="9436">
      <formula>$F85="SAV Chubb"</formula>
    </cfRule>
    <cfRule type="expression" dxfId="9315" priority="9437">
      <formula>$F85="Réalisation"</formula>
    </cfRule>
    <cfRule type="expression" dxfId="9314" priority="9438">
      <formula>$F85="Désenfumage"</formula>
    </cfRule>
    <cfRule type="expression" dxfId="9313" priority="9439">
      <formula>$F85="Administratif"</formula>
    </cfRule>
  </conditionalFormatting>
  <conditionalFormatting sqref="C85:D85">
    <cfRule type="expression" dxfId="9312" priority="9430">
      <formula>$H85="non"</formula>
    </cfRule>
  </conditionalFormatting>
  <conditionalFormatting sqref="C84:D84">
    <cfRule type="expression" dxfId="9311" priority="9421">
      <formula>$F84="Formation CCF"</formula>
    </cfRule>
    <cfRule type="expression" dxfId="9310" priority="9422">
      <formula>$F84="Direction"</formula>
    </cfRule>
    <cfRule type="expression" dxfId="9309" priority="9423">
      <formula>$F84="Ventes Sicli"</formula>
    </cfRule>
    <cfRule type="expression" dxfId="9308" priority="9424">
      <formula>$F84="Ventes Chubb"</formula>
    </cfRule>
    <cfRule type="expression" dxfId="9307" priority="9425">
      <formula>$F84="SAV Sicli"</formula>
    </cfRule>
    <cfRule type="expression" dxfId="9306" priority="9426">
      <formula>$F84="SAV Chubb"</formula>
    </cfRule>
    <cfRule type="expression" dxfId="9305" priority="9427">
      <formula>$F84="Réalisation"</formula>
    </cfRule>
    <cfRule type="expression" dxfId="9304" priority="9428">
      <formula>$F84="Désenfumage"</formula>
    </cfRule>
    <cfRule type="expression" dxfId="9303" priority="9429">
      <formula>$F84="Administratif"</formula>
    </cfRule>
  </conditionalFormatting>
  <conditionalFormatting sqref="C84:D84">
    <cfRule type="expression" dxfId="9302" priority="9420">
      <formula>$H84="non"</formula>
    </cfRule>
  </conditionalFormatting>
  <conditionalFormatting sqref="C97:D101 C81:D88 C76:C80 C89:C96">
    <cfRule type="expression" dxfId="9301" priority="9411">
      <formula>$F76="Formation CCF"</formula>
    </cfRule>
    <cfRule type="expression" dxfId="9300" priority="9412">
      <formula>$F76="Direction"</formula>
    </cfRule>
    <cfRule type="expression" dxfId="9299" priority="9413">
      <formula>$F76="Ventes Sicli"</formula>
    </cfRule>
    <cfRule type="expression" dxfId="9298" priority="9414">
      <formula>$F76="Ventes Chubb"</formula>
    </cfRule>
    <cfRule type="expression" dxfId="9297" priority="9415">
      <formula>$F76="SAV Sicli"</formula>
    </cfRule>
    <cfRule type="expression" dxfId="9296" priority="9416">
      <formula>$F76="SAV Chubb"</formula>
    </cfRule>
    <cfRule type="expression" dxfId="9295" priority="9417">
      <formula>$F76="Réalisation"</formula>
    </cfRule>
    <cfRule type="expression" dxfId="9294" priority="9418">
      <formula>$F76="Désenfumage"</formula>
    </cfRule>
    <cfRule type="expression" dxfId="9293" priority="9419">
      <formula>$F76="Administratif"</formula>
    </cfRule>
  </conditionalFormatting>
  <conditionalFormatting sqref="C97:D101 C81:D88 C76:C80 C89:C96">
    <cfRule type="expression" dxfId="9292" priority="9410">
      <formula>$H76="non"</formula>
    </cfRule>
  </conditionalFormatting>
  <conditionalFormatting sqref="D82">
    <cfRule type="expression" dxfId="9291" priority="9401">
      <formula>$F82="Formation CCF"</formula>
    </cfRule>
    <cfRule type="expression" dxfId="9290" priority="9402">
      <formula>$F82="Direction"</formula>
    </cfRule>
    <cfRule type="expression" dxfId="9289" priority="9403">
      <formula>$F82="Ventes Sicli"</formula>
    </cfRule>
    <cfRule type="expression" dxfId="9288" priority="9404">
      <formula>$F82="Ventes Chubb"</formula>
    </cfRule>
    <cfRule type="expression" dxfId="9287" priority="9405">
      <formula>$F82="SAV Sicli"</formula>
    </cfRule>
    <cfRule type="expression" dxfId="9286" priority="9406">
      <formula>$F82="SAV Chubb"</formula>
    </cfRule>
    <cfRule type="expression" dxfId="9285" priority="9407">
      <formula>$F82="Réalisation"</formula>
    </cfRule>
    <cfRule type="expression" dxfId="9284" priority="9408">
      <formula>$F82="Désenfumage"</formula>
    </cfRule>
    <cfRule type="expression" dxfId="9283" priority="9409">
      <formula>$F82="Administratif"</formula>
    </cfRule>
  </conditionalFormatting>
  <conditionalFormatting sqref="D82">
    <cfRule type="expression" dxfId="9282" priority="9400">
      <formula>$H82="non"</formula>
    </cfRule>
  </conditionalFormatting>
  <conditionalFormatting sqref="D81">
    <cfRule type="expression" dxfId="9281" priority="9391">
      <formula>$F81="Formation CCF"</formula>
    </cfRule>
    <cfRule type="expression" dxfId="9280" priority="9392">
      <formula>$F81="Direction"</formula>
    </cfRule>
    <cfRule type="expression" dxfId="9279" priority="9393">
      <formula>$F81="Ventes Sicli"</formula>
    </cfRule>
    <cfRule type="expression" dxfId="9278" priority="9394">
      <formula>$F81="Ventes Chubb"</formula>
    </cfRule>
    <cfRule type="expression" dxfId="9277" priority="9395">
      <formula>$F81="SAV Sicli"</formula>
    </cfRule>
    <cfRule type="expression" dxfId="9276" priority="9396">
      <formula>$F81="SAV Chubb"</formula>
    </cfRule>
    <cfRule type="expression" dxfId="9275" priority="9397">
      <formula>$F81="Réalisation"</formula>
    </cfRule>
    <cfRule type="expression" dxfId="9274" priority="9398">
      <formula>$F81="Désenfumage"</formula>
    </cfRule>
    <cfRule type="expression" dxfId="9273" priority="9399">
      <formula>$F81="Administratif"</formula>
    </cfRule>
  </conditionalFormatting>
  <conditionalFormatting sqref="D81">
    <cfRule type="expression" dxfId="9272" priority="9390">
      <formula>$H81="non"</formula>
    </cfRule>
  </conditionalFormatting>
  <conditionalFormatting sqref="D80">
    <cfRule type="expression" dxfId="9271" priority="9381">
      <formula>$F80="Formation CCF"</formula>
    </cfRule>
    <cfRule type="expression" dxfId="9270" priority="9382">
      <formula>$F80="Direction"</formula>
    </cfRule>
    <cfRule type="expression" dxfId="9269" priority="9383">
      <formula>$F80="Ventes Sicli"</formula>
    </cfRule>
    <cfRule type="expression" dxfId="9268" priority="9384">
      <formula>$F80="Ventes Chubb"</formula>
    </cfRule>
    <cfRule type="expression" dxfId="9267" priority="9385">
      <formula>$F80="SAV Sicli"</formula>
    </cfRule>
    <cfRule type="expression" dxfId="9266" priority="9386">
      <formula>$F80="SAV Chubb"</formula>
    </cfRule>
    <cfRule type="expression" dxfId="9265" priority="9387">
      <formula>$F80="Réalisation"</formula>
    </cfRule>
    <cfRule type="expression" dxfId="9264" priority="9388">
      <formula>$F80="Désenfumage"</formula>
    </cfRule>
    <cfRule type="expression" dxfId="9263" priority="9389">
      <formula>$F80="Administratif"</formula>
    </cfRule>
  </conditionalFormatting>
  <conditionalFormatting sqref="D80">
    <cfRule type="expression" dxfId="9262" priority="9380">
      <formula>$H80="non"</formula>
    </cfRule>
  </conditionalFormatting>
  <conditionalFormatting sqref="D79">
    <cfRule type="expression" dxfId="9261" priority="9371">
      <formula>$F79="Formation CCF"</formula>
    </cfRule>
    <cfRule type="expression" dxfId="9260" priority="9372">
      <formula>$F79="Direction"</formula>
    </cfRule>
    <cfRule type="expression" dxfId="9259" priority="9373">
      <formula>$F79="Ventes Sicli"</formula>
    </cfRule>
    <cfRule type="expression" dxfId="9258" priority="9374">
      <formula>$F79="Ventes Chubb"</formula>
    </cfRule>
    <cfRule type="expression" dxfId="9257" priority="9375">
      <formula>$F79="SAV Sicli"</formula>
    </cfRule>
    <cfRule type="expression" dxfId="9256" priority="9376">
      <formula>$F79="SAV Chubb"</formula>
    </cfRule>
    <cfRule type="expression" dxfId="9255" priority="9377">
      <formula>$F79="Réalisation"</formula>
    </cfRule>
    <cfRule type="expression" dxfId="9254" priority="9378">
      <formula>$F79="Désenfumage"</formula>
    </cfRule>
    <cfRule type="expression" dxfId="9253" priority="9379">
      <formula>$F79="Administratif"</formula>
    </cfRule>
  </conditionalFormatting>
  <conditionalFormatting sqref="D79">
    <cfRule type="expression" dxfId="9252" priority="9370">
      <formula>$H79="non"</formula>
    </cfRule>
  </conditionalFormatting>
  <conditionalFormatting sqref="D78">
    <cfRule type="expression" dxfId="9251" priority="9361">
      <formula>$F78="Formation CCF"</formula>
    </cfRule>
    <cfRule type="expression" dxfId="9250" priority="9362">
      <formula>$F78="Direction"</formula>
    </cfRule>
    <cfRule type="expression" dxfId="9249" priority="9363">
      <formula>$F78="Ventes Sicli"</formula>
    </cfRule>
    <cfRule type="expression" dxfId="9248" priority="9364">
      <formula>$F78="Ventes Chubb"</formula>
    </cfRule>
    <cfRule type="expression" dxfId="9247" priority="9365">
      <formula>$F78="SAV Sicli"</formula>
    </cfRule>
    <cfRule type="expression" dxfId="9246" priority="9366">
      <formula>$F78="SAV Chubb"</formula>
    </cfRule>
    <cfRule type="expression" dxfId="9245" priority="9367">
      <formula>$F78="Réalisation"</formula>
    </cfRule>
    <cfRule type="expression" dxfId="9244" priority="9368">
      <formula>$F78="Désenfumage"</formula>
    </cfRule>
    <cfRule type="expression" dxfId="9243" priority="9369">
      <formula>$F78="Administratif"</formula>
    </cfRule>
  </conditionalFormatting>
  <conditionalFormatting sqref="D78">
    <cfRule type="expression" dxfId="9242" priority="9360">
      <formula>$H78="non"</formula>
    </cfRule>
  </conditionalFormatting>
  <conditionalFormatting sqref="D77">
    <cfRule type="expression" dxfId="9241" priority="9351">
      <formula>$F77="Formation CCF"</formula>
    </cfRule>
    <cfRule type="expression" dxfId="9240" priority="9352">
      <formula>$F77="Direction"</formula>
    </cfRule>
    <cfRule type="expression" dxfId="9239" priority="9353">
      <formula>$F77="Ventes Sicli"</formula>
    </cfRule>
    <cfRule type="expression" dxfId="9238" priority="9354">
      <formula>$F77="Ventes Chubb"</formula>
    </cfRule>
    <cfRule type="expression" dxfId="9237" priority="9355">
      <formula>$F77="SAV Sicli"</formula>
    </cfRule>
    <cfRule type="expression" dxfId="9236" priority="9356">
      <formula>$F77="SAV Chubb"</formula>
    </cfRule>
    <cfRule type="expression" dxfId="9235" priority="9357">
      <formula>$F77="Réalisation"</formula>
    </cfRule>
    <cfRule type="expression" dxfId="9234" priority="9358">
      <formula>$F77="Désenfumage"</formula>
    </cfRule>
    <cfRule type="expression" dxfId="9233" priority="9359">
      <formula>$F77="Administratif"</formula>
    </cfRule>
  </conditionalFormatting>
  <conditionalFormatting sqref="D77">
    <cfRule type="expression" dxfId="9232" priority="9350">
      <formula>$H77="non"</formula>
    </cfRule>
  </conditionalFormatting>
  <conditionalFormatting sqref="D76">
    <cfRule type="expression" dxfId="9231" priority="9341">
      <formula>$F76="Formation CCF"</formula>
    </cfRule>
    <cfRule type="expression" dxfId="9230" priority="9342">
      <formula>$F76="Direction"</formula>
    </cfRule>
    <cfRule type="expression" dxfId="9229" priority="9343">
      <formula>$F76="Ventes Sicli"</formula>
    </cfRule>
    <cfRule type="expression" dxfId="9228" priority="9344">
      <formula>$F76="Ventes Chubb"</formula>
    </cfRule>
    <cfRule type="expression" dxfId="9227" priority="9345">
      <formula>$F76="SAV Sicli"</formula>
    </cfRule>
    <cfRule type="expression" dxfId="9226" priority="9346">
      <formula>$F76="SAV Chubb"</formula>
    </cfRule>
    <cfRule type="expression" dxfId="9225" priority="9347">
      <formula>$F76="Réalisation"</formula>
    </cfRule>
    <cfRule type="expression" dxfId="9224" priority="9348">
      <formula>$F76="Désenfumage"</formula>
    </cfRule>
    <cfRule type="expression" dxfId="9223" priority="9349">
      <formula>$F76="Administratif"</formula>
    </cfRule>
  </conditionalFormatting>
  <conditionalFormatting sqref="D76">
    <cfRule type="expression" dxfId="9222" priority="9340">
      <formula>$H76="non"</formula>
    </cfRule>
  </conditionalFormatting>
  <conditionalFormatting sqref="D80">
    <cfRule type="expression" dxfId="9221" priority="9181">
      <formula>$F80="Formation CCF"</formula>
    </cfRule>
    <cfRule type="expression" dxfId="9220" priority="9182">
      <formula>$F80="Direction"</formula>
    </cfRule>
    <cfRule type="expression" dxfId="9219" priority="9183">
      <formula>$F80="Ventes Sicli"</formula>
    </cfRule>
    <cfRule type="expression" dxfId="9218" priority="9184">
      <formula>$F80="Ventes Chubb"</formula>
    </cfRule>
    <cfRule type="expression" dxfId="9217" priority="9185">
      <formula>$F80="SAV Sicli"</formula>
    </cfRule>
    <cfRule type="expression" dxfId="9216" priority="9186">
      <formula>$F80="SAV Chubb"</formula>
    </cfRule>
    <cfRule type="expression" dxfId="9215" priority="9187">
      <formula>$F80="Réalisation"</formula>
    </cfRule>
    <cfRule type="expression" dxfId="9214" priority="9188">
      <formula>$F80="Désenfumage"</formula>
    </cfRule>
    <cfRule type="expression" dxfId="9213" priority="9189">
      <formula>$F80="Administratif"</formula>
    </cfRule>
  </conditionalFormatting>
  <conditionalFormatting sqref="D80">
    <cfRule type="expression" dxfId="9212" priority="9180">
      <formula>$H80="non"</formula>
    </cfRule>
  </conditionalFormatting>
  <conditionalFormatting sqref="D93">
    <cfRule type="expression" dxfId="9211" priority="9321">
      <formula>$F93="Formation CCF"</formula>
    </cfRule>
    <cfRule type="expression" dxfId="9210" priority="9322">
      <formula>$F93="Direction"</formula>
    </cfRule>
    <cfRule type="expression" dxfId="9209" priority="9323">
      <formula>$F93="Ventes Sicli"</formula>
    </cfRule>
    <cfRule type="expression" dxfId="9208" priority="9324">
      <formula>$F93="Ventes Chubb"</formula>
    </cfRule>
    <cfRule type="expression" dxfId="9207" priority="9325">
      <formula>$F93="SAV Sicli"</formula>
    </cfRule>
    <cfRule type="expression" dxfId="9206" priority="9326">
      <formula>$F93="SAV Chubb"</formula>
    </cfRule>
    <cfRule type="expression" dxfId="9205" priority="9327">
      <formula>$F93="Réalisation"</formula>
    </cfRule>
    <cfRule type="expression" dxfId="9204" priority="9328">
      <formula>$F93="Désenfumage"</formula>
    </cfRule>
    <cfRule type="expression" dxfId="9203" priority="9329">
      <formula>$F93="Administratif"</formula>
    </cfRule>
  </conditionalFormatting>
  <conditionalFormatting sqref="D93">
    <cfRule type="expression" dxfId="9202" priority="9320">
      <formula>$H93="non"</formula>
    </cfRule>
  </conditionalFormatting>
  <conditionalFormatting sqref="D81">
    <cfRule type="expression" dxfId="9201" priority="9311">
      <formula>$F81="Formation CCF"</formula>
    </cfRule>
    <cfRule type="expression" dxfId="9200" priority="9312">
      <formula>$F81="Direction"</formula>
    </cfRule>
    <cfRule type="expression" dxfId="9199" priority="9313">
      <formula>$F81="Ventes Sicli"</formula>
    </cfRule>
    <cfRule type="expression" dxfId="9198" priority="9314">
      <formula>$F81="Ventes Chubb"</formula>
    </cfRule>
    <cfRule type="expression" dxfId="9197" priority="9315">
      <formula>$F81="SAV Sicli"</formula>
    </cfRule>
    <cfRule type="expression" dxfId="9196" priority="9316">
      <formula>$F81="SAV Chubb"</formula>
    </cfRule>
    <cfRule type="expression" dxfId="9195" priority="9317">
      <formula>$F81="Réalisation"</formula>
    </cfRule>
    <cfRule type="expression" dxfId="9194" priority="9318">
      <formula>$F81="Désenfumage"</formula>
    </cfRule>
    <cfRule type="expression" dxfId="9193" priority="9319">
      <formula>$F81="Administratif"</formula>
    </cfRule>
  </conditionalFormatting>
  <conditionalFormatting sqref="D81">
    <cfRule type="expression" dxfId="9192" priority="9310">
      <formula>$H81="non"</formula>
    </cfRule>
  </conditionalFormatting>
  <conditionalFormatting sqref="D80">
    <cfRule type="expression" dxfId="9191" priority="9301">
      <formula>$F80="Formation CCF"</formula>
    </cfRule>
    <cfRule type="expression" dxfId="9190" priority="9302">
      <formula>$F80="Direction"</formula>
    </cfRule>
    <cfRule type="expression" dxfId="9189" priority="9303">
      <formula>$F80="Ventes Sicli"</formula>
    </cfRule>
    <cfRule type="expression" dxfId="9188" priority="9304">
      <formula>$F80="Ventes Chubb"</formula>
    </cfRule>
    <cfRule type="expression" dxfId="9187" priority="9305">
      <formula>$F80="SAV Sicli"</formula>
    </cfRule>
    <cfRule type="expression" dxfId="9186" priority="9306">
      <formula>$F80="SAV Chubb"</formula>
    </cfRule>
    <cfRule type="expression" dxfId="9185" priority="9307">
      <formula>$F80="Réalisation"</formula>
    </cfRule>
    <cfRule type="expression" dxfId="9184" priority="9308">
      <formula>$F80="Désenfumage"</formula>
    </cfRule>
    <cfRule type="expression" dxfId="9183" priority="9309">
      <formula>$F80="Administratif"</formula>
    </cfRule>
  </conditionalFormatting>
  <conditionalFormatting sqref="D80">
    <cfRule type="expression" dxfId="9182" priority="9300">
      <formula>$H80="non"</formula>
    </cfRule>
  </conditionalFormatting>
  <conditionalFormatting sqref="D79">
    <cfRule type="expression" dxfId="9181" priority="9291">
      <formula>$F79="Formation CCF"</formula>
    </cfRule>
    <cfRule type="expression" dxfId="9180" priority="9292">
      <formula>$F79="Direction"</formula>
    </cfRule>
    <cfRule type="expression" dxfId="9179" priority="9293">
      <formula>$F79="Ventes Sicli"</formula>
    </cfRule>
    <cfRule type="expression" dxfId="9178" priority="9294">
      <formula>$F79="Ventes Chubb"</formula>
    </cfRule>
    <cfRule type="expression" dxfId="9177" priority="9295">
      <formula>$F79="SAV Sicli"</formula>
    </cfRule>
    <cfRule type="expression" dxfId="9176" priority="9296">
      <formula>$F79="SAV Chubb"</formula>
    </cfRule>
    <cfRule type="expression" dxfId="9175" priority="9297">
      <formula>$F79="Réalisation"</formula>
    </cfRule>
    <cfRule type="expression" dxfId="9174" priority="9298">
      <formula>$F79="Désenfumage"</formula>
    </cfRule>
    <cfRule type="expression" dxfId="9173" priority="9299">
      <formula>$F79="Administratif"</formula>
    </cfRule>
  </conditionalFormatting>
  <conditionalFormatting sqref="D79">
    <cfRule type="expression" dxfId="9172" priority="9290">
      <formula>$H79="non"</formula>
    </cfRule>
  </conditionalFormatting>
  <conditionalFormatting sqref="D78">
    <cfRule type="expression" dxfId="9171" priority="9281">
      <formula>$F78="Formation CCF"</formula>
    </cfRule>
    <cfRule type="expression" dxfId="9170" priority="9282">
      <formula>$F78="Direction"</formula>
    </cfRule>
    <cfRule type="expression" dxfId="9169" priority="9283">
      <formula>$F78="Ventes Sicli"</formula>
    </cfRule>
    <cfRule type="expression" dxfId="9168" priority="9284">
      <formula>$F78="Ventes Chubb"</formula>
    </cfRule>
    <cfRule type="expression" dxfId="9167" priority="9285">
      <formula>$F78="SAV Sicli"</formula>
    </cfRule>
    <cfRule type="expression" dxfId="9166" priority="9286">
      <formula>$F78="SAV Chubb"</formula>
    </cfRule>
    <cfRule type="expression" dxfId="9165" priority="9287">
      <formula>$F78="Réalisation"</formula>
    </cfRule>
    <cfRule type="expression" dxfId="9164" priority="9288">
      <formula>$F78="Désenfumage"</formula>
    </cfRule>
    <cfRule type="expression" dxfId="9163" priority="9289">
      <formula>$F78="Administratif"</formula>
    </cfRule>
  </conditionalFormatting>
  <conditionalFormatting sqref="D78">
    <cfRule type="expression" dxfId="9162" priority="9280">
      <formula>$H78="non"</formula>
    </cfRule>
  </conditionalFormatting>
  <conditionalFormatting sqref="D77">
    <cfRule type="expression" dxfId="9161" priority="9271">
      <formula>$F77="Formation CCF"</formula>
    </cfRule>
    <cfRule type="expression" dxfId="9160" priority="9272">
      <formula>$F77="Direction"</formula>
    </cfRule>
    <cfRule type="expression" dxfId="9159" priority="9273">
      <formula>$F77="Ventes Sicli"</formula>
    </cfRule>
    <cfRule type="expression" dxfId="9158" priority="9274">
      <formula>$F77="Ventes Chubb"</formula>
    </cfRule>
    <cfRule type="expression" dxfId="9157" priority="9275">
      <formula>$F77="SAV Sicli"</formula>
    </cfRule>
    <cfRule type="expression" dxfId="9156" priority="9276">
      <formula>$F77="SAV Chubb"</formula>
    </cfRule>
    <cfRule type="expression" dxfId="9155" priority="9277">
      <formula>$F77="Réalisation"</formula>
    </cfRule>
    <cfRule type="expression" dxfId="9154" priority="9278">
      <formula>$F77="Désenfumage"</formula>
    </cfRule>
    <cfRule type="expression" dxfId="9153" priority="9279">
      <formula>$F77="Administratif"</formula>
    </cfRule>
  </conditionalFormatting>
  <conditionalFormatting sqref="D77">
    <cfRule type="expression" dxfId="9152" priority="9270">
      <formula>$H77="non"</formula>
    </cfRule>
  </conditionalFormatting>
  <conditionalFormatting sqref="D76">
    <cfRule type="expression" dxfId="9151" priority="9261">
      <formula>$F76="Formation CCF"</formula>
    </cfRule>
    <cfRule type="expression" dxfId="9150" priority="9262">
      <formula>$F76="Direction"</formula>
    </cfRule>
    <cfRule type="expression" dxfId="9149" priority="9263">
      <formula>$F76="Ventes Sicli"</formula>
    </cfRule>
    <cfRule type="expression" dxfId="9148" priority="9264">
      <formula>$F76="Ventes Chubb"</formula>
    </cfRule>
    <cfRule type="expression" dxfId="9147" priority="9265">
      <formula>$F76="SAV Sicli"</formula>
    </cfRule>
    <cfRule type="expression" dxfId="9146" priority="9266">
      <formula>$F76="SAV Chubb"</formula>
    </cfRule>
    <cfRule type="expression" dxfId="9145" priority="9267">
      <formula>$F76="Réalisation"</formula>
    </cfRule>
    <cfRule type="expression" dxfId="9144" priority="9268">
      <formula>$F76="Désenfumage"</formula>
    </cfRule>
    <cfRule type="expression" dxfId="9143" priority="9269">
      <formula>$F76="Administratif"</formula>
    </cfRule>
  </conditionalFormatting>
  <conditionalFormatting sqref="D76">
    <cfRule type="expression" dxfId="9142" priority="9260">
      <formula>$H76="non"</formula>
    </cfRule>
  </conditionalFormatting>
  <conditionalFormatting sqref="D78">
    <cfRule type="expression" dxfId="9141" priority="9101">
      <formula>$F78="Formation CCF"</formula>
    </cfRule>
    <cfRule type="expression" dxfId="9140" priority="9102">
      <formula>$F78="Direction"</formula>
    </cfRule>
    <cfRule type="expression" dxfId="9139" priority="9103">
      <formula>$F78="Ventes Sicli"</formula>
    </cfRule>
    <cfRule type="expression" dxfId="9138" priority="9104">
      <formula>$F78="Ventes Chubb"</formula>
    </cfRule>
    <cfRule type="expression" dxfId="9137" priority="9105">
      <formula>$F78="SAV Sicli"</formula>
    </cfRule>
    <cfRule type="expression" dxfId="9136" priority="9106">
      <formula>$F78="SAV Chubb"</formula>
    </cfRule>
    <cfRule type="expression" dxfId="9135" priority="9107">
      <formula>$F78="Réalisation"</formula>
    </cfRule>
    <cfRule type="expression" dxfId="9134" priority="9108">
      <formula>$F78="Désenfumage"</formula>
    </cfRule>
    <cfRule type="expression" dxfId="9133" priority="9109">
      <formula>$F78="Administratif"</formula>
    </cfRule>
  </conditionalFormatting>
  <conditionalFormatting sqref="D78">
    <cfRule type="expression" dxfId="9132" priority="9100">
      <formula>$H78="non"</formula>
    </cfRule>
  </conditionalFormatting>
  <conditionalFormatting sqref="C87:D87">
    <cfRule type="expression" dxfId="9131" priority="9241">
      <formula>$F87="Formation CCF"</formula>
    </cfRule>
    <cfRule type="expression" dxfId="9130" priority="9242">
      <formula>$F87="Direction"</formula>
    </cfRule>
    <cfRule type="expression" dxfId="9129" priority="9243">
      <formula>$F87="Ventes Sicli"</formula>
    </cfRule>
    <cfRule type="expression" dxfId="9128" priority="9244">
      <formula>$F87="Ventes Chubb"</formula>
    </cfRule>
    <cfRule type="expression" dxfId="9127" priority="9245">
      <formula>$F87="SAV Sicli"</formula>
    </cfRule>
    <cfRule type="expression" dxfId="9126" priority="9246">
      <formula>$F87="SAV Chubb"</formula>
    </cfRule>
    <cfRule type="expression" dxfId="9125" priority="9247">
      <formula>$F87="Réalisation"</formula>
    </cfRule>
    <cfRule type="expression" dxfId="9124" priority="9248">
      <formula>$F87="Désenfumage"</formula>
    </cfRule>
    <cfRule type="expression" dxfId="9123" priority="9249">
      <formula>$F87="Administratif"</formula>
    </cfRule>
  </conditionalFormatting>
  <conditionalFormatting sqref="C87:D87">
    <cfRule type="expression" dxfId="9122" priority="9240">
      <formula>$H87="non"</formula>
    </cfRule>
  </conditionalFormatting>
  <conditionalFormatting sqref="C86:D86">
    <cfRule type="expression" dxfId="9121" priority="9231">
      <formula>$F86="Formation CCF"</formula>
    </cfRule>
    <cfRule type="expression" dxfId="9120" priority="9232">
      <formula>$F86="Direction"</formula>
    </cfRule>
    <cfRule type="expression" dxfId="9119" priority="9233">
      <formula>$F86="Ventes Sicli"</formula>
    </cfRule>
    <cfRule type="expression" dxfId="9118" priority="9234">
      <formula>$F86="Ventes Chubb"</formula>
    </cfRule>
    <cfRule type="expression" dxfId="9117" priority="9235">
      <formula>$F86="SAV Sicli"</formula>
    </cfRule>
    <cfRule type="expression" dxfId="9116" priority="9236">
      <formula>$F86="SAV Chubb"</formula>
    </cfRule>
    <cfRule type="expression" dxfId="9115" priority="9237">
      <formula>$F86="Réalisation"</formula>
    </cfRule>
    <cfRule type="expression" dxfId="9114" priority="9238">
      <formula>$F86="Désenfumage"</formula>
    </cfRule>
    <cfRule type="expression" dxfId="9113" priority="9239">
      <formula>$F86="Administratif"</formula>
    </cfRule>
  </conditionalFormatting>
  <conditionalFormatting sqref="C86:D86">
    <cfRule type="expression" dxfId="9112" priority="9230">
      <formula>$H86="non"</formula>
    </cfRule>
  </conditionalFormatting>
  <conditionalFormatting sqref="C85:D85">
    <cfRule type="expression" dxfId="9111" priority="9221">
      <formula>$F85="Formation CCF"</formula>
    </cfRule>
    <cfRule type="expression" dxfId="9110" priority="9222">
      <formula>$F85="Direction"</formula>
    </cfRule>
    <cfRule type="expression" dxfId="9109" priority="9223">
      <formula>$F85="Ventes Sicli"</formula>
    </cfRule>
    <cfRule type="expression" dxfId="9108" priority="9224">
      <formula>$F85="Ventes Chubb"</formula>
    </cfRule>
    <cfRule type="expression" dxfId="9107" priority="9225">
      <formula>$F85="SAV Sicli"</formula>
    </cfRule>
    <cfRule type="expression" dxfId="9106" priority="9226">
      <formula>$F85="SAV Chubb"</formula>
    </cfRule>
    <cfRule type="expression" dxfId="9105" priority="9227">
      <formula>$F85="Réalisation"</formula>
    </cfRule>
    <cfRule type="expression" dxfId="9104" priority="9228">
      <formula>$F85="Désenfumage"</formula>
    </cfRule>
    <cfRule type="expression" dxfId="9103" priority="9229">
      <formula>$F85="Administratif"</formula>
    </cfRule>
  </conditionalFormatting>
  <conditionalFormatting sqref="C85:D85">
    <cfRule type="expression" dxfId="9102" priority="9220">
      <formula>$H85="non"</formula>
    </cfRule>
  </conditionalFormatting>
  <conditionalFormatting sqref="C84:D84">
    <cfRule type="expression" dxfId="9101" priority="9211">
      <formula>$F84="Formation CCF"</formula>
    </cfRule>
    <cfRule type="expression" dxfId="9100" priority="9212">
      <formula>$F84="Direction"</formula>
    </cfRule>
    <cfRule type="expression" dxfId="9099" priority="9213">
      <formula>$F84="Ventes Sicli"</formula>
    </cfRule>
    <cfRule type="expression" dxfId="9098" priority="9214">
      <formula>$F84="Ventes Chubb"</formula>
    </cfRule>
    <cfRule type="expression" dxfId="9097" priority="9215">
      <formula>$F84="SAV Sicli"</formula>
    </cfRule>
    <cfRule type="expression" dxfId="9096" priority="9216">
      <formula>$F84="SAV Chubb"</formula>
    </cfRule>
    <cfRule type="expression" dxfId="9095" priority="9217">
      <formula>$F84="Réalisation"</formula>
    </cfRule>
    <cfRule type="expression" dxfId="9094" priority="9218">
      <formula>$F84="Désenfumage"</formula>
    </cfRule>
    <cfRule type="expression" dxfId="9093" priority="9219">
      <formula>$F84="Administratif"</formula>
    </cfRule>
  </conditionalFormatting>
  <conditionalFormatting sqref="C84:D84">
    <cfRule type="expression" dxfId="9092" priority="9210">
      <formula>$H84="non"</formula>
    </cfRule>
  </conditionalFormatting>
  <conditionalFormatting sqref="C83:D83">
    <cfRule type="expression" dxfId="9091" priority="9201">
      <formula>$F83="Formation CCF"</formula>
    </cfRule>
    <cfRule type="expression" dxfId="9090" priority="9202">
      <formula>$F83="Direction"</formula>
    </cfRule>
    <cfRule type="expression" dxfId="9089" priority="9203">
      <formula>$F83="Ventes Sicli"</formula>
    </cfRule>
    <cfRule type="expression" dxfId="9088" priority="9204">
      <formula>$F83="Ventes Chubb"</formula>
    </cfRule>
    <cfRule type="expression" dxfId="9087" priority="9205">
      <formula>$F83="SAV Sicli"</formula>
    </cfRule>
    <cfRule type="expression" dxfId="9086" priority="9206">
      <formula>$F83="SAV Chubb"</formula>
    </cfRule>
    <cfRule type="expression" dxfId="9085" priority="9207">
      <formula>$F83="Réalisation"</formula>
    </cfRule>
    <cfRule type="expression" dxfId="9084" priority="9208">
      <formula>$F83="Désenfumage"</formula>
    </cfRule>
    <cfRule type="expression" dxfId="9083" priority="9209">
      <formula>$F83="Administratif"</formula>
    </cfRule>
  </conditionalFormatting>
  <conditionalFormatting sqref="C83:D83">
    <cfRule type="expression" dxfId="9082" priority="9200">
      <formula>$H83="non"</formula>
    </cfRule>
  </conditionalFormatting>
  <conditionalFormatting sqref="D81">
    <cfRule type="expression" dxfId="9081" priority="9191">
      <formula>$F81="Formation CCF"</formula>
    </cfRule>
    <cfRule type="expression" dxfId="9080" priority="9192">
      <formula>$F81="Direction"</formula>
    </cfRule>
    <cfRule type="expression" dxfId="9079" priority="9193">
      <formula>$F81="Ventes Sicli"</formula>
    </cfRule>
    <cfRule type="expression" dxfId="9078" priority="9194">
      <formula>$F81="Ventes Chubb"</formula>
    </cfRule>
    <cfRule type="expression" dxfId="9077" priority="9195">
      <formula>$F81="SAV Sicli"</formula>
    </cfRule>
    <cfRule type="expression" dxfId="9076" priority="9196">
      <formula>$F81="SAV Chubb"</formula>
    </cfRule>
    <cfRule type="expression" dxfId="9075" priority="9197">
      <formula>$F81="Réalisation"</formula>
    </cfRule>
    <cfRule type="expression" dxfId="9074" priority="9198">
      <formula>$F81="Désenfumage"</formula>
    </cfRule>
    <cfRule type="expression" dxfId="9073" priority="9199">
      <formula>$F81="Administratif"</formula>
    </cfRule>
  </conditionalFormatting>
  <conditionalFormatting sqref="D81">
    <cfRule type="expression" dxfId="9072" priority="9190">
      <formula>$H81="non"</formula>
    </cfRule>
  </conditionalFormatting>
  <conditionalFormatting sqref="D79">
    <cfRule type="expression" dxfId="9071" priority="9171">
      <formula>$F79="Formation CCF"</formula>
    </cfRule>
    <cfRule type="expression" dxfId="9070" priority="9172">
      <formula>$F79="Direction"</formula>
    </cfRule>
    <cfRule type="expression" dxfId="9069" priority="9173">
      <formula>$F79="Ventes Sicli"</formula>
    </cfRule>
    <cfRule type="expression" dxfId="9068" priority="9174">
      <formula>$F79="Ventes Chubb"</formula>
    </cfRule>
    <cfRule type="expression" dxfId="9067" priority="9175">
      <formula>$F79="SAV Sicli"</formula>
    </cfRule>
    <cfRule type="expression" dxfId="9066" priority="9176">
      <formula>$F79="SAV Chubb"</formula>
    </cfRule>
    <cfRule type="expression" dxfId="9065" priority="9177">
      <formula>$F79="Réalisation"</formula>
    </cfRule>
    <cfRule type="expression" dxfId="9064" priority="9178">
      <formula>$F79="Désenfumage"</formula>
    </cfRule>
    <cfRule type="expression" dxfId="9063" priority="9179">
      <formula>$F79="Administratif"</formula>
    </cfRule>
  </conditionalFormatting>
  <conditionalFormatting sqref="D79">
    <cfRule type="expression" dxfId="9062" priority="9170">
      <formula>$H79="non"</formula>
    </cfRule>
  </conditionalFormatting>
  <conditionalFormatting sqref="D78">
    <cfRule type="expression" dxfId="9061" priority="9161">
      <formula>$F78="Formation CCF"</formula>
    </cfRule>
    <cfRule type="expression" dxfId="9060" priority="9162">
      <formula>$F78="Direction"</formula>
    </cfRule>
    <cfRule type="expression" dxfId="9059" priority="9163">
      <formula>$F78="Ventes Sicli"</formula>
    </cfRule>
    <cfRule type="expression" dxfId="9058" priority="9164">
      <formula>$F78="Ventes Chubb"</formula>
    </cfRule>
    <cfRule type="expression" dxfId="9057" priority="9165">
      <formula>$F78="SAV Sicli"</formula>
    </cfRule>
    <cfRule type="expression" dxfId="9056" priority="9166">
      <formula>$F78="SAV Chubb"</formula>
    </cfRule>
    <cfRule type="expression" dxfId="9055" priority="9167">
      <formula>$F78="Réalisation"</formula>
    </cfRule>
    <cfRule type="expression" dxfId="9054" priority="9168">
      <formula>$F78="Désenfumage"</formula>
    </cfRule>
    <cfRule type="expression" dxfId="9053" priority="9169">
      <formula>$F78="Administratif"</formula>
    </cfRule>
  </conditionalFormatting>
  <conditionalFormatting sqref="D78">
    <cfRule type="expression" dxfId="9052" priority="9160">
      <formula>$H78="non"</formula>
    </cfRule>
  </conditionalFormatting>
  <conditionalFormatting sqref="D77">
    <cfRule type="expression" dxfId="9051" priority="9151">
      <formula>$F77="Formation CCF"</formula>
    </cfRule>
    <cfRule type="expression" dxfId="9050" priority="9152">
      <formula>$F77="Direction"</formula>
    </cfRule>
    <cfRule type="expression" dxfId="9049" priority="9153">
      <formula>$F77="Ventes Sicli"</formula>
    </cfRule>
    <cfRule type="expression" dxfId="9048" priority="9154">
      <formula>$F77="Ventes Chubb"</formula>
    </cfRule>
    <cfRule type="expression" dxfId="9047" priority="9155">
      <formula>$F77="SAV Sicli"</formula>
    </cfRule>
    <cfRule type="expression" dxfId="9046" priority="9156">
      <formula>$F77="SAV Chubb"</formula>
    </cfRule>
    <cfRule type="expression" dxfId="9045" priority="9157">
      <formula>$F77="Réalisation"</formula>
    </cfRule>
    <cfRule type="expression" dxfId="9044" priority="9158">
      <formula>$F77="Désenfumage"</formula>
    </cfRule>
    <cfRule type="expression" dxfId="9043" priority="9159">
      <formula>$F77="Administratif"</formula>
    </cfRule>
  </conditionalFormatting>
  <conditionalFormatting sqref="D77">
    <cfRule type="expression" dxfId="9042" priority="9150">
      <formula>$H77="non"</formula>
    </cfRule>
  </conditionalFormatting>
  <conditionalFormatting sqref="D76">
    <cfRule type="expression" dxfId="9041" priority="9141">
      <formula>$F76="Formation CCF"</formula>
    </cfRule>
    <cfRule type="expression" dxfId="9040" priority="9142">
      <formula>$F76="Direction"</formula>
    </cfRule>
    <cfRule type="expression" dxfId="9039" priority="9143">
      <formula>$F76="Ventes Sicli"</formula>
    </cfRule>
    <cfRule type="expression" dxfId="9038" priority="9144">
      <formula>$F76="Ventes Chubb"</formula>
    </cfRule>
    <cfRule type="expression" dxfId="9037" priority="9145">
      <formula>$F76="SAV Sicli"</formula>
    </cfRule>
    <cfRule type="expression" dxfId="9036" priority="9146">
      <formula>$F76="SAV Chubb"</formula>
    </cfRule>
    <cfRule type="expression" dxfId="9035" priority="9147">
      <formula>$F76="Réalisation"</formula>
    </cfRule>
    <cfRule type="expression" dxfId="9034" priority="9148">
      <formula>$F76="Désenfumage"</formula>
    </cfRule>
    <cfRule type="expression" dxfId="9033" priority="9149">
      <formula>$F76="Administratif"</formula>
    </cfRule>
  </conditionalFormatting>
  <conditionalFormatting sqref="D76">
    <cfRule type="expression" dxfId="9032" priority="9140">
      <formula>$H76="non"</formula>
    </cfRule>
  </conditionalFormatting>
  <conditionalFormatting sqref="D78">
    <cfRule type="expression" dxfId="9031" priority="8981">
      <formula>$F78="Formation CCF"</formula>
    </cfRule>
    <cfRule type="expression" dxfId="9030" priority="8982">
      <formula>$F78="Direction"</formula>
    </cfRule>
    <cfRule type="expression" dxfId="9029" priority="8983">
      <formula>$F78="Ventes Sicli"</formula>
    </cfRule>
    <cfRule type="expression" dxfId="9028" priority="8984">
      <formula>$F78="Ventes Chubb"</formula>
    </cfRule>
    <cfRule type="expression" dxfId="9027" priority="8985">
      <formula>$F78="SAV Sicli"</formula>
    </cfRule>
    <cfRule type="expression" dxfId="9026" priority="8986">
      <formula>$F78="SAV Chubb"</formula>
    </cfRule>
    <cfRule type="expression" dxfId="9025" priority="8987">
      <formula>$F78="Réalisation"</formula>
    </cfRule>
    <cfRule type="expression" dxfId="9024" priority="8988">
      <formula>$F78="Désenfumage"</formula>
    </cfRule>
    <cfRule type="expression" dxfId="9023" priority="8989">
      <formula>$F78="Administratif"</formula>
    </cfRule>
  </conditionalFormatting>
  <conditionalFormatting sqref="D78">
    <cfRule type="expression" dxfId="9022" priority="8980">
      <formula>$H78="non"</formula>
    </cfRule>
  </conditionalFormatting>
  <conditionalFormatting sqref="D80">
    <cfRule type="expression" dxfId="9021" priority="9121">
      <formula>$F80="Formation CCF"</formula>
    </cfRule>
    <cfRule type="expression" dxfId="9020" priority="9122">
      <formula>$F80="Direction"</formula>
    </cfRule>
    <cfRule type="expression" dxfId="9019" priority="9123">
      <formula>$F80="Ventes Sicli"</formula>
    </cfRule>
    <cfRule type="expression" dxfId="9018" priority="9124">
      <formula>$F80="Ventes Chubb"</formula>
    </cfRule>
    <cfRule type="expression" dxfId="9017" priority="9125">
      <formula>$F80="SAV Sicli"</formula>
    </cfRule>
    <cfRule type="expression" dxfId="9016" priority="9126">
      <formula>$F80="SAV Chubb"</formula>
    </cfRule>
    <cfRule type="expression" dxfId="9015" priority="9127">
      <formula>$F80="Réalisation"</formula>
    </cfRule>
    <cfRule type="expression" dxfId="9014" priority="9128">
      <formula>$F80="Désenfumage"</formula>
    </cfRule>
    <cfRule type="expression" dxfId="9013" priority="9129">
      <formula>$F80="Administratif"</formula>
    </cfRule>
  </conditionalFormatting>
  <conditionalFormatting sqref="D80">
    <cfRule type="expression" dxfId="9012" priority="9120">
      <formula>$H80="non"</formula>
    </cfRule>
  </conditionalFormatting>
  <conditionalFormatting sqref="D79">
    <cfRule type="expression" dxfId="9011" priority="9111">
      <formula>$F79="Formation CCF"</formula>
    </cfRule>
    <cfRule type="expression" dxfId="9010" priority="9112">
      <formula>$F79="Direction"</formula>
    </cfRule>
    <cfRule type="expression" dxfId="9009" priority="9113">
      <formula>$F79="Ventes Sicli"</formula>
    </cfRule>
    <cfRule type="expression" dxfId="9008" priority="9114">
      <formula>$F79="Ventes Chubb"</formula>
    </cfRule>
    <cfRule type="expression" dxfId="9007" priority="9115">
      <formula>$F79="SAV Sicli"</formula>
    </cfRule>
    <cfRule type="expression" dxfId="9006" priority="9116">
      <formula>$F79="SAV Chubb"</formula>
    </cfRule>
    <cfRule type="expression" dxfId="9005" priority="9117">
      <formula>$F79="Réalisation"</formula>
    </cfRule>
    <cfRule type="expression" dxfId="9004" priority="9118">
      <formula>$F79="Désenfumage"</formula>
    </cfRule>
    <cfRule type="expression" dxfId="9003" priority="9119">
      <formula>$F79="Administratif"</formula>
    </cfRule>
  </conditionalFormatting>
  <conditionalFormatting sqref="D79">
    <cfRule type="expression" dxfId="9002" priority="9110">
      <formula>$H79="non"</formula>
    </cfRule>
  </conditionalFormatting>
  <conditionalFormatting sqref="D77">
    <cfRule type="expression" dxfId="9001" priority="9091">
      <formula>$F77="Formation CCF"</formula>
    </cfRule>
    <cfRule type="expression" dxfId="9000" priority="9092">
      <formula>$F77="Direction"</formula>
    </cfRule>
    <cfRule type="expression" dxfId="8999" priority="9093">
      <formula>$F77="Ventes Sicli"</formula>
    </cfRule>
    <cfRule type="expression" dxfId="8998" priority="9094">
      <formula>$F77="Ventes Chubb"</formula>
    </cfRule>
    <cfRule type="expression" dxfId="8997" priority="9095">
      <formula>$F77="SAV Sicli"</formula>
    </cfRule>
    <cfRule type="expression" dxfId="8996" priority="9096">
      <formula>$F77="SAV Chubb"</formula>
    </cfRule>
    <cfRule type="expression" dxfId="8995" priority="9097">
      <formula>$F77="Réalisation"</formula>
    </cfRule>
    <cfRule type="expression" dxfId="8994" priority="9098">
      <formula>$F77="Désenfumage"</formula>
    </cfRule>
    <cfRule type="expression" dxfId="8993" priority="9099">
      <formula>$F77="Administratif"</formula>
    </cfRule>
  </conditionalFormatting>
  <conditionalFormatting sqref="D77">
    <cfRule type="expression" dxfId="8992" priority="9090">
      <formula>$H77="non"</formula>
    </cfRule>
  </conditionalFormatting>
  <conditionalFormatting sqref="D76">
    <cfRule type="expression" dxfId="8991" priority="9081">
      <formula>$F76="Formation CCF"</formula>
    </cfRule>
    <cfRule type="expression" dxfId="8990" priority="9082">
      <formula>$F76="Direction"</formula>
    </cfRule>
    <cfRule type="expression" dxfId="8989" priority="9083">
      <formula>$F76="Ventes Sicli"</formula>
    </cfRule>
    <cfRule type="expression" dxfId="8988" priority="9084">
      <formula>$F76="Ventes Chubb"</formula>
    </cfRule>
    <cfRule type="expression" dxfId="8987" priority="9085">
      <formula>$F76="SAV Sicli"</formula>
    </cfRule>
    <cfRule type="expression" dxfId="8986" priority="9086">
      <formula>$F76="SAV Chubb"</formula>
    </cfRule>
    <cfRule type="expression" dxfId="8985" priority="9087">
      <formula>$F76="Réalisation"</formula>
    </cfRule>
    <cfRule type="expression" dxfId="8984" priority="9088">
      <formula>$F76="Désenfumage"</formula>
    </cfRule>
    <cfRule type="expression" dxfId="8983" priority="9089">
      <formula>$F76="Administratif"</formula>
    </cfRule>
  </conditionalFormatting>
  <conditionalFormatting sqref="D76">
    <cfRule type="expression" dxfId="8982" priority="9080">
      <formula>$H76="non"</formula>
    </cfRule>
  </conditionalFormatting>
  <conditionalFormatting sqref="D79">
    <cfRule type="expression" dxfId="8981" priority="8921">
      <formula>$F79="Formation CCF"</formula>
    </cfRule>
    <cfRule type="expression" dxfId="8980" priority="8922">
      <formula>$F79="Direction"</formula>
    </cfRule>
    <cfRule type="expression" dxfId="8979" priority="8923">
      <formula>$F79="Ventes Sicli"</formula>
    </cfRule>
    <cfRule type="expression" dxfId="8978" priority="8924">
      <formula>$F79="Ventes Chubb"</formula>
    </cfRule>
    <cfRule type="expression" dxfId="8977" priority="8925">
      <formula>$F79="SAV Sicli"</formula>
    </cfRule>
    <cfRule type="expression" dxfId="8976" priority="8926">
      <formula>$F79="SAV Chubb"</formula>
    </cfRule>
    <cfRule type="expression" dxfId="8975" priority="8927">
      <formula>$F79="Réalisation"</formula>
    </cfRule>
    <cfRule type="expression" dxfId="8974" priority="8928">
      <formula>$F79="Désenfumage"</formula>
    </cfRule>
    <cfRule type="expression" dxfId="8973" priority="8929">
      <formula>$F79="Administratif"</formula>
    </cfRule>
  </conditionalFormatting>
  <conditionalFormatting sqref="D79">
    <cfRule type="expression" dxfId="8972" priority="8920">
      <formula>$H79="non"</formula>
    </cfRule>
  </conditionalFormatting>
  <conditionalFormatting sqref="C87:D87">
    <cfRule type="expression" dxfId="8971" priority="9061">
      <formula>$F87="Formation CCF"</formula>
    </cfRule>
    <cfRule type="expression" dxfId="8970" priority="9062">
      <formula>$F87="Direction"</formula>
    </cfRule>
    <cfRule type="expression" dxfId="8969" priority="9063">
      <formula>$F87="Ventes Sicli"</formula>
    </cfRule>
    <cfRule type="expression" dxfId="8968" priority="9064">
      <formula>$F87="Ventes Chubb"</formula>
    </cfRule>
    <cfRule type="expression" dxfId="8967" priority="9065">
      <formula>$F87="SAV Sicli"</formula>
    </cfRule>
    <cfRule type="expression" dxfId="8966" priority="9066">
      <formula>$F87="SAV Chubb"</formula>
    </cfRule>
    <cfRule type="expression" dxfId="8965" priority="9067">
      <formula>$F87="Réalisation"</formula>
    </cfRule>
    <cfRule type="expression" dxfId="8964" priority="9068">
      <formula>$F87="Désenfumage"</formula>
    </cfRule>
    <cfRule type="expression" dxfId="8963" priority="9069">
      <formula>$F87="Administratif"</formula>
    </cfRule>
  </conditionalFormatting>
  <conditionalFormatting sqref="C87:D87">
    <cfRule type="expression" dxfId="8962" priority="9060">
      <formula>$H87="non"</formula>
    </cfRule>
  </conditionalFormatting>
  <conditionalFormatting sqref="C86:D86">
    <cfRule type="expression" dxfId="8961" priority="9051">
      <formula>$F86="Formation CCF"</formula>
    </cfRule>
    <cfRule type="expression" dxfId="8960" priority="9052">
      <formula>$F86="Direction"</formula>
    </cfRule>
    <cfRule type="expression" dxfId="8959" priority="9053">
      <formula>$F86="Ventes Sicli"</formula>
    </cfRule>
    <cfRule type="expression" dxfId="8958" priority="9054">
      <formula>$F86="Ventes Chubb"</formula>
    </cfRule>
    <cfRule type="expression" dxfId="8957" priority="9055">
      <formula>$F86="SAV Sicli"</formula>
    </cfRule>
    <cfRule type="expression" dxfId="8956" priority="9056">
      <formula>$F86="SAV Chubb"</formula>
    </cfRule>
    <cfRule type="expression" dxfId="8955" priority="9057">
      <formula>$F86="Réalisation"</formula>
    </cfRule>
    <cfRule type="expression" dxfId="8954" priority="9058">
      <formula>$F86="Désenfumage"</formula>
    </cfRule>
    <cfRule type="expression" dxfId="8953" priority="9059">
      <formula>$F86="Administratif"</formula>
    </cfRule>
  </conditionalFormatting>
  <conditionalFormatting sqref="C86:D86">
    <cfRule type="expression" dxfId="8952" priority="9050">
      <formula>$H86="non"</formula>
    </cfRule>
  </conditionalFormatting>
  <conditionalFormatting sqref="C85:D85">
    <cfRule type="expression" dxfId="8951" priority="9041">
      <formula>$F85="Formation CCF"</formula>
    </cfRule>
    <cfRule type="expression" dxfId="8950" priority="9042">
      <formula>$F85="Direction"</formula>
    </cfRule>
    <cfRule type="expression" dxfId="8949" priority="9043">
      <formula>$F85="Ventes Sicli"</formula>
    </cfRule>
    <cfRule type="expression" dxfId="8948" priority="9044">
      <formula>$F85="Ventes Chubb"</formula>
    </cfRule>
    <cfRule type="expression" dxfId="8947" priority="9045">
      <formula>$F85="SAV Sicli"</formula>
    </cfRule>
    <cfRule type="expression" dxfId="8946" priority="9046">
      <formula>$F85="SAV Chubb"</formula>
    </cfRule>
    <cfRule type="expression" dxfId="8945" priority="9047">
      <formula>$F85="Réalisation"</formula>
    </cfRule>
    <cfRule type="expression" dxfId="8944" priority="9048">
      <formula>$F85="Désenfumage"</formula>
    </cfRule>
    <cfRule type="expression" dxfId="8943" priority="9049">
      <formula>$F85="Administratif"</formula>
    </cfRule>
  </conditionalFormatting>
  <conditionalFormatting sqref="C85:D85">
    <cfRule type="expression" dxfId="8942" priority="9040">
      <formula>$H85="non"</formula>
    </cfRule>
  </conditionalFormatting>
  <conditionalFormatting sqref="C84:D84">
    <cfRule type="expression" dxfId="8941" priority="9031">
      <formula>$F84="Formation CCF"</formula>
    </cfRule>
    <cfRule type="expression" dxfId="8940" priority="9032">
      <formula>$F84="Direction"</formula>
    </cfRule>
    <cfRule type="expression" dxfId="8939" priority="9033">
      <formula>$F84="Ventes Sicli"</formula>
    </cfRule>
    <cfRule type="expression" dxfId="8938" priority="9034">
      <formula>$F84="Ventes Chubb"</formula>
    </cfRule>
    <cfRule type="expression" dxfId="8937" priority="9035">
      <formula>$F84="SAV Sicli"</formula>
    </cfRule>
    <cfRule type="expression" dxfId="8936" priority="9036">
      <formula>$F84="SAV Chubb"</formula>
    </cfRule>
    <cfRule type="expression" dxfId="8935" priority="9037">
      <formula>$F84="Réalisation"</formula>
    </cfRule>
    <cfRule type="expression" dxfId="8934" priority="9038">
      <formula>$F84="Désenfumage"</formula>
    </cfRule>
    <cfRule type="expression" dxfId="8933" priority="9039">
      <formula>$F84="Administratif"</formula>
    </cfRule>
  </conditionalFormatting>
  <conditionalFormatting sqref="C84:D84">
    <cfRule type="expression" dxfId="8932" priority="9030">
      <formula>$H84="non"</formula>
    </cfRule>
  </conditionalFormatting>
  <conditionalFormatting sqref="C83:D83">
    <cfRule type="expression" dxfId="8931" priority="9021">
      <formula>$F83="Formation CCF"</formula>
    </cfRule>
    <cfRule type="expression" dxfId="8930" priority="9022">
      <formula>$F83="Direction"</formula>
    </cfRule>
    <cfRule type="expression" dxfId="8929" priority="9023">
      <formula>$F83="Ventes Sicli"</formula>
    </cfRule>
    <cfRule type="expression" dxfId="8928" priority="9024">
      <formula>$F83="Ventes Chubb"</formula>
    </cfRule>
    <cfRule type="expression" dxfId="8927" priority="9025">
      <formula>$F83="SAV Sicli"</formula>
    </cfRule>
    <cfRule type="expression" dxfId="8926" priority="9026">
      <formula>$F83="SAV Chubb"</formula>
    </cfRule>
    <cfRule type="expression" dxfId="8925" priority="9027">
      <formula>$F83="Réalisation"</formula>
    </cfRule>
    <cfRule type="expression" dxfId="8924" priority="9028">
      <formula>$F83="Désenfumage"</formula>
    </cfRule>
    <cfRule type="expression" dxfId="8923" priority="9029">
      <formula>$F83="Administratif"</formula>
    </cfRule>
  </conditionalFormatting>
  <conditionalFormatting sqref="C83:D83">
    <cfRule type="expression" dxfId="8922" priority="9020">
      <formula>$H83="non"</formula>
    </cfRule>
  </conditionalFormatting>
  <conditionalFormatting sqref="D81">
    <cfRule type="expression" dxfId="8921" priority="9011">
      <formula>$F81="Formation CCF"</formula>
    </cfRule>
    <cfRule type="expression" dxfId="8920" priority="9012">
      <formula>$F81="Direction"</formula>
    </cfRule>
    <cfRule type="expression" dxfId="8919" priority="9013">
      <formula>$F81="Ventes Sicli"</formula>
    </cfRule>
    <cfRule type="expression" dxfId="8918" priority="9014">
      <formula>$F81="Ventes Chubb"</formula>
    </cfRule>
    <cfRule type="expression" dxfId="8917" priority="9015">
      <formula>$F81="SAV Sicli"</formula>
    </cfRule>
    <cfRule type="expression" dxfId="8916" priority="9016">
      <formula>$F81="SAV Chubb"</formula>
    </cfRule>
    <cfRule type="expression" dxfId="8915" priority="9017">
      <formula>$F81="Réalisation"</formula>
    </cfRule>
    <cfRule type="expression" dxfId="8914" priority="9018">
      <formula>$F81="Désenfumage"</formula>
    </cfRule>
    <cfRule type="expression" dxfId="8913" priority="9019">
      <formula>$F81="Administratif"</formula>
    </cfRule>
  </conditionalFormatting>
  <conditionalFormatting sqref="D81">
    <cfRule type="expression" dxfId="8912" priority="9010">
      <formula>$H81="non"</formula>
    </cfRule>
  </conditionalFormatting>
  <conditionalFormatting sqref="D80">
    <cfRule type="expression" dxfId="8911" priority="9001">
      <formula>$F80="Formation CCF"</formula>
    </cfRule>
    <cfRule type="expression" dxfId="8910" priority="9002">
      <formula>$F80="Direction"</formula>
    </cfRule>
    <cfRule type="expression" dxfId="8909" priority="9003">
      <formula>$F80="Ventes Sicli"</formula>
    </cfRule>
    <cfRule type="expression" dxfId="8908" priority="9004">
      <formula>$F80="Ventes Chubb"</formula>
    </cfRule>
    <cfRule type="expression" dxfId="8907" priority="9005">
      <formula>$F80="SAV Sicli"</formula>
    </cfRule>
    <cfRule type="expression" dxfId="8906" priority="9006">
      <formula>$F80="SAV Chubb"</formula>
    </cfRule>
    <cfRule type="expression" dxfId="8905" priority="9007">
      <formula>$F80="Réalisation"</formula>
    </cfRule>
    <cfRule type="expression" dxfId="8904" priority="9008">
      <formula>$F80="Désenfumage"</formula>
    </cfRule>
    <cfRule type="expression" dxfId="8903" priority="9009">
      <formula>$F80="Administratif"</formula>
    </cfRule>
  </conditionalFormatting>
  <conditionalFormatting sqref="D80">
    <cfRule type="expression" dxfId="8902" priority="9000">
      <formula>$H80="non"</formula>
    </cfRule>
  </conditionalFormatting>
  <conditionalFormatting sqref="D79">
    <cfRule type="expression" dxfId="8901" priority="8991">
      <formula>$F79="Formation CCF"</formula>
    </cfRule>
    <cfRule type="expression" dxfId="8900" priority="8992">
      <formula>$F79="Direction"</formula>
    </cfRule>
    <cfRule type="expression" dxfId="8899" priority="8993">
      <formula>$F79="Ventes Sicli"</formula>
    </cfRule>
    <cfRule type="expression" dxfId="8898" priority="8994">
      <formula>$F79="Ventes Chubb"</formula>
    </cfRule>
    <cfRule type="expression" dxfId="8897" priority="8995">
      <formula>$F79="SAV Sicli"</formula>
    </cfRule>
    <cfRule type="expression" dxfId="8896" priority="8996">
      <formula>$F79="SAV Chubb"</formula>
    </cfRule>
    <cfRule type="expression" dxfId="8895" priority="8997">
      <formula>$F79="Réalisation"</formula>
    </cfRule>
    <cfRule type="expression" dxfId="8894" priority="8998">
      <formula>$F79="Désenfumage"</formula>
    </cfRule>
    <cfRule type="expression" dxfId="8893" priority="8999">
      <formula>$F79="Administratif"</formula>
    </cfRule>
  </conditionalFormatting>
  <conditionalFormatting sqref="D79">
    <cfRule type="expression" dxfId="8892" priority="8990">
      <formula>$H79="non"</formula>
    </cfRule>
  </conditionalFormatting>
  <conditionalFormatting sqref="D77">
    <cfRule type="expression" dxfId="8891" priority="8971">
      <formula>$F77="Formation CCF"</formula>
    </cfRule>
    <cfRule type="expression" dxfId="8890" priority="8972">
      <formula>$F77="Direction"</formula>
    </cfRule>
    <cfRule type="expression" dxfId="8889" priority="8973">
      <formula>$F77="Ventes Sicli"</formula>
    </cfRule>
    <cfRule type="expression" dxfId="8888" priority="8974">
      <formula>$F77="Ventes Chubb"</formula>
    </cfRule>
    <cfRule type="expression" dxfId="8887" priority="8975">
      <formula>$F77="SAV Sicli"</formula>
    </cfRule>
    <cfRule type="expression" dxfId="8886" priority="8976">
      <formula>$F77="SAV Chubb"</formula>
    </cfRule>
    <cfRule type="expression" dxfId="8885" priority="8977">
      <formula>$F77="Réalisation"</formula>
    </cfRule>
    <cfRule type="expression" dxfId="8884" priority="8978">
      <formula>$F77="Désenfumage"</formula>
    </cfRule>
    <cfRule type="expression" dxfId="8883" priority="8979">
      <formula>$F77="Administratif"</formula>
    </cfRule>
  </conditionalFormatting>
  <conditionalFormatting sqref="D77">
    <cfRule type="expression" dxfId="8882" priority="8970">
      <formula>$H77="non"</formula>
    </cfRule>
  </conditionalFormatting>
  <conditionalFormatting sqref="D76">
    <cfRule type="expression" dxfId="8881" priority="8961">
      <formula>$F76="Formation CCF"</formula>
    </cfRule>
    <cfRule type="expression" dxfId="8880" priority="8962">
      <formula>$F76="Direction"</formula>
    </cfRule>
    <cfRule type="expression" dxfId="8879" priority="8963">
      <formula>$F76="Ventes Sicli"</formula>
    </cfRule>
    <cfRule type="expression" dxfId="8878" priority="8964">
      <formula>$F76="Ventes Chubb"</formula>
    </cfRule>
    <cfRule type="expression" dxfId="8877" priority="8965">
      <formula>$F76="SAV Sicli"</formula>
    </cfRule>
    <cfRule type="expression" dxfId="8876" priority="8966">
      <formula>$F76="SAV Chubb"</formula>
    </cfRule>
    <cfRule type="expression" dxfId="8875" priority="8967">
      <formula>$F76="Réalisation"</formula>
    </cfRule>
    <cfRule type="expression" dxfId="8874" priority="8968">
      <formula>$F76="Désenfumage"</formula>
    </cfRule>
    <cfRule type="expression" dxfId="8873" priority="8969">
      <formula>$F76="Administratif"</formula>
    </cfRule>
  </conditionalFormatting>
  <conditionalFormatting sqref="D76">
    <cfRule type="expression" dxfId="8872" priority="8960">
      <formula>$H76="non"</formula>
    </cfRule>
  </conditionalFormatting>
  <conditionalFormatting sqref="D78">
    <cfRule type="expression" dxfId="8871" priority="8801">
      <formula>$F78="Formation CCF"</formula>
    </cfRule>
    <cfRule type="expression" dxfId="8870" priority="8802">
      <formula>$F78="Direction"</formula>
    </cfRule>
    <cfRule type="expression" dxfId="8869" priority="8803">
      <formula>$F78="Ventes Sicli"</formula>
    </cfRule>
    <cfRule type="expression" dxfId="8868" priority="8804">
      <formula>$F78="Ventes Chubb"</formula>
    </cfRule>
    <cfRule type="expression" dxfId="8867" priority="8805">
      <formula>$F78="SAV Sicli"</formula>
    </cfRule>
    <cfRule type="expression" dxfId="8866" priority="8806">
      <formula>$F78="SAV Chubb"</formula>
    </cfRule>
    <cfRule type="expression" dxfId="8865" priority="8807">
      <formula>$F78="Réalisation"</formula>
    </cfRule>
    <cfRule type="expression" dxfId="8864" priority="8808">
      <formula>$F78="Désenfumage"</formula>
    </cfRule>
    <cfRule type="expression" dxfId="8863" priority="8809">
      <formula>$F78="Administratif"</formula>
    </cfRule>
  </conditionalFormatting>
  <conditionalFormatting sqref="D78">
    <cfRule type="expression" dxfId="8862" priority="8800">
      <formula>$H78="non"</formula>
    </cfRule>
  </conditionalFormatting>
  <conditionalFormatting sqref="D91">
    <cfRule type="expression" dxfId="8861" priority="8941">
      <formula>$F91="Formation CCF"</formula>
    </cfRule>
    <cfRule type="expression" dxfId="8860" priority="8942">
      <formula>$F91="Direction"</formula>
    </cfRule>
    <cfRule type="expression" dxfId="8859" priority="8943">
      <formula>$F91="Ventes Sicli"</formula>
    </cfRule>
    <cfRule type="expression" dxfId="8858" priority="8944">
      <formula>$F91="Ventes Chubb"</formula>
    </cfRule>
    <cfRule type="expression" dxfId="8857" priority="8945">
      <formula>$F91="SAV Sicli"</formula>
    </cfRule>
    <cfRule type="expression" dxfId="8856" priority="8946">
      <formula>$F91="SAV Chubb"</formula>
    </cfRule>
    <cfRule type="expression" dxfId="8855" priority="8947">
      <formula>$F91="Réalisation"</formula>
    </cfRule>
    <cfRule type="expression" dxfId="8854" priority="8948">
      <formula>$F91="Désenfumage"</formula>
    </cfRule>
    <cfRule type="expression" dxfId="8853" priority="8949">
      <formula>$F91="Administratif"</formula>
    </cfRule>
  </conditionalFormatting>
  <conditionalFormatting sqref="D91">
    <cfRule type="expression" dxfId="8852" priority="8940">
      <formula>$H91="non"</formula>
    </cfRule>
  </conditionalFormatting>
  <conditionalFormatting sqref="D80">
    <cfRule type="expression" dxfId="8851" priority="8931">
      <formula>$F80="Formation CCF"</formula>
    </cfRule>
    <cfRule type="expression" dxfId="8850" priority="8932">
      <formula>$F80="Direction"</formula>
    </cfRule>
    <cfRule type="expression" dxfId="8849" priority="8933">
      <formula>$F80="Ventes Sicli"</formula>
    </cfRule>
    <cfRule type="expression" dxfId="8848" priority="8934">
      <formula>$F80="Ventes Chubb"</formula>
    </cfRule>
    <cfRule type="expression" dxfId="8847" priority="8935">
      <formula>$F80="SAV Sicli"</formula>
    </cfRule>
    <cfRule type="expression" dxfId="8846" priority="8936">
      <formula>$F80="SAV Chubb"</formula>
    </cfRule>
    <cfRule type="expression" dxfId="8845" priority="8937">
      <formula>$F80="Réalisation"</formula>
    </cfRule>
    <cfRule type="expression" dxfId="8844" priority="8938">
      <formula>$F80="Désenfumage"</formula>
    </cfRule>
    <cfRule type="expression" dxfId="8843" priority="8939">
      <formula>$F80="Administratif"</formula>
    </cfRule>
  </conditionalFormatting>
  <conditionalFormatting sqref="D80">
    <cfRule type="expression" dxfId="8842" priority="8930">
      <formula>$H80="non"</formula>
    </cfRule>
  </conditionalFormatting>
  <conditionalFormatting sqref="D78">
    <cfRule type="expression" dxfId="8841" priority="8911">
      <formula>$F78="Formation CCF"</formula>
    </cfRule>
    <cfRule type="expression" dxfId="8840" priority="8912">
      <formula>$F78="Direction"</formula>
    </cfRule>
    <cfRule type="expression" dxfId="8839" priority="8913">
      <formula>$F78="Ventes Sicli"</formula>
    </cfRule>
    <cfRule type="expression" dxfId="8838" priority="8914">
      <formula>$F78="Ventes Chubb"</formula>
    </cfRule>
    <cfRule type="expression" dxfId="8837" priority="8915">
      <formula>$F78="SAV Sicli"</formula>
    </cfRule>
    <cfRule type="expression" dxfId="8836" priority="8916">
      <formula>$F78="SAV Chubb"</formula>
    </cfRule>
    <cfRule type="expression" dxfId="8835" priority="8917">
      <formula>$F78="Réalisation"</formula>
    </cfRule>
    <cfRule type="expression" dxfId="8834" priority="8918">
      <formula>$F78="Désenfumage"</formula>
    </cfRule>
    <cfRule type="expression" dxfId="8833" priority="8919">
      <formula>$F78="Administratif"</formula>
    </cfRule>
  </conditionalFormatting>
  <conditionalFormatting sqref="D78">
    <cfRule type="expression" dxfId="8832" priority="8910">
      <formula>$H78="non"</formula>
    </cfRule>
  </conditionalFormatting>
  <conditionalFormatting sqref="D77">
    <cfRule type="expression" dxfId="8831" priority="8901">
      <formula>$F77="Formation CCF"</formula>
    </cfRule>
    <cfRule type="expression" dxfId="8830" priority="8902">
      <formula>$F77="Direction"</formula>
    </cfRule>
    <cfRule type="expression" dxfId="8829" priority="8903">
      <formula>$F77="Ventes Sicli"</formula>
    </cfRule>
    <cfRule type="expression" dxfId="8828" priority="8904">
      <formula>$F77="Ventes Chubb"</formula>
    </cfRule>
    <cfRule type="expression" dxfId="8827" priority="8905">
      <formula>$F77="SAV Sicli"</formula>
    </cfRule>
    <cfRule type="expression" dxfId="8826" priority="8906">
      <formula>$F77="SAV Chubb"</formula>
    </cfRule>
    <cfRule type="expression" dxfId="8825" priority="8907">
      <formula>$F77="Réalisation"</formula>
    </cfRule>
    <cfRule type="expression" dxfId="8824" priority="8908">
      <formula>$F77="Désenfumage"</formula>
    </cfRule>
    <cfRule type="expression" dxfId="8823" priority="8909">
      <formula>$F77="Administratif"</formula>
    </cfRule>
  </conditionalFormatting>
  <conditionalFormatting sqref="D77">
    <cfRule type="expression" dxfId="8822" priority="8900">
      <formula>$H77="non"</formula>
    </cfRule>
  </conditionalFormatting>
  <conditionalFormatting sqref="D76">
    <cfRule type="expression" dxfId="8821" priority="8891">
      <formula>$F76="Formation CCF"</formula>
    </cfRule>
    <cfRule type="expression" dxfId="8820" priority="8892">
      <formula>$F76="Direction"</formula>
    </cfRule>
    <cfRule type="expression" dxfId="8819" priority="8893">
      <formula>$F76="Ventes Sicli"</formula>
    </cfRule>
    <cfRule type="expression" dxfId="8818" priority="8894">
      <formula>$F76="Ventes Chubb"</formula>
    </cfRule>
    <cfRule type="expression" dxfId="8817" priority="8895">
      <formula>$F76="SAV Sicli"</formula>
    </cfRule>
    <cfRule type="expression" dxfId="8816" priority="8896">
      <formula>$F76="SAV Chubb"</formula>
    </cfRule>
    <cfRule type="expression" dxfId="8815" priority="8897">
      <formula>$F76="Réalisation"</formula>
    </cfRule>
    <cfRule type="expression" dxfId="8814" priority="8898">
      <formula>$F76="Désenfumage"</formula>
    </cfRule>
    <cfRule type="expression" dxfId="8813" priority="8899">
      <formula>$F76="Administratif"</formula>
    </cfRule>
  </conditionalFormatting>
  <conditionalFormatting sqref="D76">
    <cfRule type="expression" dxfId="8812" priority="8890">
      <formula>$H76="non"</formula>
    </cfRule>
  </conditionalFormatting>
  <conditionalFormatting sqref="D76">
    <cfRule type="expression" dxfId="8811" priority="8731">
      <formula>$F76="Formation CCF"</formula>
    </cfRule>
    <cfRule type="expression" dxfId="8810" priority="8732">
      <formula>$F76="Direction"</formula>
    </cfRule>
    <cfRule type="expression" dxfId="8809" priority="8733">
      <formula>$F76="Ventes Sicli"</formula>
    </cfRule>
    <cfRule type="expression" dxfId="8808" priority="8734">
      <formula>$F76="Ventes Chubb"</formula>
    </cfRule>
    <cfRule type="expression" dxfId="8807" priority="8735">
      <formula>$F76="SAV Sicli"</formula>
    </cfRule>
    <cfRule type="expression" dxfId="8806" priority="8736">
      <formula>$F76="SAV Chubb"</formula>
    </cfRule>
    <cfRule type="expression" dxfId="8805" priority="8737">
      <formula>$F76="Réalisation"</formula>
    </cfRule>
    <cfRule type="expression" dxfId="8804" priority="8738">
      <formula>$F76="Désenfumage"</formula>
    </cfRule>
    <cfRule type="expression" dxfId="8803" priority="8739">
      <formula>$F76="Administratif"</formula>
    </cfRule>
  </conditionalFormatting>
  <conditionalFormatting sqref="D76">
    <cfRule type="expression" dxfId="8802" priority="8730">
      <formula>$H76="non"</formula>
    </cfRule>
  </conditionalFormatting>
  <conditionalFormatting sqref="C86:D86">
    <cfRule type="expression" dxfId="8801" priority="8871">
      <formula>$F86="Formation CCF"</formula>
    </cfRule>
    <cfRule type="expression" dxfId="8800" priority="8872">
      <formula>$F86="Direction"</formula>
    </cfRule>
    <cfRule type="expression" dxfId="8799" priority="8873">
      <formula>$F86="Ventes Sicli"</formula>
    </cfRule>
    <cfRule type="expression" dxfId="8798" priority="8874">
      <formula>$F86="Ventes Chubb"</formula>
    </cfRule>
    <cfRule type="expression" dxfId="8797" priority="8875">
      <formula>$F86="SAV Sicli"</formula>
    </cfRule>
    <cfRule type="expression" dxfId="8796" priority="8876">
      <formula>$F86="SAV Chubb"</formula>
    </cfRule>
    <cfRule type="expression" dxfId="8795" priority="8877">
      <formula>$F86="Réalisation"</formula>
    </cfRule>
    <cfRule type="expression" dxfId="8794" priority="8878">
      <formula>$F86="Désenfumage"</formula>
    </cfRule>
    <cfRule type="expression" dxfId="8793" priority="8879">
      <formula>$F86="Administratif"</formula>
    </cfRule>
  </conditionalFormatting>
  <conditionalFormatting sqref="C86:D86">
    <cfRule type="expression" dxfId="8792" priority="8870">
      <formula>$H86="non"</formula>
    </cfRule>
  </conditionalFormatting>
  <conditionalFormatting sqref="C85:D85">
    <cfRule type="expression" dxfId="8791" priority="8861">
      <formula>$F85="Formation CCF"</formula>
    </cfRule>
    <cfRule type="expression" dxfId="8790" priority="8862">
      <formula>$F85="Direction"</formula>
    </cfRule>
    <cfRule type="expression" dxfId="8789" priority="8863">
      <formula>$F85="Ventes Sicli"</formula>
    </cfRule>
    <cfRule type="expression" dxfId="8788" priority="8864">
      <formula>$F85="Ventes Chubb"</formula>
    </cfRule>
    <cfRule type="expression" dxfId="8787" priority="8865">
      <formula>$F85="SAV Sicli"</formula>
    </cfRule>
    <cfRule type="expression" dxfId="8786" priority="8866">
      <formula>$F85="SAV Chubb"</formula>
    </cfRule>
    <cfRule type="expression" dxfId="8785" priority="8867">
      <formula>$F85="Réalisation"</formula>
    </cfRule>
    <cfRule type="expression" dxfId="8784" priority="8868">
      <formula>$F85="Désenfumage"</formula>
    </cfRule>
    <cfRule type="expression" dxfId="8783" priority="8869">
      <formula>$F85="Administratif"</formula>
    </cfRule>
  </conditionalFormatting>
  <conditionalFormatting sqref="C85:D85">
    <cfRule type="expression" dxfId="8782" priority="8860">
      <formula>$H85="non"</formula>
    </cfRule>
  </conditionalFormatting>
  <conditionalFormatting sqref="C84:D84">
    <cfRule type="expression" dxfId="8781" priority="8851">
      <formula>$F84="Formation CCF"</formula>
    </cfRule>
    <cfRule type="expression" dxfId="8780" priority="8852">
      <formula>$F84="Direction"</formula>
    </cfRule>
    <cfRule type="expression" dxfId="8779" priority="8853">
      <formula>$F84="Ventes Sicli"</formula>
    </cfRule>
    <cfRule type="expression" dxfId="8778" priority="8854">
      <formula>$F84="Ventes Chubb"</formula>
    </cfRule>
    <cfRule type="expression" dxfId="8777" priority="8855">
      <formula>$F84="SAV Sicli"</formula>
    </cfRule>
    <cfRule type="expression" dxfId="8776" priority="8856">
      <formula>$F84="SAV Chubb"</formula>
    </cfRule>
    <cfRule type="expression" dxfId="8775" priority="8857">
      <formula>$F84="Réalisation"</formula>
    </cfRule>
    <cfRule type="expression" dxfId="8774" priority="8858">
      <formula>$F84="Désenfumage"</formula>
    </cfRule>
    <cfRule type="expression" dxfId="8773" priority="8859">
      <formula>$F84="Administratif"</formula>
    </cfRule>
  </conditionalFormatting>
  <conditionalFormatting sqref="C84:D84">
    <cfRule type="expression" dxfId="8772" priority="8850">
      <formula>$H84="non"</formula>
    </cfRule>
  </conditionalFormatting>
  <conditionalFormatting sqref="C83:D83">
    <cfRule type="expression" dxfId="8771" priority="8841">
      <formula>$F83="Formation CCF"</formula>
    </cfRule>
    <cfRule type="expression" dxfId="8770" priority="8842">
      <formula>$F83="Direction"</formula>
    </cfRule>
    <cfRule type="expression" dxfId="8769" priority="8843">
      <formula>$F83="Ventes Sicli"</formula>
    </cfRule>
    <cfRule type="expression" dxfId="8768" priority="8844">
      <formula>$F83="Ventes Chubb"</formula>
    </cfRule>
    <cfRule type="expression" dxfId="8767" priority="8845">
      <formula>$F83="SAV Sicli"</formula>
    </cfRule>
    <cfRule type="expression" dxfId="8766" priority="8846">
      <formula>$F83="SAV Chubb"</formula>
    </cfRule>
    <cfRule type="expression" dxfId="8765" priority="8847">
      <formula>$F83="Réalisation"</formula>
    </cfRule>
    <cfRule type="expression" dxfId="8764" priority="8848">
      <formula>$F83="Désenfumage"</formula>
    </cfRule>
    <cfRule type="expression" dxfId="8763" priority="8849">
      <formula>$F83="Administratif"</formula>
    </cfRule>
  </conditionalFormatting>
  <conditionalFormatting sqref="C83:D83">
    <cfRule type="expression" dxfId="8762" priority="8840">
      <formula>$H83="non"</formula>
    </cfRule>
  </conditionalFormatting>
  <conditionalFormatting sqref="C82:D82">
    <cfRule type="expression" dxfId="8761" priority="8831">
      <formula>$F82="Formation CCF"</formula>
    </cfRule>
    <cfRule type="expression" dxfId="8760" priority="8832">
      <formula>$F82="Direction"</formula>
    </cfRule>
    <cfRule type="expression" dxfId="8759" priority="8833">
      <formula>$F82="Ventes Sicli"</formula>
    </cfRule>
    <cfRule type="expression" dxfId="8758" priority="8834">
      <formula>$F82="Ventes Chubb"</formula>
    </cfRule>
    <cfRule type="expression" dxfId="8757" priority="8835">
      <formula>$F82="SAV Sicli"</formula>
    </cfRule>
    <cfRule type="expression" dxfId="8756" priority="8836">
      <formula>$F82="SAV Chubb"</formula>
    </cfRule>
    <cfRule type="expression" dxfId="8755" priority="8837">
      <formula>$F82="Réalisation"</formula>
    </cfRule>
    <cfRule type="expression" dxfId="8754" priority="8838">
      <formula>$F82="Désenfumage"</formula>
    </cfRule>
    <cfRule type="expression" dxfId="8753" priority="8839">
      <formula>$F82="Administratif"</formula>
    </cfRule>
  </conditionalFormatting>
  <conditionalFormatting sqref="C82:D82">
    <cfRule type="expression" dxfId="8752" priority="8830">
      <formula>$H82="non"</formula>
    </cfRule>
  </conditionalFormatting>
  <conditionalFormatting sqref="D80">
    <cfRule type="expression" dxfId="8751" priority="8821">
      <formula>$F80="Formation CCF"</formula>
    </cfRule>
    <cfRule type="expression" dxfId="8750" priority="8822">
      <formula>$F80="Direction"</formula>
    </cfRule>
    <cfRule type="expression" dxfId="8749" priority="8823">
      <formula>$F80="Ventes Sicli"</formula>
    </cfRule>
    <cfRule type="expression" dxfId="8748" priority="8824">
      <formula>$F80="Ventes Chubb"</formula>
    </cfRule>
    <cfRule type="expression" dxfId="8747" priority="8825">
      <formula>$F80="SAV Sicli"</formula>
    </cfRule>
    <cfRule type="expression" dxfId="8746" priority="8826">
      <formula>$F80="SAV Chubb"</formula>
    </cfRule>
    <cfRule type="expression" dxfId="8745" priority="8827">
      <formula>$F80="Réalisation"</formula>
    </cfRule>
    <cfRule type="expression" dxfId="8744" priority="8828">
      <formula>$F80="Désenfumage"</formula>
    </cfRule>
    <cfRule type="expression" dxfId="8743" priority="8829">
      <formula>$F80="Administratif"</formula>
    </cfRule>
  </conditionalFormatting>
  <conditionalFormatting sqref="D80">
    <cfRule type="expression" dxfId="8742" priority="8820">
      <formula>$H80="non"</formula>
    </cfRule>
  </conditionalFormatting>
  <conditionalFormatting sqref="D79">
    <cfRule type="expression" dxfId="8741" priority="8811">
      <formula>$F79="Formation CCF"</formula>
    </cfRule>
    <cfRule type="expression" dxfId="8740" priority="8812">
      <formula>$F79="Direction"</formula>
    </cfRule>
    <cfRule type="expression" dxfId="8739" priority="8813">
      <formula>$F79="Ventes Sicli"</formula>
    </cfRule>
    <cfRule type="expression" dxfId="8738" priority="8814">
      <formula>$F79="Ventes Chubb"</formula>
    </cfRule>
    <cfRule type="expression" dxfId="8737" priority="8815">
      <formula>$F79="SAV Sicli"</formula>
    </cfRule>
    <cfRule type="expression" dxfId="8736" priority="8816">
      <formula>$F79="SAV Chubb"</formula>
    </cfRule>
    <cfRule type="expression" dxfId="8735" priority="8817">
      <formula>$F79="Réalisation"</formula>
    </cfRule>
    <cfRule type="expression" dxfId="8734" priority="8818">
      <formula>$F79="Désenfumage"</formula>
    </cfRule>
    <cfRule type="expression" dxfId="8733" priority="8819">
      <formula>$F79="Administratif"</formula>
    </cfRule>
  </conditionalFormatting>
  <conditionalFormatting sqref="D79">
    <cfRule type="expression" dxfId="8732" priority="8810">
      <formula>$H79="non"</formula>
    </cfRule>
  </conditionalFormatting>
  <conditionalFormatting sqref="D77">
    <cfRule type="expression" dxfId="8731" priority="8791">
      <formula>$F77="Formation CCF"</formula>
    </cfRule>
    <cfRule type="expression" dxfId="8730" priority="8792">
      <formula>$F77="Direction"</formula>
    </cfRule>
    <cfRule type="expression" dxfId="8729" priority="8793">
      <formula>$F77="Ventes Sicli"</formula>
    </cfRule>
    <cfRule type="expression" dxfId="8728" priority="8794">
      <formula>$F77="Ventes Chubb"</formula>
    </cfRule>
    <cfRule type="expression" dxfId="8727" priority="8795">
      <formula>$F77="SAV Sicli"</formula>
    </cfRule>
    <cfRule type="expression" dxfId="8726" priority="8796">
      <formula>$F77="SAV Chubb"</formula>
    </cfRule>
    <cfRule type="expression" dxfId="8725" priority="8797">
      <formula>$F77="Réalisation"</formula>
    </cfRule>
    <cfRule type="expression" dxfId="8724" priority="8798">
      <formula>$F77="Désenfumage"</formula>
    </cfRule>
    <cfRule type="expression" dxfId="8723" priority="8799">
      <formula>$F77="Administratif"</formula>
    </cfRule>
  </conditionalFormatting>
  <conditionalFormatting sqref="D77">
    <cfRule type="expression" dxfId="8722" priority="8790">
      <formula>$H77="non"</formula>
    </cfRule>
  </conditionalFormatting>
  <conditionalFormatting sqref="D76">
    <cfRule type="expression" dxfId="8721" priority="8781">
      <formula>$F76="Formation CCF"</formula>
    </cfRule>
    <cfRule type="expression" dxfId="8720" priority="8782">
      <formula>$F76="Direction"</formula>
    </cfRule>
    <cfRule type="expression" dxfId="8719" priority="8783">
      <formula>$F76="Ventes Sicli"</formula>
    </cfRule>
    <cfRule type="expression" dxfId="8718" priority="8784">
      <formula>$F76="Ventes Chubb"</formula>
    </cfRule>
    <cfRule type="expression" dxfId="8717" priority="8785">
      <formula>$F76="SAV Sicli"</formula>
    </cfRule>
    <cfRule type="expression" dxfId="8716" priority="8786">
      <formula>$F76="SAV Chubb"</formula>
    </cfRule>
    <cfRule type="expression" dxfId="8715" priority="8787">
      <formula>$F76="Réalisation"</formula>
    </cfRule>
    <cfRule type="expression" dxfId="8714" priority="8788">
      <formula>$F76="Désenfumage"</formula>
    </cfRule>
    <cfRule type="expression" dxfId="8713" priority="8789">
      <formula>$F76="Administratif"</formula>
    </cfRule>
  </conditionalFormatting>
  <conditionalFormatting sqref="D76">
    <cfRule type="expression" dxfId="8712" priority="8780">
      <formula>$H76="non"</formula>
    </cfRule>
  </conditionalFormatting>
  <conditionalFormatting sqref="D97">
    <cfRule type="expression" dxfId="8711" priority="8621">
      <formula>$F97="Formation CCF"</formula>
    </cfRule>
    <cfRule type="expression" dxfId="8710" priority="8622">
      <formula>$F97="Direction"</formula>
    </cfRule>
    <cfRule type="expression" dxfId="8709" priority="8623">
      <formula>$F97="Ventes Sicli"</formula>
    </cfRule>
    <cfRule type="expression" dxfId="8708" priority="8624">
      <formula>$F97="Ventes Chubb"</formula>
    </cfRule>
    <cfRule type="expression" dxfId="8707" priority="8625">
      <formula>$F97="SAV Sicli"</formula>
    </cfRule>
    <cfRule type="expression" dxfId="8706" priority="8626">
      <formula>$F97="SAV Chubb"</formula>
    </cfRule>
    <cfRule type="expression" dxfId="8705" priority="8627">
      <formula>$F97="Réalisation"</formula>
    </cfRule>
    <cfRule type="expression" dxfId="8704" priority="8628">
      <formula>$F97="Désenfumage"</formula>
    </cfRule>
    <cfRule type="expression" dxfId="8703" priority="8629">
      <formula>$F97="Administratif"</formula>
    </cfRule>
  </conditionalFormatting>
  <conditionalFormatting sqref="D97">
    <cfRule type="expression" dxfId="8702" priority="8620">
      <formula>$H97="non"</formula>
    </cfRule>
  </conditionalFormatting>
  <conditionalFormatting sqref="D79">
    <cfRule type="expression" dxfId="8701" priority="8761">
      <formula>$F79="Formation CCF"</formula>
    </cfRule>
    <cfRule type="expression" dxfId="8700" priority="8762">
      <formula>$F79="Direction"</formula>
    </cfRule>
    <cfRule type="expression" dxfId="8699" priority="8763">
      <formula>$F79="Ventes Sicli"</formula>
    </cfRule>
    <cfRule type="expression" dxfId="8698" priority="8764">
      <formula>$F79="Ventes Chubb"</formula>
    </cfRule>
    <cfRule type="expression" dxfId="8697" priority="8765">
      <formula>$F79="SAV Sicli"</formula>
    </cfRule>
    <cfRule type="expression" dxfId="8696" priority="8766">
      <formula>$F79="SAV Chubb"</formula>
    </cfRule>
    <cfRule type="expression" dxfId="8695" priority="8767">
      <formula>$F79="Réalisation"</formula>
    </cfRule>
    <cfRule type="expression" dxfId="8694" priority="8768">
      <formula>$F79="Désenfumage"</formula>
    </cfRule>
    <cfRule type="expression" dxfId="8693" priority="8769">
      <formula>$F79="Administratif"</formula>
    </cfRule>
  </conditionalFormatting>
  <conditionalFormatting sqref="D79">
    <cfRule type="expression" dxfId="8692" priority="8760">
      <formula>$H79="non"</formula>
    </cfRule>
  </conditionalFormatting>
  <conditionalFormatting sqref="D78">
    <cfRule type="expression" dxfId="8691" priority="8751">
      <formula>$F78="Formation CCF"</formula>
    </cfRule>
    <cfRule type="expression" dxfId="8690" priority="8752">
      <formula>$F78="Direction"</formula>
    </cfRule>
    <cfRule type="expression" dxfId="8689" priority="8753">
      <formula>$F78="Ventes Sicli"</formula>
    </cfRule>
    <cfRule type="expression" dxfId="8688" priority="8754">
      <formula>$F78="Ventes Chubb"</formula>
    </cfRule>
    <cfRule type="expression" dxfId="8687" priority="8755">
      <formula>$F78="SAV Sicli"</formula>
    </cfRule>
    <cfRule type="expression" dxfId="8686" priority="8756">
      <formula>$F78="SAV Chubb"</formula>
    </cfRule>
    <cfRule type="expression" dxfId="8685" priority="8757">
      <formula>$F78="Réalisation"</formula>
    </cfRule>
    <cfRule type="expression" dxfId="8684" priority="8758">
      <formula>$F78="Désenfumage"</formula>
    </cfRule>
    <cfRule type="expression" dxfId="8683" priority="8759">
      <formula>$F78="Administratif"</formula>
    </cfRule>
  </conditionalFormatting>
  <conditionalFormatting sqref="D78">
    <cfRule type="expression" dxfId="8682" priority="8750">
      <formula>$H78="non"</formula>
    </cfRule>
  </conditionalFormatting>
  <conditionalFormatting sqref="D77">
    <cfRule type="expression" dxfId="8681" priority="8741">
      <formula>$F77="Formation CCF"</formula>
    </cfRule>
    <cfRule type="expression" dxfId="8680" priority="8742">
      <formula>$F77="Direction"</formula>
    </cfRule>
    <cfRule type="expression" dxfId="8679" priority="8743">
      <formula>$F77="Ventes Sicli"</formula>
    </cfRule>
    <cfRule type="expression" dxfId="8678" priority="8744">
      <formula>$F77="Ventes Chubb"</formula>
    </cfRule>
    <cfRule type="expression" dxfId="8677" priority="8745">
      <formula>$F77="SAV Sicli"</formula>
    </cfRule>
    <cfRule type="expression" dxfId="8676" priority="8746">
      <formula>$F77="SAV Chubb"</formula>
    </cfRule>
    <cfRule type="expression" dxfId="8675" priority="8747">
      <formula>$F77="Réalisation"</formula>
    </cfRule>
    <cfRule type="expression" dxfId="8674" priority="8748">
      <formula>$F77="Désenfumage"</formula>
    </cfRule>
    <cfRule type="expression" dxfId="8673" priority="8749">
      <formula>$F77="Administratif"</formula>
    </cfRule>
  </conditionalFormatting>
  <conditionalFormatting sqref="D77">
    <cfRule type="expression" dxfId="8672" priority="8740">
      <formula>$H77="non"</formula>
    </cfRule>
  </conditionalFormatting>
  <conditionalFormatting sqref="D92">
    <cfRule type="expression" dxfId="8671" priority="8571">
      <formula>$F92="Formation CCF"</formula>
    </cfRule>
    <cfRule type="expression" dxfId="8670" priority="8572">
      <formula>$F92="Direction"</formula>
    </cfRule>
    <cfRule type="expression" dxfId="8669" priority="8573">
      <formula>$F92="Ventes Sicli"</formula>
    </cfRule>
    <cfRule type="expression" dxfId="8668" priority="8574">
      <formula>$F92="Ventes Chubb"</formula>
    </cfRule>
    <cfRule type="expression" dxfId="8667" priority="8575">
      <formula>$F92="SAV Sicli"</formula>
    </cfRule>
    <cfRule type="expression" dxfId="8666" priority="8576">
      <formula>$F92="SAV Chubb"</formula>
    </cfRule>
    <cfRule type="expression" dxfId="8665" priority="8577">
      <formula>$F92="Réalisation"</formula>
    </cfRule>
    <cfRule type="expression" dxfId="8664" priority="8578">
      <formula>$F92="Désenfumage"</formula>
    </cfRule>
    <cfRule type="expression" dxfId="8663" priority="8579">
      <formula>$F92="Administratif"</formula>
    </cfRule>
  </conditionalFormatting>
  <conditionalFormatting sqref="D92">
    <cfRule type="expression" dxfId="8662" priority="8570">
      <formula>$H92="non"</formula>
    </cfRule>
  </conditionalFormatting>
  <conditionalFormatting sqref="C107:D107">
    <cfRule type="expression" dxfId="8661" priority="8711">
      <formula>$F107="Formation CCF"</formula>
    </cfRule>
    <cfRule type="expression" dxfId="8660" priority="8712">
      <formula>$F107="Direction"</formula>
    </cfRule>
    <cfRule type="expression" dxfId="8659" priority="8713">
      <formula>$F107="Ventes Sicli"</formula>
    </cfRule>
    <cfRule type="expression" dxfId="8658" priority="8714">
      <formula>$F107="Ventes Chubb"</formula>
    </cfRule>
    <cfRule type="expression" dxfId="8657" priority="8715">
      <formula>$F107="SAV Sicli"</formula>
    </cfRule>
    <cfRule type="expression" dxfId="8656" priority="8716">
      <formula>$F107="SAV Chubb"</formula>
    </cfRule>
    <cfRule type="expression" dxfId="8655" priority="8717">
      <formula>$F107="Réalisation"</formula>
    </cfRule>
    <cfRule type="expression" dxfId="8654" priority="8718">
      <formula>$F107="Désenfumage"</formula>
    </cfRule>
    <cfRule type="expression" dxfId="8653" priority="8719">
      <formula>$F107="Administratif"</formula>
    </cfRule>
  </conditionalFormatting>
  <conditionalFormatting sqref="C107:D107">
    <cfRule type="expression" dxfId="8652" priority="8710">
      <formula>$H107="non"</formula>
    </cfRule>
  </conditionalFormatting>
  <conditionalFormatting sqref="C106:D106">
    <cfRule type="expression" dxfId="8651" priority="8701">
      <formula>$F106="Formation CCF"</formula>
    </cfRule>
    <cfRule type="expression" dxfId="8650" priority="8702">
      <formula>$F106="Direction"</formula>
    </cfRule>
    <cfRule type="expression" dxfId="8649" priority="8703">
      <formula>$F106="Ventes Sicli"</formula>
    </cfRule>
    <cfRule type="expression" dxfId="8648" priority="8704">
      <formula>$F106="Ventes Chubb"</formula>
    </cfRule>
    <cfRule type="expression" dxfId="8647" priority="8705">
      <formula>$F106="SAV Sicli"</formula>
    </cfRule>
    <cfRule type="expression" dxfId="8646" priority="8706">
      <formula>$F106="SAV Chubb"</formula>
    </cfRule>
    <cfRule type="expression" dxfId="8645" priority="8707">
      <formula>$F106="Réalisation"</formula>
    </cfRule>
    <cfRule type="expression" dxfId="8644" priority="8708">
      <formula>$F106="Désenfumage"</formula>
    </cfRule>
    <cfRule type="expression" dxfId="8643" priority="8709">
      <formula>$F106="Administratif"</formula>
    </cfRule>
  </conditionalFormatting>
  <conditionalFormatting sqref="C106:D106">
    <cfRule type="expression" dxfId="8642" priority="8700">
      <formula>$H106="non"</formula>
    </cfRule>
  </conditionalFormatting>
  <conditionalFormatting sqref="C105:D105">
    <cfRule type="expression" dxfId="8641" priority="8691">
      <formula>$F105="Formation CCF"</formula>
    </cfRule>
    <cfRule type="expression" dxfId="8640" priority="8692">
      <formula>$F105="Direction"</formula>
    </cfRule>
    <cfRule type="expression" dxfId="8639" priority="8693">
      <formula>$F105="Ventes Sicli"</formula>
    </cfRule>
    <cfRule type="expression" dxfId="8638" priority="8694">
      <formula>$F105="Ventes Chubb"</formula>
    </cfRule>
    <cfRule type="expression" dxfId="8637" priority="8695">
      <formula>$F105="SAV Sicli"</formula>
    </cfRule>
    <cfRule type="expression" dxfId="8636" priority="8696">
      <formula>$F105="SAV Chubb"</formula>
    </cfRule>
    <cfRule type="expression" dxfId="8635" priority="8697">
      <formula>$F105="Réalisation"</formula>
    </cfRule>
    <cfRule type="expression" dxfId="8634" priority="8698">
      <formula>$F105="Désenfumage"</formula>
    </cfRule>
    <cfRule type="expression" dxfId="8633" priority="8699">
      <formula>$F105="Administratif"</formula>
    </cfRule>
  </conditionalFormatting>
  <conditionalFormatting sqref="C105:D105">
    <cfRule type="expression" dxfId="8632" priority="8690">
      <formula>$H105="non"</formula>
    </cfRule>
  </conditionalFormatting>
  <conditionalFormatting sqref="C104:D104">
    <cfRule type="expression" dxfId="8631" priority="8681">
      <formula>$F104="Formation CCF"</formula>
    </cfRule>
    <cfRule type="expression" dxfId="8630" priority="8682">
      <formula>$F104="Direction"</formula>
    </cfRule>
    <cfRule type="expression" dxfId="8629" priority="8683">
      <formula>$F104="Ventes Sicli"</formula>
    </cfRule>
    <cfRule type="expression" dxfId="8628" priority="8684">
      <formula>$F104="Ventes Chubb"</formula>
    </cfRule>
    <cfRule type="expression" dxfId="8627" priority="8685">
      <formula>$F104="SAV Sicli"</formula>
    </cfRule>
    <cfRule type="expression" dxfId="8626" priority="8686">
      <formula>$F104="SAV Chubb"</formula>
    </cfRule>
    <cfRule type="expression" dxfId="8625" priority="8687">
      <formula>$F104="Réalisation"</formula>
    </cfRule>
    <cfRule type="expression" dxfId="8624" priority="8688">
      <formula>$F104="Désenfumage"</formula>
    </cfRule>
    <cfRule type="expression" dxfId="8623" priority="8689">
      <formula>$F104="Administratif"</formula>
    </cfRule>
  </conditionalFormatting>
  <conditionalFormatting sqref="C104:D104">
    <cfRule type="expression" dxfId="8622" priority="8680">
      <formula>$H104="non"</formula>
    </cfRule>
  </conditionalFormatting>
  <conditionalFormatting sqref="C103:D103">
    <cfRule type="expression" dxfId="8621" priority="8671">
      <formula>$F103="Formation CCF"</formula>
    </cfRule>
    <cfRule type="expression" dxfId="8620" priority="8672">
      <formula>$F103="Direction"</formula>
    </cfRule>
    <cfRule type="expression" dxfId="8619" priority="8673">
      <formula>$F103="Ventes Sicli"</formula>
    </cfRule>
    <cfRule type="expression" dxfId="8618" priority="8674">
      <formula>$F103="Ventes Chubb"</formula>
    </cfRule>
    <cfRule type="expression" dxfId="8617" priority="8675">
      <formula>$F103="SAV Sicli"</formula>
    </cfRule>
    <cfRule type="expression" dxfId="8616" priority="8676">
      <formula>$F103="SAV Chubb"</formula>
    </cfRule>
    <cfRule type="expression" dxfId="8615" priority="8677">
      <formula>$F103="Réalisation"</formula>
    </cfRule>
    <cfRule type="expression" dxfId="8614" priority="8678">
      <formula>$F103="Désenfumage"</formula>
    </cfRule>
    <cfRule type="expression" dxfId="8613" priority="8679">
      <formula>$F103="Administratif"</formula>
    </cfRule>
  </conditionalFormatting>
  <conditionalFormatting sqref="C103:D103">
    <cfRule type="expression" dxfId="8612" priority="8670">
      <formula>$H103="non"</formula>
    </cfRule>
  </conditionalFormatting>
  <conditionalFormatting sqref="C102:D102">
    <cfRule type="expression" dxfId="8611" priority="8661">
      <formula>$F102="Formation CCF"</formula>
    </cfRule>
    <cfRule type="expression" dxfId="8610" priority="8662">
      <formula>$F102="Direction"</formula>
    </cfRule>
    <cfRule type="expression" dxfId="8609" priority="8663">
      <formula>$F102="Ventes Sicli"</formula>
    </cfRule>
    <cfRule type="expression" dxfId="8608" priority="8664">
      <formula>$F102="Ventes Chubb"</formula>
    </cfRule>
    <cfRule type="expression" dxfId="8607" priority="8665">
      <formula>$F102="SAV Sicli"</formula>
    </cfRule>
    <cfRule type="expression" dxfId="8606" priority="8666">
      <formula>$F102="SAV Chubb"</formula>
    </cfRule>
    <cfRule type="expression" dxfId="8605" priority="8667">
      <formula>$F102="Réalisation"</formula>
    </cfRule>
    <cfRule type="expression" dxfId="8604" priority="8668">
      <formula>$F102="Désenfumage"</formula>
    </cfRule>
    <cfRule type="expression" dxfId="8603" priority="8669">
      <formula>$F102="Administratif"</formula>
    </cfRule>
  </conditionalFormatting>
  <conditionalFormatting sqref="C102:D102">
    <cfRule type="expression" dxfId="8602" priority="8660">
      <formula>$H102="non"</formula>
    </cfRule>
  </conditionalFormatting>
  <conditionalFormatting sqref="C101:D101">
    <cfRule type="expression" dxfId="8601" priority="8651">
      <formula>$F101="Formation CCF"</formula>
    </cfRule>
    <cfRule type="expression" dxfId="8600" priority="8652">
      <formula>$F101="Direction"</formula>
    </cfRule>
    <cfRule type="expression" dxfId="8599" priority="8653">
      <formula>$F101="Ventes Sicli"</formula>
    </cfRule>
    <cfRule type="expression" dxfId="8598" priority="8654">
      <formula>$F101="Ventes Chubb"</formula>
    </cfRule>
    <cfRule type="expression" dxfId="8597" priority="8655">
      <formula>$F101="SAV Sicli"</formula>
    </cfRule>
    <cfRule type="expression" dxfId="8596" priority="8656">
      <formula>$F101="SAV Chubb"</formula>
    </cfRule>
    <cfRule type="expression" dxfId="8595" priority="8657">
      <formula>$F101="Réalisation"</formula>
    </cfRule>
    <cfRule type="expression" dxfId="8594" priority="8658">
      <formula>$F101="Désenfumage"</formula>
    </cfRule>
    <cfRule type="expression" dxfId="8593" priority="8659">
      <formula>$F101="Administratif"</formula>
    </cfRule>
  </conditionalFormatting>
  <conditionalFormatting sqref="C101:D101">
    <cfRule type="expression" dxfId="8592" priority="8650">
      <formula>$H101="non"</formula>
    </cfRule>
  </conditionalFormatting>
  <conditionalFormatting sqref="C100:D100">
    <cfRule type="expression" dxfId="8591" priority="8641">
      <formula>$F100="Formation CCF"</formula>
    </cfRule>
    <cfRule type="expression" dxfId="8590" priority="8642">
      <formula>$F100="Direction"</formula>
    </cfRule>
    <cfRule type="expression" dxfId="8589" priority="8643">
      <formula>$F100="Ventes Sicli"</formula>
    </cfRule>
    <cfRule type="expression" dxfId="8588" priority="8644">
      <formula>$F100="Ventes Chubb"</formula>
    </cfRule>
    <cfRule type="expression" dxfId="8587" priority="8645">
      <formula>$F100="SAV Sicli"</formula>
    </cfRule>
    <cfRule type="expression" dxfId="8586" priority="8646">
      <formula>$F100="SAV Chubb"</formula>
    </cfRule>
    <cfRule type="expression" dxfId="8585" priority="8647">
      <formula>$F100="Réalisation"</formula>
    </cfRule>
    <cfRule type="expression" dxfId="8584" priority="8648">
      <formula>$F100="Désenfumage"</formula>
    </cfRule>
    <cfRule type="expression" dxfId="8583" priority="8649">
      <formula>$F100="Administratif"</formula>
    </cfRule>
  </conditionalFormatting>
  <conditionalFormatting sqref="C100:D100">
    <cfRule type="expression" dxfId="8582" priority="8640">
      <formula>$H100="non"</formula>
    </cfRule>
  </conditionalFormatting>
  <conditionalFormatting sqref="D98">
    <cfRule type="expression" dxfId="8581" priority="8631">
      <formula>$F98="Formation CCF"</formula>
    </cfRule>
    <cfRule type="expression" dxfId="8580" priority="8632">
      <formula>$F98="Direction"</formula>
    </cfRule>
    <cfRule type="expression" dxfId="8579" priority="8633">
      <formula>$F98="Ventes Sicli"</formula>
    </cfRule>
    <cfRule type="expression" dxfId="8578" priority="8634">
      <formula>$F98="Ventes Chubb"</formula>
    </cfRule>
    <cfRule type="expression" dxfId="8577" priority="8635">
      <formula>$F98="SAV Sicli"</formula>
    </cfRule>
    <cfRule type="expression" dxfId="8576" priority="8636">
      <formula>$F98="SAV Chubb"</formula>
    </cfRule>
    <cfRule type="expression" dxfId="8575" priority="8637">
      <formula>$F98="Réalisation"</formula>
    </cfRule>
    <cfRule type="expression" dxfId="8574" priority="8638">
      <formula>$F98="Désenfumage"</formula>
    </cfRule>
    <cfRule type="expression" dxfId="8573" priority="8639">
      <formula>$F98="Administratif"</formula>
    </cfRule>
  </conditionalFormatting>
  <conditionalFormatting sqref="D98">
    <cfRule type="expression" dxfId="8572" priority="8630">
      <formula>$H98="non"</formula>
    </cfRule>
  </conditionalFormatting>
  <conditionalFormatting sqref="D96">
    <cfRule type="expression" dxfId="8571" priority="8611">
      <formula>$F96="Formation CCF"</formula>
    </cfRule>
    <cfRule type="expression" dxfId="8570" priority="8612">
      <formula>$F96="Direction"</formula>
    </cfRule>
    <cfRule type="expression" dxfId="8569" priority="8613">
      <formula>$F96="Ventes Sicli"</formula>
    </cfRule>
    <cfRule type="expression" dxfId="8568" priority="8614">
      <formula>$F96="Ventes Chubb"</formula>
    </cfRule>
    <cfRule type="expression" dxfId="8567" priority="8615">
      <formula>$F96="SAV Sicli"</formula>
    </cfRule>
    <cfRule type="expression" dxfId="8566" priority="8616">
      <formula>$F96="SAV Chubb"</formula>
    </cfRule>
    <cfRule type="expression" dxfId="8565" priority="8617">
      <formula>$F96="Réalisation"</formula>
    </cfRule>
    <cfRule type="expression" dxfId="8564" priority="8618">
      <formula>$F96="Désenfumage"</formula>
    </cfRule>
    <cfRule type="expression" dxfId="8563" priority="8619">
      <formula>$F96="Administratif"</formula>
    </cfRule>
  </conditionalFormatting>
  <conditionalFormatting sqref="D96">
    <cfRule type="expression" dxfId="8562" priority="8610">
      <formula>$H96="non"</formula>
    </cfRule>
  </conditionalFormatting>
  <conditionalFormatting sqref="D95">
    <cfRule type="expression" dxfId="8561" priority="8601">
      <formula>$F95="Formation CCF"</formula>
    </cfRule>
    <cfRule type="expression" dxfId="8560" priority="8602">
      <formula>$F95="Direction"</formula>
    </cfRule>
    <cfRule type="expression" dxfId="8559" priority="8603">
      <formula>$F95="Ventes Sicli"</formula>
    </cfRule>
    <cfRule type="expression" dxfId="8558" priority="8604">
      <formula>$F95="Ventes Chubb"</formula>
    </cfRule>
    <cfRule type="expression" dxfId="8557" priority="8605">
      <formula>$F95="SAV Sicli"</formula>
    </cfRule>
    <cfRule type="expression" dxfId="8556" priority="8606">
      <formula>$F95="SAV Chubb"</formula>
    </cfRule>
    <cfRule type="expression" dxfId="8555" priority="8607">
      <formula>$F95="Réalisation"</formula>
    </cfRule>
    <cfRule type="expression" dxfId="8554" priority="8608">
      <formula>$F95="Désenfumage"</formula>
    </cfRule>
    <cfRule type="expression" dxfId="8553" priority="8609">
      <formula>$F95="Administratif"</formula>
    </cfRule>
  </conditionalFormatting>
  <conditionalFormatting sqref="D95">
    <cfRule type="expression" dxfId="8552" priority="8600">
      <formula>$H95="non"</formula>
    </cfRule>
  </conditionalFormatting>
  <conditionalFormatting sqref="D94">
    <cfRule type="expression" dxfId="8551" priority="8591">
      <formula>$F94="Formation CCF"</formula>
    </cfRule>
    <cfRule type="expression" dxfId="8550" priority="8592">
      <formula>$F94="Direction"</formula>
    </cfRule>
    <cfRule type="expression" dxfId="8549" priority="8593">
      <formula>$F94="Ventes Sicli"</formula>
    </cfRule>
    <cfRule type="expression" dxfId="8548" priority="8594">
      <formula>$F94="Ventes Chubb"</formula>
    </cfRule>
    <cfRule type="expression" dxfId="8547" priority="8595">
      <formula>$F94="SAV Sicli"</formula>
    </cfRule>
    <cfRule type="expression" dxfId="8546" priority="8596">
      <formula>$F94="SAV Chubb"</formula>
    </cfRule>
    <cfRule type="expression" dxfId="8545" priority="8597">
      <formula>$F94="Réalisation"</formula>
    </cfRule>
    <cfRule type="expression" dxfId="8544" priority="8598">
      <formula>$F94="Désenfumage"</formula>
    </cfRule>
    <cfRule type="expression" dxfId="8543" priority="8599">
      <formula>$F94="Administratif"</formula>
    </cfRule>
  </conditionalFormatting>
  <conditionalFormatting sqref="D94">
    <cfRule type="expression" dxfId="8542" priority="8590">
      <formula>$H94="non"</formula>
    </cfRule>
  </conditionalFormatting>
  <conditionalFormatting sqref="D93">
    <cfRule type="expression" dxfId="8541" priority="8581">
      <formula>$F93="Formation CCF"</formula>
    </cfRule>
    <cfRule type="expression" dxfId="8540" priority="8582">
      <formula>$F93="Direction"</formula>
    </cfRule>
    <cfRule type="expression" dxfId="8539" priority="8583">
      <formula>$F93="Ventes Sicli"</formula>
    </cfRule>
    <cfRule type="expression" dxfId="8538" priority="8584">
      <formula>$F93="Ventes Chubb"</formula>
    </cfRule>
    <cfRule type="expression" dxfId="8537" priority="8585">
      <formula>$F93="SAV Sicli"</formula>
    </cfRule>
    <cfRule type="expression" dxfId="8536" priority="8586">
      <formula>$F93="SAV Chubb"</formula>
    </cfRule>
    <cfRule type="expression" dxfId="8535" priority="8587">
      <formula>$F93="Réalisation"</formula>
    </cfRule>
    <cfRule type="expression" dxfId="8534" priority="8588">
      <formula>$F93="Désenfumage"</formula>
    </cfRule>
    <cfRule type="expression" dxfId="8533" priority="8589">
      <formula>$F93="Administratif"</formula>
    </cfRule>
  </conditionalFormatting>
  <conditionalFormatting sqref="D93">
    <cfRule type="expression" dxfId="8532" priority="8580">
      <formula>$H93="non"</formula>
    </cfRule>
  </conditionalFormatting>
  <conditionalFormatting sqref="D91">
    <cfRule type="expression" dxfId="8531" priority="8561">
      <formula>$F91="Formation CCF"</formula>
    </cfRule>
    <cfRule type="expression" dxfId="8530" priority="8562">
      <formula>$F91="Direction"</formula>
    </cfRule>
    <cfRule type="expression" dxfId="8529" priority="8563">
      <formula>$F91="Ventes Sicli"</formula>
    </cfRule>
    <cfRule type="expression" dxfId="8528" priority="8564">
      <formula>$F91="Ventes Chubb"</formula>
    </cfRule>
    <cfRule type="expression" dxfId="8527" priority="8565">
      <formula>$F91="SAV Sicli"</formula>
    </cfRule>
    <cfRule type="expression" dxfId="8526" priority="8566">
      <formula>$F91="SAV Chubb"</formula>
    </cfRule>
    <cfRule type="expression" dxfId="8525" priority="8567">
      <formula>$F91="Réalisation"</formula>
    </cfRule>
    <cfRule type="expression" dxfId="8524" priority="8568">
      <formula>$F91="Désenfumage"</formula>
    </cfRule>
    <cfRule type="expression" dxfId="8523" priority="8569">
      <formula>$F91="Administratif"</formula>
    </cfRule>
  </conditionalFormatting>
  <conditionalFormatting sqref="D91">
    <cfRule type="expression" dxfId="8522" priority="8560">
      <formula>$H91="non"</formula>
    </cfRule>
  </conditionalFormatting>
  <conditionalFormatting sqref="D90">
    <cfRule type="expression" dxfId="8521" priority="8551">
      <formula>$F90="Formation CCF"</formula>
    </cfRule>
    <cfRule type="expression" dxfId="8520" priority="8552">
      <formula>$F90="Direction"</formula>
    </cfRule>
    <cfRule type="expression" dxfId="8519" priority="8553">
      <formula>$F90="Ventes Sicli"</formula>
    </cfRule>
    <cfRule type="expression" dxfId="8518" priority="8554">
      <formula>$F90="Ventes Chubb"</formula>
    </cfRule>
    <cfRule type="expression" dxfId="8517" priority="8555">
      <formula>$F90="SAV Sicli"</formula>
    </cfRule>
    <cfRule type="expression" dxfId="8516" priority="8556">
      <formula>$F90="SAV Chubb"</formula>
    </cfRule>
    <cfRule type="expression" dxfId="8515" priority="8557">
      <formula>$F90="Réalisation"</formula>
    </cfRule>
    <cfRule type="expression" dxfId="8514" priority="8558">
      <formula>$F90="Désenfumage"</formula>
    </cfRule>
    <cfRule type="expression" dxfId="8513" priority="8559">
      <formula>$F90="Administratif"</formula>
    </cfRule>
  </conditionalFormatting>
  <conditionalFormatting sqref="D90">
    <cfRule type="expression" dxfId="8512" priority="8550">
      <formula>$H90="non"</formula>
    </cfRule>
  </conditionalFormatting>
  <conditionalFormatting sqref="D89">
    <cfRule type="expression" dxfId="8511" priority="8541">
      <formula>$F89="Formation CCF"</formula>
    </cfRule>
    <cfRule type="expression" dxfId="8510" priority="8542">
      <formula>$F89="Direction"</formula>
    </cfRule>
    <cfRule type="expression" dxfId="8509" priority="8543">
      <formula>$F89="Ventes Sicli"</formula>
    </cfRule>
    <cfRule type="expression" dxfId="8508" priority="8544">
      <formula>$F89="Ventes Chubb"</formula>
    </cfRule>
    <cfRule type="expression" dxfId="8507" priority="8545">
      <formula>$F89="SAV Sicli"</formula>
    </cfRule>
    <cfRule type="expression" dxfId="8506" priority="8546">
      <formula>$F89="SAV Chubb"</formula>
    </cfRule>
    <cfRule type="expression" dxfId="8505" priority="8547">
      <formula>$F89="Réalisation"</formula>
    </cfRule>
    <cfRule type="expression" dxfId="8504" priority="8548">
      <formula>$F89="Désenfumage"</formula>
    </cfRule>
    <cfRule type="expression" dxfId="8503" priority="8549">
      <formula>$F89="Administratif"</formula>
    </cfRule>
  </conditionalFormatting>
  <conditionalFormatting sqref="D89">
    <cfRule type="expression" dxfId="8502" priority="8540">
      <formula>$H89="non"</formula>
    </cfRule>
  </conditionalFormatting>
  <conditionalFormatting sqref="D88">
    <cfRule type="expression" dxfId="8501" priority="8531">
      <formula>$F88="Formation CCF"</formula>
    </cfRule>
    <cfRule type="expression" dxfId="8500" priority="8532">
      <formula>$F88="Direction"</formula>
    </cfRule>
    <cfRule type="expression" dxfId="8499" priority="8533">
      <formula>$F88="Ventes Sicli"</formula>
    </cfRule>
    <cfRule type="expression" dxfId="8498" priority="8534">
      <formula>$F88="Ventes Chubb"</formula>
    </cfRule>
    <cfRule type="expression" dxfId="8497" priority="8535">
      <formula>$F88="SAV Sicli"</formula>
    </cfRule>
    <cfRule type="expression" dxfId="8496" priority="8536">
      <formula>$F88="SAV Chubb"</formula>
    </cfRule>
    <cfRule type="expression" dxfId="8495" priority="8537">
      <formula>$F88="Réalisation"</formula>
    </cfRule>
    <cfRule type="expression" dxfId="8494" priority="8538">
      <formula>$F88="Désenfumage"</formula>
    </cfRule>
    <cfRule type="expression" dxfId="8493" priority="8539">
      <formula>$F88="Administratif"</formula>
    </cfRule>
  </conditionalFormatting>
  <conditionalFormatting sqref="D88">
    <cfRule type="expression" dxfId="8492" priority="8530">
      <formula>$H88="non"</formula>
    </cfRule>
  </conditionalFormatting>
  <conditionalFormatting sqref="D87">
    <cfRule type="expression" dxfId="8491" priority="8521">
      <formula>$F87="Formation CCF"</formula>
    </cfRule>
    <cfRule type="expression" dxfId="8490" priority="8522">
      <formula>$F87="Direction"</formula>
    </cfRule>
    <cfRule type="expression" dxfId="8489" priority="8523">
      <formula>$F87="Ventes Sicli"</formula>
    </cfRule>
    <cfRule type="expression" dxfId="8488" priority="8524">
      <formula>$F87="Ventes Chubb"</formula>
    </cfRule>
    <cfRule type="expression" dxfId="8487" priority="8525">
      <formula>$F87="SAV Sicli"</formula>
    </cfRule>
    <cfRule type="expression" dxfId="8486" priority="8526">
      <formula>$F87="SAV Chubb"</formula>
    </cfRule>
    <cfRule type="expression" dxfId="8485" priority="8527">
      <formula>$F87="Réalisation"</formula>
    </cfRule>
    <cfRule type="expression" dxfId="8484" priority="8528">
      <formula>$F87="Désenfumage"</formula>
    </cfRule>
    <cfRule type="expression" dxfId="8483" priority="8529">
      <formula>$F87="Administratif"</formula>
    </cfRule>
  </conditionalFormatting>
  <conditionalFormatting sqref="D87">
    <cfRule type="expression" dxfId="8482" priority="8520">
      <formula>$H87="non"</formula>
    </cfRule>
  </conditionalFormatting>
  <conditionalFormatting sqref="D86">
    <cfRule type="expression" dxfId="8481" priority="8511">
      <formula>$F86="Formation CCF"</formula>
    </cfRule>
    <cfRule type="expression" dxfId="8480" priority="8512">
      <formula>$F86="Direction"</formula>
    </cfRule>
    <cfRule type="expression" dxfId="8479" priority="8513">
      <formula>$F86="Ventes Sicli"</formula>
    </cfRule>
    <cfRule type="expression" dxfId="8478" priority="8514">
      <formula>$F86="Ventes Chubb"</formula>
    </cfRule>
    <cfRule type="expression" dxfId="8477" priority="8515">
      <formula>$F86="SAV Sicli"</formula>
    </cfRule>
    <cfRule type="expression" dxfId="8476" priority="8516">
      <formula>$F86="SAV Chubb"</formula>
    </cfRule>
    <cfRule type="expression" dxfId="8475" priority="8517">
      <formula>$F86="Réalisation"</formula>
    </cfRule>
    <cfRule type="expression" dxfId="8474" priority="8518">
      <formula>$F86="Désenfumage"</formula>
    </cfRule>
    <cfRule type="expression" dxfId="8473" priority="8519">
      <formula>$F86="Administratif"</formula>
    </cfRule>
  </conditionalFormatting>
  <conditionalFormatting sqref="D86">
    <cfRule type="expression" dxfId="8472" priority="8510">
      <formula>$H86="non"</formula>
    </cfRule>
  </conditionalFormatting>
  <conditionalFormatting sqref="D85">
    <cfRule type="expression" dxfId="8471" priority="8501">
      <formula>$F85="Formation CCF"</formula>
    </cfRule>
    <cfRule type="expression" dxfId="8470" priority="8502">
      <formula>$F85="Direction"</formula>
    </cfRule>
    <cfRule type="expression" dxfId="8469" priority="8503">
      <formula>$F85="Ventes Sicli"</formula>
    </cfRule>
    <cfRule type="expression" dxfId="8468" priority="8504">
      <formula>$F85="Ventes Chubb"</formula>
    </cfRule>
    <cfRule type="expression" dxfId="8467" priority="8505">
      <formula>$F85="SAV Sicli"</formula>
    </cfRule>
    <cfRule type="expression" dxfId="8466" priority="8506">
      <formula>$F85="SAV Chubb"</formula>
    </cfRule>
    <cfRule type="expression" dxfId="8465" priority="8507">
      <formula>$F85="Réalisation"</formula>
    </cfRule>
    <cfRule type="expression" dxfId="8464" priority="8508">
      <formula>$F85="Désenfumage"</formula>
    </cfRule>
    <cfRule type="expression" dxfId="8463" priority="8509">
      <formula>$F85="Administratif"</formula>
    </cfRule>
  </conditionalFormatting>
  <conditionalFormatting sqref="D85">
    <cfRule type="expression" dxfId="8462" priority="8500">
      <formula>$H85="non"</formula>
    </cfRule>
  </conditionalFormatting>
  <conditionalFormatting sqref="D84">
    <cfRule type="expression" dxfId="8461" priority="8491">
      <formula>$F84="Formation CCF"</formula>
    </cfRule>
    <cfRule type="expression" dxfId="8460" priority="8492">
      <formula>$F84="Direction"</formula>
    </cfRule>
    <cfRule type="expression" dxfId="8459" priority="8493">
      <formula>$F84="Ventes Sicli"</formula>
    </cfRule>
    <cfRule type="expression" dxfId="8458" priority="8494">
      <formula>$F84="Ventes Chubb"</formula>
    </cfRule>
    <cfRule type="expression" dxfId="8457" priority="8495">
      <formula>$F84="SAV Sicli"</formula>
    </cfRule>
    <cfRule type="expression" dxfId="8456" priority="8496">
      <formula>$F84="SAV Chubb"</formula>
    </cfRule>
    <cfRule type="expression" dxfId="8455" priority="8497">
      <formula>$F84="Réalisation"</formula>
    </cfRule>
    <cfRule type="expression" dxfId="8454" priority="8498">
      <formula>$F84="Désenfumage"</formula>
    </cfRule>
    <cfRule type="expression" dxfId="8453" priority="8499">
      <formula>$F84="Administratif"</formula>
    </cfRule>
  </conditionalFormatting>
  <conditionalFormatting sqref="D84">
    <cfRule type="expression" dxfId="8452" priority="8490">
      <formula>$H84="non"</formula>
    </cfRule>
  </conditionalFormatting>
  <conditionalFormatting sqref="D83">
    <cfRule type="expression" dxfId="8451" priority="8481">
      <formula>$F83="Formation CCF"</formula>
    </cfRule>
    <cfRule type="expression" dxfId="8450" priority="8482">
      <formula>$F83="Direction"</formula>
    </cfRule>
    <cfRule type="expression" dxfId="8449" priority="8483">
      <formula>$F83="Ventes Sicli"</formula>
    </cfRule>
    <cfRule type="expression" dxfId="8448" priority="8484">
      <formula>$F83="Ventes Chubb"</formula>
    </cfRule>
    <cfRule type="expression" dxfId="8447" priority="8485">
      <formula>$F83="SAV Sicli"</formula>
    </cfRule>
    <cfRule type="expression" dxfId="8446" priority="8486">
      <formula>$F83="SAV Chubb"</formula>
    </cfRule>
    <cfRule type="expression" dxfId="8445" priority="8487">
      <formula>$F83="Réalisation"</formula>
    </cfRule>
    <cfRule type="expression" dxfId="8444" priority="8488">
      <formula>$F83="Désenfumage"</formula>
    </cfRule>
    <cfRule type="expression" dxfId="8443" priority="8489">
      <formula>$F83="Administratif"</formula>
    </cfRule>
  </conditionalFormatting>
  <conditionalFormatting sqref="D83">
    <cfRule type="expression" dxfId="8442" priority="8480">
      <formula>$H83="non"</formula>
    </cfRule>
  </conditionalFormatting>
  <conditionalFormatting sqref="D97">
    <cfRule type="expression" dxfId="8441" priority="8471">
      <formula>$F97="Formation CCF"</formula>
    </cfRule>
    <cfRule type="expression" dxfId="8440" priority="8472">
      <formula>$F97="Direction"</formula>
    </cfRule>
    <cfRule type="expression" dxfId="8439" priority="8473">
      <formula>$F97="Ventes Sicli"</formula>
    </cfRule>
    <cfRule type="expression" dxfId="8438" priority="8474">
      <formula>$F97="Ventes Chubb"</formula>
    </cfRule>
    <cfRule type="expression" dxfId="8437" priority="8475">
      <formula>$F97="SAV Sicli"</formula>
    </cfRule>
    <cfRule type="expression" dxfId="8436" priority="8476">
      <formula>$F97="SAV Chubb"</formula>
    </cfRule>
    <cfRule type="expression" dxfId="8435" priority="8477">
      <formula>$F97="Réalisation"</formula>
    </cfRule>
    <cfRule type="expression" dxfId="8434" priority="8478">
      <formula>$F97="Désenfumage"</formula>
    </cfRule>
    <cfRule type="expression" dxfId="8433" priority="8479">
      <formula>$F97="Administratif"</formula>
    </cfRule>
  </conditionalFormatting>
  <conditionalFormatting sqref="D97">
    <cfRule type="expression" dxfId="8432" priority="8470">
      <formula>$H97="non"</formula>
    </cfRule>
  </conditionalFormatting>
  <conditionalFormatting sqref="D96">
    <cfRule type="expression" dxfId="8431" priority="8461">
      <formula>$F96="Formation CCF"</formula>
    </cfRule>
    <cfRule type="expression" dxfId="8430" priority="8462">
      <formula>$F96="Direction"</formula>
    </cfRule>
    <cfRule type="expression" dxfId="8429" priority="8463">
      <formula>$F96="Ventes Sicli"</formula>
    </cfRule>
    <cfRule type="expression" dxfId="8428" priority="8464">
      <formula>$F96="Ventes Chubb"</formula>
    </cfRule>
    <cfRule type="expression" dxfId="8427" priority="8465">
      <formula>$F96="SAV Sicli"</formula>
    </cfRule>
    <cfRule type="expression" dxfId="8426" priority="8466">
      <formula>$F96="SAV Chubb"</formula>
    </cfRule>
    <cfRule type="expression" dxfId="8425" priority="8467">
      <formula>$F96="Réalisation"</formula>
    </cfRule>
    <cfRule type="expression" dxfId="8424" priority="8468">
      <formula>$F96="Désenfumage"</formula>
    </cfRule>
    <cfRule type="expression" dxfId="8423" priority="8469">
      <formula>$F96="Administratif"</formula>
    </cfRule>
  </conditionalFormatting>
  <conditionalFormatting sqref="D96">
    <cfRule type="expression" dxfId="8422" priority="8460">
      <formula>$H96="non"</formula>
    </cfRule>
  </conditionalFormatting>
  <conditionalFormatting sqref="D95">
    <cfRule type="expression" dxfId="8421" priority="8451">
      <formula>$F95="Formation CCF"</formula>
    </cfRule>
    <cfRule type="expression" dxfId="8420" priority="8452">
      <formula>$F95="Direction"</formula>
    </cfRule>
    <cfRule type="expression" dxfId="8419" priority="8453">
      <formula>$F95="Ventes Sicli"</formula>
    </cfRule>
    <cfRule type="expression" dxfId="8418" priority="8454">
      <formula>$F95="Ventes Chubb"</formula>
    </cfRule>
    <cfRule type="expression" dxfId="8417" priority="8455">
      <formula>$F95="SAV Sicli"</formula>
    </cfRule>
    <cfRule type="expression" dxfId="8416" priority="8456">
      <formula>$F95="SAV Chubb"</formula>
    </cfRule>
    <cfRule type="expression" dxfId="8415" priority="8457">
      <formula>$F95="Réalisation"</formula>
    </cfRule>
    <cfRule type="expression" dxfId="8414" priority="8458">
      <formula>$F95="Désenfumage"</formula>
    </cfRule>
    <cfRule type="expression" dxfId="8413" priority="8459">
      <formula>$F95="Administratif"</formula>
    </cfRule>
  </conditionalFormatting>
  <conditionalFormatting sqref="D95">
    <cfRule type="expression" dxfId="8412" priority="8450">
      <formula>$H95="non"</formula>
    </cfRule>
  </conditionalFormatting>
  <conditionalFormatting sqref="D94">
    <cfRule type="expression" dxfId="8411" priority="8441">
      <formula>$F94="Formation CCF"</formula>
    </cfRule>
    <cfRule type="expression" dxfId="8410" priority="8442">
      <formula>$F94="Direction"</formula>
    </cfRule>
    <cfRule type="expression" dxfId="8409" priority="8443">
      <formula>$F94="Ventes Sicli"</formula>
    </cfRule>
    <cfRule type="expression" dxfId="8408" priority="8444">
      <formula>$F94="Ventes Chubb"</formula>
    </cfRule>
    <cfRule type="expression" dxfId="8407" priority="8445">
      <formula>$F94="SAV Sicli"</formula>
    </cfRule>
    <cfRule type="expression" dxfId="8406" priority="8446">
      <formula>$F94="SAV Chubb"</formula>
    </cfRule>
    <cfRule type="expression" dxfId="8405" priority="8447">
      <formula>$F94="Réalisation"</formula>
    </cfRule>
    <cfRule type="expression" dxfId="8404" priority="8448">
      <formula>$F94="Désenfumage"</formula>
    </cfRule>
    <cfRule type="expression" dxfId="8403" priority="8449">
      <formula>$F94="Administratif"</formula>
    </cfRule>
  </conditionalFormatting>
  <conditionalFormatting sqref="D94">
    <cfRule type="expression" dxfId="8402" priority="8440">
      <formula>$H94="non"</formula>
    </cfRule>
  </conditionalFormatting>
  <conditionalFormatting sqref="D93">
    <cfRule type="expression" dxfId="8401" priority="8431">
      <formula>$F93="Formation CCF"</formula>
    </cfRule>
    <cfRule type="expression" dxfId="8400" priority="8432">
      <formula>$F93="Direction"</formula>
    </cfRule>
    <cfRule type="expression" dxfId="8399" priority="8433">
      <formula>$F93="Ventes Sicli"</formula>
    </cfRule>
    <cfRule type="expression" dxfId="8398" priority="8434">
      <formula>$F93="Ventes Chubb"</formula>
    </cfRule>
    <cfRule type="expression" dxfId="8397" priority="8435">
      <formula>$F93="SAV Sicli"</formula>
    </cfRule>
    <cfRule type="expression" dxfId="8396" priority="8436">
      <formula>$F93="SAV Chubb"</formula>
    </cfRule>
    <cfRule type="expression" dxfId="8395" priority="8437">
      <formula>$F93="Réalisation"</formula>
    </cfRule>
    <cfRule type="expression" dxfId="8394" priority="8438">
      <formula>$F93="Désenfumage"</formula>
    </cfRule>
    <cfRule type="expression" dxfId="8393" priority="8439">
      <formula>$F93="Administratif"</formula>
    </cfRule>
  </conditionalFormatting>
  <conditionalFormatting sqref="D93">
    <cfRule type="expression" dxfId="8392" priority="8430">
      <formula>$H93="non"</formula>
    </cfRule>
  </conditionalFormatting>
  <conditionalFormatting sqref="D92">
    <cfRule type="expression" dxfId="8391" priority="8421">
      <formula>$F92="Formation CCF"</formula>
    </cfRule>
    <cfRule type="expression" dxfId="8390" priority="8422">
      <formula>$F92="Direction"</formula>
    </cfRule>
    <cfRule type="expression" dxfId="8389" priority="8423">
      <formula>$F92="Ventes Sicli"</formula>
    </cfRule>
    <cfRule type="expression" dxfId="8388" priority="8424">
      <formula>$F92="Ventes Chubb"</formula>
    </cfRule>
    <cfRule type="expression" dxfId="8387" priority="8425">
      <formula>$F92="SAV Sicli"</formula>
    </cfRule>
    <cfRule type="expression" dxfId="8386" priority="8426">
      <formula>$F92="SAV Chubb"</formula>
    </cfRule>
    <cfRule type="expression" dxfId="8385" priority="8427">
      <formula>$F92="Réalisation"</formula>
    </cfRule>
    <cfRule type="expression" dxfId="8384" priority="8428">
      <formula>$F92="Désenfumage"</formula>
    </cfRule>
    <cfRule type="expression" dxfId="8383" priority="8429">
      <formula>$F92="Administratif"</formula>
    </cfRule>
  </conditionalFormatting>
  <conditionalFormatting sqref="D92">
    <cfRule type="expression" dxfId="8382" priority="8420">
      <formula>$H92="non"</formula>
    </cfRule>
  </conditionalFormatting>
  <conditionalFormatting sqref="D91">
    <cfRule type="expression" dxfId="8381" priority="8411">
      <formula>$F91="Formation CCF"</formula>
    </cfRule>
    <cfRule type="expression" dxfId="8380" priority="8412">
      <formula>$F91="Direction"</formula>
    </cfRule>
    <cfRule type="expression" dxfId="8379" priority="8413">
      <formula>$F91="Ventes Sicli"</formula>
    </cfRule>
    <cfRule type="expression" dxfId="8378" priority="8414">
      <formula>$F91="Ventes Chubb"</formula>
    </cfRule>
    <cfRule type="expression" dxfId="8377" priority="8415">
      <formula>$F91="SAV Sicli"</formula>
    </cfRule>
    <cfRule type="expression" dxfId="8376" priority="8416">
      <formula>$F91="SAV Chubb"</formula>
    </cfRule>
    <cfRule type="expression" dxfId="8375" priority="8417">
      <formula>$F91="Réalisation"</formula>
    </cfRule>
    <cfRule type="expression" dxfId="8374" priority="8418">
      <formula>$F91="Désenfumage"</formula>
    </cfRule>
    <cfRule type="expression" dxfId="8373" priority="8419">
      <formula>$F91="Administratif"</formula>
    </cfRule>
  </conditionalFormatting>
  <conditionalFormatting sqref="D91">
    <cfRule type="expression" dxfId="8372" priority="8410">
      <formula>$H91="non"</formula>
    </cfRule>
  </conditionalFormatting>
  <conditionalFormatting sqref="D90">
    <cfRule type="expression" dxfId="8371" priority="8401">
      <formula>$F90="Formation CCF"</formula>
    </cfRule>
    <cfRule type="expression" dxfId="8370" priority="8402">
      <formula>$F90="Direction"</formula>
    </cfRule>
    <cfRule type="expression" dxfId="8369" priority="8403">
      <formula>$F90="Ventes Sicli"</formula>
    </cfRule>
    <cfRule type="expression" dxfId="8368" priority="8404">
      <formula>$F90="Ventes Chubb"</formula>
    </cfRule>
    <cfRule type="expression" dxfId="8367" priority="8405">
      <formula>$F90="SAV Sicli"</formula>
    </cfRule>
    <cfRule type="expression" dxfId="8366" priority="8406">
      <formula>$F90="SAV Chubb"</formula>
    </cfRule>
    <cfRule type="expression" dxfId="8365" priority="8407">
      <formula>$F90="Réalisation"</formula>
    </cfRule>
    <cfRule type="expression" dxfId="8364" priority="8408">
      <formula>$F90="Désenfumage"</formula>
    </cfRule>
    <cfRule type="expression" dxfId="8363" priority="8409">
      <formula>$F90="Administratif"</formula>
    </cfRule>
  </conditionalFormatting>
  <conditionalFormatting sqref="D90">
    <cfRule type="expression" dxfId="8362" priority="8400">
      <formula>$H90="non"</formula>
    </cfRule>
  </conditionalFormatting>
  <conditionalFormatting sqref="C82">
    <cfRule type="expression" dxfId="8361" priority="8391">
      <formula>$F82="Formation CCF"</formula>
    </cfRule>
    <cfRule type="expression" dxfId="8360" priority="8392">
      <formula>$F82="Direction"</formula>
    </cfRule>
    <cfRule type="expression" dxfId="8359" priority="8393">
      <formula>$F82="Ventes Sicli"</formula>
    </cfRule>
    <cfRule type="expression" dxfId="8358" priority="8394">
      <formula>$F82="Ventes Chubb"</formula>
    </cfRule>
    <cfRule type="expression" dxfId="8357" priority="8395">
      <formula>$F82="SAV Sicli"</formula>
    </cfRule>
    <cfRule type="expression" dxfId="8356" priority="8396">
      <formula>$F82="SAV Chubb"</formula>
    </cfRule>
    <cfRule type="expression" dxfId="8355" priority="8397">
      <formula>$F82="Réalisation"</formula>
    </cfRule>
    <cfRule type="expression" dxfId="8354" priority="8398">
      <formula>$F82="Désenfumage"</formula>
    </cfRule>
    <cfRule type="expression" dxfId="8353" priority="8399">
      <formula>$F82="Administratif"</formula>
    </cfRule>
  </conditionalFormatting>
  <conditionalFormatting sqref="C82">
    <cfRule type="expression" dxfId="8352" priority="8390">
      <formula>$H82="non"</formula>
    </cfRule>
  </conditionalFormatting>
  <conditionalFormatting sqref="D82">
    <cfRule type="expression" dxfId="8351" priority="8381">
      <formula>$F82="Formation CCF"</formula>
    </cfRule>
    <cfRule type="expression" dxfId="8350" priority="8382">
      <formula>$F82="Direction"</formula>
    </cfRule>
    <cfRule type="expression" dxfId="8349" priority="8383">
      <formula>$F82="Ventes Sicli"</formula>
    </cfRule>
    <cfRule type="expression" dxfId="8348" priority="8384">
      <formula>$F82="Ventes Chubb"</formula>
    </cfRule>
    <cfRule type="expression" dxfId="8347" priority="8385">
      <formula>$F82="SAV Sicli"</formula>
    </cfRule>
    <cfRule type="expression" dxfId="8346" priority="8386">
      <formula>$F82="SAV Chubb"</formula>
    </cfRule>
    <cfRule type="expression" dxfId="8345" priority="8387">
      <formula>$F82="Réalisation"</formula>
    </cfRule>
    <cfRule type="expression" dxfId="8344" priority="8388">
      <formula>$F82="Désenfumage"</formula>
    </cfRule>
    <cfRule type="expression" dxfId="8343" priority="8389">
      <formula>$F82="Administratif"</formula>
    </cfRule>
  </conditionalFormatting>
  <conditionalFormatting sqref="D82">
    <cfRule type="expression" dxfId="8342" priority="8380">
      <formula>$H82="non"</formula>
    </cfRule>
  </conditionalFormatting>
  <conditionalFormatting sqref="C103:D103">
    <cfRule type="expression" dxfId="8341" priority="8371">
      <formula>$F103="Formation CCF"</formula>
    </cfRule>
    <cfRule type="expression" dxfId="8340" priority="8372">
      <formula>$F103="Direction"</formula>
    </cfRule>
    <cfRule type="expression" dxfId="8339" priority="8373">
      <formula>$F103="Ventes Sicli"</formula>
    </cfRule>
    <cfRule type="expression" dxfId="8338" priority="8374">
      <formula>$F103="Ventes Chubb"</formula>
    </cfRule>
    <cfRule type="expression" dxfId="8337" priority="8375">
      <formula>$F103="SAV Sicli"</formula>
    </cfRule>
    <cfRule type="expression" dxfId="8336" priority="8376">
      <formula>$F103="SAV Chubb"</formula>
    </cfRule>
    <cfRule type="expression" dxfId="8335" priority="8377">
      <formula>$F103="Réalisation"</formula>
    </cfRule>
    <cfRule type="expression" dxfId="8334" priority="8378">
      <formula>$F103="Désenfumage"</formula>
    </cfRule>
    <cfRule type="expression" dxfId="8333" priority="8379">
      <formula>$F103="Administratif"</formula>
    </cfRule>
  </conditionalFormatting>
  <conditionalFormatting sqref="C103:D103">
    <cfRule type="expression" dxfId="8332" priority="8370">
      <formula>$H103="non"</formula>
    </cfRule>
  </conditionalFormatting>
  <conditionalFormatting sqref="C102:D102">
    <cfRule type="expression" dxfId="8331" priority="8361">
      <formula>$F102="Formation CCF"</formula>
    </cfRule>
    <cfRule type="expression" dxfId="8330" priority="8362">
      <formula>$F102="Direction"</formula>
    </cfRule>
    <cfRule type="expression" dxfId="8329" priority="8363">
      <formula>$F102="Ventes Sicli"</formula>
    </cfRule>
    <cfRule type="expression" dxfId="8328" priority="8364">
      <formula>$F102="Ventes Chubb"</formula>
    </cfRule>
    <cfRule type="expression" dxfId="8327" priority="8365">
      <formula>$F102="SAV Sicli"</formula>
    </cfRule>
    <cfRule type="expression" dxfId="8326" priority="8366">
      <formula>$F102="SAV Chubb"</formula>
    </cfRule>
    <cfRule type="expression" dxfId="8325" priority="8367">
      <formula>$F102="Réalisation"</formula>
    </cfRule>
    <cfRule type="expression" dxfId="8324" priority="8368">
      <formula>$F102="Désenfumage"</formula>
    </cfRule>
    <cfRule type="expression" dxfId="8323" priority="8369">
      <formula>$F102="Administratif"</formula>
    </cfRule>
  </conditionalFormatting>
  <conditionalFormatting sqref="C102:D102">
    <cfRule type="expression" dxfId="8322" priority="8360">
      <formula>$H102="non"</formula>
    </cfRule>
  </conditionalFormatting>
  <conditionalFormatting sqref="C101:D101">
    <cfRule type="expression" dxfId="8321" priority="8351">
      <formula>$F101="Formation CCF"</formula>
    </cfRule>
    <cfRule type="expression" dxfId="8320" priority="8352">
      <formula>$F101="Direction"</formula>
    </cfRule>
    <cfRule type="expression" dxfId="8319" priority="8353">
      <formula>$F101="Ventes Sicli"</formula>
    </cfRule>
    <cfRule type="expression" dxfId="8318" priority="8354">
      <formula>$F101="Ventes Chubb"</formula>
    </cfRule>
    <cfRule type="expression" dxfId="8317" priority="8355">
      <formula>$F101="SAV Sicli"</formula>
    </cfRule>
    <cfRule type="expression" dxfId="8316" priority="8356">
      <formula>$F101="SAV Chubb"</formula>
    </cfRule>
    <cfRule type="expression" dxfId="8315" priority="8357">
      <formula>$F101="Réalisation"</formula>
    </cfRule>
    <cfRule type="expression" dxfId="8314" priority="8358">
      <formula>$F101="Désenfumage"</formula>
    </cfRule>
    <cfRule type="expression" dxfId="8313" priority="8359">
      <formula>$F101="Administratif"</formula>
    </cfRule>
  </conditionalFormatting>
  <conditionalFormatting sqref="C101:D101">
    <cfRule type="expression" dxfId="8312" priority="8350">
      <formula>$H101="non"</formula>
    </cfRule>
  </conditionalFormatting>
  <conditionalFormatting sqref="C100:D100">
    <cfRule type="expression" dxfId="8311" priority="8341">
      <formula>$F100="Formation CCF"</formula>
    </cfRule>
    <cfRule type="expression" dxfId="8310" priority="8342">
      <formula>$F100="Direction"</formula>
    </cfRule>
    <cfRule type="expression" dxfId="8309" priority="8343">
      <formula>$F100="Ventes Sicli"</formula>
    </cfRule>
    <cfRule type="expression" dxfId="8308" priority="8344">
      <formula>$F100="Ventes Chubb"</formula>
    </cfRule>
    <cfRule type="expression" dxfId="8307" priority="8345">
      <formula>$F100="SAV Sicli"</formula>
    </cfRule>
    <cfRule type="expression" dxfId="8306" priority="8346">
      <formula>$F100="SAV Chubb"</formula>
    </cfRule>
    <cfRule type="expression" dxfId="8305" priority="8347">
      <formula>$F100="Réalisation"</formula>
    </cfRule>
    <cfRule type="expression" dxfId="8304" priority="8348">
      <formula>$F100="Désenfumage"</formula>
    </cfRule>
    <cfRule type="expression" dxfId="8303" priority="8349">
      <formula>$F100="Administratif"</formula>
    </cfRule>
  </conditionalFormatting>
  <conditionalFormatting sqref="C100:D100">
    <cfRule type="expression" dxfId="8302" priority="8340">
      <formula>$H100="non"</formula>
    </cfRule>
  </conditionalFormatting>
  <conditionalFormatting sqref="C99:D99">
    <cfRule type="expression" dxfId="8301" priority="8331">
      <formula>$F99="Formation CCF"</formula>
    </cfRule>
    <cfRule type="expression" dxfId="8300" priority="8332">
      <formula>$F99="Direction"</formula>
    </cfRule>
    <cfRule type="expression" dxfId="8299" priority="8333">
      <formula>$F99="Ventes Sicli"</formula>
    </cfRule>
    <cfRule type="expression" dxfId="8298" priority="8334">
      <formula>$F99="Ventes Chubb"</formula>
    </cfRule>
    <cfRule type="expression" dxfId="8297" priority="8335">
      <formula>$F99="SAV Sicli"</formula>
    </cfRule>
    <cfRule type="expression" dxfId="8296" priority="8336">
      <formula>$F99="SAV Chubb"</formula>
    </cfRule>
    <cfRule type="expression" dxfId="8295" priority="8337">
      <formula>$F99="Réalisation"</formula>
    </cfRule>
    <cfRule type="expression" dxfId="8294" priority="8338">
      <formula>$F99="Désenfumage"</formula>
    </cfRule>
    <cfRule type="expression" dxfId="8293" priority="8339">
      <formula>$F99="Administratif"</formula>
    </cfRule>
  </conditionalFormatting>
  <conditionalFormatting sqref="C99:D99">
    <cfRule type="expression" dxfId="8292" priority="8330">
      <formula>$H99="non"</formula>
    </cfRule>
  </conditionalFormatting>
  <conditionalFormatting sqref="D97">
    <cfRule type="expression" dxfId="8291" priority="8321">
      <formula>$F97="Formation CCF"</formula>
    </cfRule>
    <cfRule type="expression" dxfId="8290" priority="8322">
      <formula>$F97="Direction"</formula>
    </cfRule>
    <cfRule type="expression" dxfId="8289" priority="8323">
      <formula>$F97="Ventes Sicli"</formula>
    </cfRule>
    <cfRule type="expression" dxfId="8288" priority="8324">
      <formula>$F97="Ventes Chubb"</formula>
    </cfRule>
    <cfRule type="expression" dxfId="8287" priority="8325">
      <formula>$F97="SAV Sicli"</formula>
    </cfRule>
    <cfRule type="expression" dxfId="8286" priority="8326">
      <formula>$F97="SAV Chubb"</formula>
    </cfRule>
    <cfRule type="expression" dxfId="8285" priority="8327">
      <formula>$F97="Réalisation"</formula>
    </cfRule>
    <cfRule type="expression" dxfId="8284" priority="8328">
      <formula>$F97="Désenfumage"</formula>
    </cfRule>
    <cfRule type="expression" dxfId="8283" priority="8329">
      <formula>$F97="Administratif"</formula>
    </cfRule>
  </conditionalFormatting>
  <conditionalFormatting sqref="D97">
    <cfRule type="expression" dxfId="8282" priority="8320">
      <formula>$H97="non"</formula>
    </cfRule>
  </conditionalFormatting>
  <conditionalFormatting sqref="D96">
    <cfRule type="expression" dxfId="8281" priority="8311">
      <formula>$F96="Formation CCF"</formula>
    </cfRule>
    <cfRule type="expression" dxfId="8280" priority="8312">
      <formula>$F96="Direction"</formula>
    </cfRule>
    <cfRule type="expression" dxfId="8279" priority="8313">
      <formula>$F96="Ventes Sicli"</formula>
    </cfRule>
    <cfRule type="expression" dxfId="8278" priority="8314">
      <formula>$F96="Ventes Chubb"</formula>
    </cfRule>
    <cfRule type="expression" dxfId="8277" priority="8315">
      <formula>$F96="SAV Sicli"</formula>
    </cfRule>
    <cfRule type="expression" dxfId="8276" priority="8316">
      <formula>$F96="SAV Chubb"</formula>
    </cfRule>
    <cfRule type="expression" dxfId="8275" priority="8317">
      <formula>$F96="Réalisation"</formula>
    </cfRule>
    <cfRule type="expression" dxfId="8274" priority="8318">
      <formula>$F96="Désenfumage"</formula>
    </cfRule>
    <cfRule type="expression" dxfId="8273" priority="8319">
      <formula>$F96="Administratif"</formula>
    </cfRule>
  </conditionalFormatting>
  <conditionalFormatting sqref="D96">
    <cfRule type="expression" dxfId="8272" priority="8310">
      <formula>$H96="non"</formula>
    </cfRule>
  </conditionalFormatting>
  <conditionalFormatting sqref="D95">
    <cfRule type="expression" dxfId="8271" priority="8301">
      <formula>$F95="Formation CCF"</formula>
    </cfRule>
    <cfRule type="expression" dxfId="8270" priority="8302">
      <formula>$F95="Direction"</formula>
    </cfRule>
    <cfRule type="expression" dxfId="8269" priority="8303">
      <formula>$F95="Ventes Sicli"</formula>
    </cfRule>
    <cfRule type="expression" dxfId="8268" priority="8304">
      <formula>$F95="Ventes Chubb"</formula>
    </cfRule>
    <cfRule type="expression" dxfId="8267" priority="8305">
      <formula>$F95="SAV Sicli"</formula>
    </cfRule>
    <cfRule type="expression" dxfId="8266" priority="8306">
      <formula>$F95="SAV Chubb"</formula>
    </cfRule>
    <cfRule type="expression" dxfId="8265" priority="8307">
      <formula>$F95="Réalisation"</formula>
    </cfRule>
    <cfRule type="expression" dxfId="8264" priority="8308">
      <formula>$F95="Désenfumage"</formula>
    </cfRule>
    <cfRule type="expression" dxfId="8263" priority="8309">
      <formula>$F95="Administratif"</formula>
    </cfRule>
  </conditionalFormatting>
  <conditionalFormatting sqref="D95">
    <cfRule type="expression" dxfId="8262" priority="8300">
      <formula>$H95="non"</formula>
    </cfRule>
  </conditionalFormatting>
  <conditionalFormatting sqref="D94">
    <cfRule type="expression" dxfId="8261" priority="8291">
      <formula>$F94="Formation CCF"</formula>
    </cfRule>
    <cfRule type="expression" dxfId="8260" priority="8292">
      <formula>$F94="Direction"</formula>
    </cfRule>
    <cfRule type="expression" dxfId="8259" priority="8293">
      <formula>$F94="Ventes Sicli"</formula>
    </cfRule>
    <cfRule type="expression" dxfId="8258" priority="8294">
      <formula>$F94="Ventes Chubb"</formula>
    </cfRule>
    <cfRule type="expression" dxfId="8257" priority="8295">
      <formula>$F94="SAV Sicli"</formula>
    </cfRule>
    <cfRule type="expression" dxfId="8256" priority="8296">
      <formula>$F94="SAV Chubb"</formula>
    </cfRule>
    <cfRule type="expression" dxfId="8255" priority="8297">
      <formula>$F94="Réalisation"</formula>
    </cfRule>
    <cfRule type="expression" dxfId="8254" priority="8298">
      <formula>$F94="Désenfumage"</formula>
    </cfRule>
    <cfRule type="expression" dxfId="8253" priority="8299">
      <formula>$F94="Administratif"</formula>
    </cfRule>
  </conditionalFormatting>
  <conditionalFormatting sqref="D94">
    <cfRule type="expression" dxfId="8252" priority="8290">
      <formula>$H94="non"</formula>
    </cfRule>
  </conditionalFormatting>
  <conditionalFormatting sqref="D93">
    <cfRule type="expression" dxfId="8251" priority="8281">
      <formula>$F93="Formation CCF"</formula>
    </cfRule>
    <cfRule type="expression" dxfId="8250" priority="8282">
      <formula>$F93="Direction"</formula>
    </cfRule>
    <cfRule type="expression" dxfId="8249" priority="8283">
      <formula>$F93="Ventes Sicli"</formula>
    </cfRule>
    <cfRule type="expression" dxfId="8248" priority="8284">
      <formula>$F93="Ventes Chubb"</formula>
    </cfRule>
    <cfRule type="expression" dxfId="8247" priority="8285">
      <formula>$F93="SAV Sicli"</formula>
    </cfRule>
    <cfRule type="expression" dxfId="8246" priority="8286">
      <formula>$F93="SAV Chubb"</formula>
    </cfRule>
    <cfRule type="expression" dxfId="8245" priority="8287">
      <formula>$F93="Réalisation"</formula>
    </cfRule>
    <cfRule type="expression" dxfId="8244" priority="8288">
      <formula>$F93="Désenfumage"</formula>
    </cfRule>
    <cfRule type="expression" dxfId="8243" priority="8289">
      <formula>$F93="Administratif"</formula>
    </cfRule>
  </conditionalFormatting>
  <conditionalFormatting sqref="D93">
    <cfRule type="expression" dxfId="8242" priority="8280">
      <formula>$H93="non"</formula>
    </cfRule>
  </conditionalFormatting>
  <conditionalFormatting sqref="D92">
    <cfRule type="expression" dxfId="8241" priority="8271">
      <formula>$F92="Formation CCF"</formula>
    </cfRule>
    <cfRule type="expression" dxfId="8240" priority="8272">
      <formula>$F92="Direction"</formula>
    </cfRule>
    <cfRule type="expression" dxfId="8239" priority="8273">
      <formula>$F92="Ventes Sicli"</formula>
    </cfRule>
    <cfRule type="expression" dxfId="8238" priority="8274">
      <formula>$F92="Ventes Chubb"</formula>
    </cfRule>
    <cfRule type="expression" dxfId="8237" priority="8275">
      <formula>$F92="SAV Sicli"</formula>
    </cfRule>
    <cfRule type="expression" dxfId="8236" priority="8276">
      <formula>$F92="SAV Chubb"</formula>
    </cfRule>
    <cfRule type="expression" dxfId="8235" priority="8277">
      <formula>$F92="Réalisation"</formula>
    </cfRule>
    <cfRule type="expression" dxfId="8234" priority="8278">
      <formula>$F92="Désenfumage"</formula>
    </cfRule>
    <cfRule type="expression" dxfId="8233" priority="8279">
      <formula>$F92="Administratif"</formula>
    </cfRule>
  </conditionalFormatting>
  <conditionalFormatting sqref="D92">
    <cfRule type="expression" dxfId="8232" priority="8270">
      <formula>$H92="non"</formula>
    </cfRule>
  </conditionalFormatting>
  <conditionalFormatting sqref="D91">
    <cfRule type="expression" dxfId="8231" priority="8261">
      <formula>$F91="Formation CCF"</formula>
    </cfRule>
    <cfRule type="expression" dxfId="8230" priority="8262">
      <formula>$F91="Direction"</formula>
    </cfRule>
    <cfRule type="expression" dxfId="8229" priority="8263">
      <formula>$F91="Ventes Sicli"</formula>
    </cfRule>
    <cfRule type="expression" dxfId="8228" priority="8264">
      <formula>$F91="Ventes Chubb"</formula>
    </cfRule>
    <cfRule type="expression" dxfId="8227" priority="8265">
      <formula>$F91="SAV Sicli"</formula>
    </cfRule>
    <cfRule type="expression" dxfId="8226" priority="8266">
      <formula>$F91="SAV Chubb"</formula>
    </cfRule>
    <cfRule type="expression" dxfId="8225" priority="8267">
      <formula>$F91="Réalisation"</formula>
    </cfRule>
    <cfRule type="expression" dxfId="8224" priority="8268">
      <formula>$F91="Désenfumage"</formula>
    </cfRule>
    <cfRule type="expression" dxfId="8223" priority="8269">
      <formula>$F91="Administratif"</formula>
    </cfRule>
  </conditionalFormatting>
  <conditionalFormatting sqref="D91">
    <cfRule type="expression" dxfId="8222" priority="8260">
      <formula>$H91="non"</formula>
    </cfRule>
  </conditionalFormatting>
  <conditionalFormatting sqref="D90">
    <cfRule type="expression" dxfId="8221" priority="8251">
      <formula>$F90="Formation CCF"</formula>
    </cfRule>
    <cfRule type="expression" dxfId="8220" priority="8252">
      <formula>$F90="Direction"</formula>
    </cfRule>
    <cfRule type="expression" dxfId="8219" priority="8253">
      <formula>$F90="Ventes Sicli"</formula>
    </cfRule>
    <cfRule type="expression" dxfId="8218" priority="8254">
      <formula>$F90="Ventes Chubb"</formula>
    </cfRule>
    <cfRule type="expression" dxfId="8217" priority="8255">
      <formula>$F90="SAV Sicli"</formula>
    </cfRule>
    <cfRule type="expression" dxfId="8216" priority="8256">
      <formula>$F90="SAV Chubb"</formula>
    </cfRule>
    <cfRule type="expression" dxfId="8215" priority="8257">
      <formula>$F90="Réalisation"</formula>
    </cfRule>
    <cfRule type="expression" dxfId="8214" priority="8258">
      <formula>$F90="Désenfumage"</formula>
    </cfRule>
    <cfRule type="expression" dxfId="8213" priority="8259">
      <formula>$F90="Administratif"</formula>
    </cfRule>
  </conditionalFormatting>
  <conditionalFormatting sqref="D90">
    <cfRule type="expression" dxfId="8212" priority="8250">
      <formula>$H90="non"</formula>
    </cfRule>
  </conditionalFormatting>
  <conditionalFormatting sqref="D89">
    <cfRule type="expression" dxfId="8211" priority="8241">
      <formula>$F89="Formation CCF"</formula>
    </cfRule>
    <cfRule type="expression" dxfId="8210" priority="8242">
      <formula>$F89="Direction"</formula>
    </cfRule>
    <cfRule type="expression" dxfId="8209" priority="8243">
      <formula>$F89="Ventes Sicli"</formula>
    </cfRule>
    <cfRule type="expression" dxfId="8208" priority="8244">
      <formula>$F89="Ventes Chubb"</formula>
    </cfRule>
    <cfRule type="expression" dxfId="8207" priority="8245">
      <formula>$F89="SAV Sicli"</formula>
    </cfRule>
    <cfRule type="expression" dxfId="8206" priority="8246">
      <formula>$F89="SAV Chubb"</formula>
    </cfRule>
    <cfRule type="expression" dxfId="8205" priority="8247">
      <formula>$F89="Réalisation"</formula>
    </cfRule>
    <cfRule type="expression" dxfId="8204" priority="8248">
      <formula>$F89="Désenfumage"</formula>
    </cfRule>
    <cfRule type="expression" dxfId="8203" priority="8249">
      <formula>$F89="Administratif"</formula>
    </cfRule>
  </conditionalFormatting>
  <conditionalFormatting sqref="D89">
    <cfRule type="expression" dxfId="8202" priority="8240">
      <formula>$H89="non"</formula>
    </cfRule>
  </conditionalFormatting>
  <conditionalFormatting sqref="D88">
    <cfRule type="expression" dxfId="8201" priority="8231">
      <formula>$F88="Formation CCF"</formula>
    </cfRule>
    <cfRule type="expression" dxfId="8200" priority="8232">
      <formula>$F88="Direction"</formula>
    </cfRule>
    <cfRule type="expression" dxfId="8199" priority="8233">
      <formula>$F88="Ventes Sicli"</formula>
    </cfRule>
    <cfRule type="expression" dxfId="8198" priority="8234">
      <formula>$F88="Ventes Chubb"</formula>
    </cfRule>
    <cfRule type="expression" dxfId="8197" priority="8235">
      <formula>$F88="SAV Sicli"</formula>
    </cfRule>
    <cfRule type="expression" dxfId="8196" priority="8236">
      <formula>$F88="SAV Chubb"</formula>
    </cfRule>
    <cfRule type="expression" dxfId="8195" priority="8237">
      <formula>$F88="Réalisation"</formula>
    </cfRule>
    <cfRule type="expression" dxfId="8194" priority="8238">
      <formula>$F88="Désenfumage"</formula>
    </cfRule>
    <cfRule type="expression" dxfId="8193" priority="8239">
      <formula>$F88="Administratif"</formula>
    </cfRule>
  </conditionalFormatting>
  <conditionalFormatting sqref="D88">
    <cfRule type="expression" dxfId="8192" priority="8230">
      <formula>$H88="non"</formula>
    </cfRule>
  </conditionalFormatting>
  <conditionalFormatting sqref="D87">
    <cfRule type="expression" dxfId="8191" priority="8221">
      <formula>$F87="Formation CCF"</formula>
    </cfRule>
    <cfRule type="expression" dxfId="8190" priority="8222">
      <formula>$F87="Direction"</formula>
    </cfRule>
    <cfRule type="expression" dxfId="8189" priority="8223">
      <formula>$F87="Ventes Sicli"</formula>
    </cfRule>
    <cfRule type="expression" dxfId="8188" priority="8224">
      <formula>$F87="Ventes Chubb"</formula>
    </cfRule>
    <cfRule type="expression" dxfId="8187" priority="8225">
      <formula>$F87="SAV Sicli"</formula>
    </cfRule>
    <cfRule type="expression" dxfId="8186" priority="8226">
      <formula>$F87="SAV Chubb"</formula>
    </cfRule>
    <cfRule type="expression" dxfId="8185" priority="8227">
      <formula>$F87="Réalisation"</formula>
    </cfRule>
    <cfRule type="expression" dxfId="8184" priority="8228">
      <formula>$F87="Désenfumage"</formula>
    </cfRule>
    <cfRule type="expression" dxfId="8183" priority="8229">
      <formula>$F87="Administratif"</formula>
    </cfRule>
  </conditionalFormatting>
  <conditionalFormatting sqref="D87">
    <cfRule type="expression" dxfId="8182" priority="8220">
      <formula>$H87="non"</formula>
    </cfRule>
  </conditionalFormatting>
  <conditionalFormatting sqref="D86">
    <cfRule type="expression" dxfId="8181" priority="8211">
      <formula>$F86="Formation CCF"</formula>
    </cfRule>
    <cfRule type="expression" dxfId="8180" priority="8212">
      <formula>$F86="Direction"</formula>
    </cfRule>
    <cfRule type="expression" dxfId="8179" priority="8213">
      <formula>$F86="Ventes Sicli"</formula>
    </cfRule>
    <cfRule type="expression" dxfId="8178" priority="8214">
      <formula>$F86="Ventes Chubb"</formula>
    </cfRule>
    <cfRule type="expression" dxfId="8177" priority="8215">
      <formula>$F86="SAV Sicli"</formula>
    </cfRule>
    <cfRule type="expression" dxfId="8176" priority="8216">
      <formula>$F86="SAV Chubb"</formula>
    </cfRule>
    <cfRule type="expression" dxfId="8175" priority="8217">
      <formula>$F86="Réalisation"</formula>
    </cfRule>
    <cfRule type="expression" dxfId="8174" priority="8218">
      <formula>$F86="Désenfumage"</formula>
    </cfRule>
    <cfRule type="expression" dxfId="8173" priority="8219">
      <formula>$F86="Administratif"</formula>
    </cfRule>
  </conditionalFormatting>
  <conditionalFormatting sqref="D86">
    <cfRule type="expression" dxfId="8172" priority="8210">
      <formula>$H86="non"</formula>
    </cfRule>
  </conditionalFormatting>
  <conditionalFormatting sqref="D96">
    <cfRule type="expression" dxfId="8171" priority="8201">
      <formula>$F96="Formation CCF"</formula>
    </cfRule>
    <cfRule type="expression" dxfId="8170" priority="8202">
      <formula>$F96="Direction"</formula>
    </cfRule>
    <cfRule type="expression" dxfId="8169" priority="8203">
      <formula>$F96="Ventes Sicli"</formula>
    </cfRule>
    <cfRule type="expression" dxfId="8168" priority="8204">
      <formula>$F96="Ventes Chubb"</formula>
    </cfRule>
    <cfRule type="expression" dxfId="8167" priority="8205">
      <formula>$F96="SAV Sicli"</formula>
    </cfRule>
    <cfRule type="expression" dxfId="8166" priority="8206">
      <formula>$F96="SAV Chubb"</formula>
    </cfRule>
    <cfRule type="expression" dxfId="8165" priority="8207">
      <formula>$F96="Réalisation"</formula>
    </cfRule>
    <cfRule type="expression" dxfId="8164" priority="8208">
      <formula>$F96="Désenfumage"</formula>
    </cfRule>
    <cfRule type="expression" dxfId="8163" priority="8209">
      <formula>$F96="Administratif"</formula>
    </cfRule>
  </conditionalFormatting>
  <conditionalFormatting sqref="D96">
    <cfRule type="expression" dxfId="8162" priority="8200">
      <formula>$H96="non"</formula>
    </cfRule>
  </conditionalFormatting>
  <conditionalFormatting sqref="D95">
    <cfRule type="expression" dxfId="8161" priority="8191">
      <formula>$F95="Formation CCF"</formula>
    </cfRule>
    <cfRule type="expression" dxfId="8160" priority="8192">
      <formula>$F95="Direction"</formula>
    </cfRule>
    <cfRule type="expression" dxfId="8159" priority="8193">
      <formula>$F95="Ventes Sicli"</formula>
    </cfRule>
    <cfRule type="expression" dxfId="8158" priority="8194">
      <formula>$F95="Ventes Chubb"</formula>
    </cfRule>
    <cfRule type="expression" dxfId="8157" priority="8195">
      <formula>$F95="SAV Sicli"</formula>
    </cfRule>
    <cfRule type="expression" dxfId="8156" priority="8196">
      <formula>$F95="SAV Chubb"</formula>
    </cfRule>
    <cfRule type="expression" dxfId="8155" priority="8197">
      <formula>$F95="Réalisation"</formula>
    </cfRule>
    <cfRule type="expression" dxfId="8154" priority="8198">
      <formula>$F95="Désenfumage"</formula>
    </cfRule>
    <cfRule type="expression" dxfId="8153" priority="8199">
      <formula>$F95="Administratif"</formula>
    </cfRule>
  </conditionalFormatting>
  <conditionalFormatting sqref="D95">
    <cfRule type="expression" dxfId="8152" priority="8190">
      <formula>$H95="non"</formula>
    </cfRule>
  </conditionalFormatting>
  <conditionalFormatting sqref="D94">
    <cfRule type="expression" dxfId="8151" priority="8181">
      <formula>$F94="Formation CCF"</formula>
    </cfRule>
    <cfRule type="expression" dxfId="8150" priority="8182">
      <formula>$F94="Direction"</formula>
    </cfRule>
    <cfRule type="expression" dxfId="8149" priority="8183">
      <formula>$F94="Ventes Sicli"</formula>
    </cfRule>
    <cfRule type="expression" dxfId="8148" priority="8184">
      <formula>$F94="Ventes Chubb"</formula>
    </cfRule>
    <cfRule type="expression" dxfId="8147" priority="8185">
      <formula>$F94="SAV Sicli"</formula>
    </cfRule>
    <cfRule type="expression" dxfId="8146" priority="8186">
      <formula>$F94="SAV Chubb"</formula>
    </cfRule>
    <cfRule type="expression" dxfId="8145" priority="8187">
      <formula>$F94="Réalisation"</formula>
    </cfRule>
    <cfRule type="expression" dxfId="8144" priority="8188">
      <formula>$F94="Désenfumage"</formula>
    </cfRule>
    <cfRule type="expression" dxfId="8143" priority="8189">
      <formula>$F94="Administratif"</formula>
    </cfRule>
  </conditionalFormatting>
  <conditionalFormatting sqref="D94">
    <cfRule type="expression" dxfId="8142" priority="8180">
      <formula>$H94="non"</formula>
    </cfRule>
  </conditionalFormatting>
  <conditionalFormatting sqref="D92">
    <cfRule type="expression" dxfId="8141" priority="8171">
      <formula>$F92="Formation CCF"</formula>
    </cfRule>
    <cfRule type="expression" dxfId="8140" priority="8172">
      <formula>$F92="Direction"</formula>
    </cfRule>
    <cfRule type="expression" dxfId="8139" priority="8173">
      <formula>$F92="Ventes Sicli"</formula>
    </cfRule>
    <cfRule type="expression" dxfId="8138" priority="8174">
      <formula>$F92="Ventes Chubb"</formula>
    </cfRule>
    <cfRule type="expression" dxfId="8137" priority="8175">
      <formula>$F92="SAV Sicli"</formula>
    </cfRule>
    <cfRule type="expression" dxfId="8136" priority="8176">
      <formula>$F92="SAV Chubb"</formula>
    </cfRule>
    <cfRule type="expression" dxfId="8135" priority="8177">
      <formula>$F92="Réalisation"</formula>
    </cfRule>
    <cfRule type="expression" dxfId="8134" priority="8178">
      <formula>$F92="Désenfumage"</formula>
    </cfRule>
    <cfRule type="expression" dxfId="8133" priority="8179">
      <formula>$F92="Administratif"</formula>
    </cfRule>
  </conditionalFormatting>
  <conditionalFormatting sqref="D92">
    <cfRule type="expression" dxfId="8132" priority="8170">
      <formula>$H92="non"</formula>
    </cfRule>
  </conditionalFormatting>
  <conditionalFormatting sqref="D91">
    <cfRule type="expression" dxfId="8131" priority="8161">
      <formula>$F91="Formation CCF"</formula>
    </cfRule>
    <cfRule type="expression" dxfId="8130" priority="8162">
      <formula>$F91="Direction"</formula>
    </cfRule>
    <cfRule type="expression" dxfId="8129" priority="8163">
      <formula>$F91="Ventes Sicli"</formula>
    </cfRule>
    <cfRule type="expression" dxfId="8128" priority="8164">
      <formula>$F91="Ventes Chubb"</formula>
    </cfRule>
    <cfRule type="expression" dxfId="8127" priority="8165">
      <formula>$F91="SAV Sicli"</formula>
    </cfRule>
    <cfRule type="expression" dxfId="8126" priority="8166">
      <formula>$F91="SAV Chubb"</formula>
    </cfRule>
    <cfRule type="expression" dxfId="8125" priority="8167">
      <formula>$F91="Réalisation"</formula>
    </cfRule>
    <cfRule type="expression" dxfId="8124" priority="8168">
      <formula>$F91="Désenfumage"</formula>
    </cfRule>
    <cfRule type="expression" dxfId="8123" priority="8169">
      <formula>$F91="Administratif"</formula>
    </cfRule>
  </conditionalFormatting>
  <conditionalFormatting sqref="D91">
    <cfRule type="expression" dxfId="8122" priority="8160">
      <formula>$H91="non"</formula>
    </cfRule>
  </conditionalFormatting>
  <conditionalFormatting sqref="D90">
    <cfRule type="expression" dxfId="8121" priority="8151">
      <formula>$F90="Formation CCF"</formula>
    </cfRule>
    <cfRule type="expression" dxfId="8120" priority="8152">
      <formula>$F90="Direction"</formula>
    </cfRule>
    <cfRule type="expression" dxfId="8119" priority="8153">
      <formula>$F90="Ventes Sicli"</formula>
    </cfRule>
    <cfRule type="expression" dxfId="8118" priority="8154">
      <formula>$F90="Ventes Chubb"</formula>
    </cfRule>
    <cfRule type="expression" dxfId="8117" priority="8155">
      <formula>$F90="SAV Sicli"</formula>
    </cfRule>
    <cfRule type="expression" dxfId="8116" priority="8156">
      <formula>$F90="SAV Chubb"</formula>
    </cfRule>
    <cfRule type="expression" dxfId="8115" priority="8157">
      <formula>$F90="Réalisation"</formula>
    </cfRule>
    <cfRule type="expression" dxfId="8114" priority="8158">
      <formula>$F90="Désenfumage"</formula>
    </cfRule>
    <cfRule type="expression" dxfId="8113" priority="8159">
      <formula>$F90="Administratif"</formula>
    </cfRule>
  </conditionalFormatting>
  <conditionalFormatting sqref="D90">
    <cfRule type="expression" dxfId="8112" priority="8150">
      <formula>$H90="non"</formula>
    </cfRule>
  </conditionalFormatting>
  <conditionalFormatting sqref="D89">
    <cfRule type="expression" dxfId="8111" priority="8141">
      <formula>$F89="Formation CCF"</formula>
    </cfRule>
    <cfRule type="expression" dxfId="8110" priority="8142">
      <formula>$F89="Direction"</formula>
    </cfRule>
    <cfRule type="expression" dxfId="8109" priority="8143">
      <formula>$F89="Ventes Sicli"</formula>
    </cfRule>
    <cfRule type="expression" dxfId="8108" priority="8144">
      <formula>$F89="Ventes Chubb"</formula>
    </cfRule>
    <cfRule type="expression" dxfId="8107" priority="8145">
      <formula>$F89="SAV Sicli"</formula>
    </cfRule>
    <cfRule type="expression" dxfId="8106" priority="8146">
      <formula>$F89="SAV Chubb"</formula>
    </cfRule>
    <cfRule type="expression" dxfId="8105" priority="8147">
      <formula>$F89="Réalisation"</formula>
    </cfRule>
    <cfRule type="expression" dxfId="8104" priority="8148">
      <formula>$F89="Désenfumage"</formula>
    </cfRule>
    <cfRule type="expression" dxfId="8103" priority="8149">
      <formula>$F89="Administratif"</formula>
    </cfRule>
  </conditionalFormatting>
  <conditionalFormatting sqref="D89">
    <cfRule type="expression" dxfId="8102" priority="8140">
      <formula>$H89="non"</formula>
    </cfRule>
  </conditionalFormatting>
  <conditionalFormatting sqref="C103:D103">
    <cfRule type="expression" dxfId="8101" priority="8131">
      <formula>$F103="Formation CCF"</formula>
    </cfRule>
    <cfRule type="expression" dxfId="8100" priority="8132">
      <formula>$F103="Direction"</formula>
    </cfRule>
    <cfRule type="expression" dxfId="8099" priority="8133">
      <formula>$F103="Ventes Sicli"</formula>
    </cfRule>
    <cfRule type="expression" dxfId="8098" priority="8134">
      <formula>$F103="Ventes Chubb"</formula>
    </cfRule>
    <cfRule type="expression" dxfId="8097" priority="8135">
      <formula>$F103="SAV Sicli"</formula>
    </cfRule>
    <cfRule type="expression" dxfId="8096" priority="8136">
      <formula>$F103="SAV Chubb"</formula>
    </cfRule>
    <cfRule type="expression" dxfId="8095" priority="8137">
      <formula>$F103="Réalisation"</formula>
    </cfRule>
    <cfRule type="expression" dxfId="8094" priority="8138">
      <formula>$F103="Désenfumage"</formula>
    </cfRule>
    <cfRule type="expression" dxfId="8093" priority="8139">
      <formula>$F103="Administratif"</formula>
    </cfRule>
  </conditionalFormatting>
  <conditionalFormatting sqref="C103:D103">
    <cfRule type="expression" dxfId="8092" priority="8130">
      <formula>$H103="non"</formula>
    </cfRule>
  </conditionalFormatting>
  <conditionalFormatting sqref="C102:D102">
    <cfRule type="expression" dxfId="8091" priority="8121">
      <formula>$F102="Formation CCF"</formula>
    </cfRule>
    <cfRule type="expression" dxfId="8090" priority="8122">
      <formula>$F102="Direction"</formula>
    </cfRule>
    <cfRule type="expression" dxfId="8089" priority="8123">
      <formula>$F102="Ventes Sicli"</formula>
    </cfRule>
    <cfRule type="expression" dxfId="8088" priority="8124">
      <formula>$F102="Ventes Chubb"</formula>
    </cfRule>
    <cfRule type="expression" dxfId="8087" priority="8125">
      <formula>$F102="SAV Sicli"</formula>
    </cfRule>
    <cfRule type="expression" dxfId="8086" priority="8126">
      <formula>$F102="SAV Chubb"</formula>
    </cfRule>
    <cfRule type="expression" dxfId="8085" priority="8127">
      <formula>$F102="Réalisation"</formula>
    </cfRule>
    <cfRule type="expression" dxfId="8084" priority="8128">
      <formula>$F102="Désenfumage"</formula>
    </cfRule>
    <cfRule type="expression" dxfId="8083" priority="8129">
      <formula>$F102="Administratif"</formula>
    </cfRule>
  </conditionalFormatting>
  <conditionalFormatting sqref="C102:D102">
    <cfRule type="expression" dxfId="8082" priority="8120">
      <formula>$H102="non"</formula>
    </cfRule>
  </conditionalFormatting>
  <conditionalFormatting sqref="C101:D101">
    <cfRule type="expression" dxfId="8081" priority="8111">
      <formula>$F101="Formation CCF"</formula>
    </cfRule>
    <cfRule type="expression" dxfId="8080" priority="8112">
      <formula>$F101="Direction"</formula>
    </cfRule>
    <cfRule type="expression" dxfId="8079" priority="8113">
      <formula>$F101="Ventes Sicli"</formula>
    </cfRule>
    <cfRule type="expression" dxfId="8078" priority="8114">
      <formula>$F101="Ventes Chubb"</formula>
    </cfRule>
    <cfRule type="expression" dxfId="8077" priority="8115">
      <formula>$F101="SAV Sicli"</formula>
    </cfRule>
    <cfRule type="expression" dxfId="8076" priority="8116">
      <formula>$F101="SAV Chubb"</formula>
    </cfRule>
    <cfRule type="expression" dxfId="8075" priority="8117">
      <formula>$F101="Réalisation"</formula>
    </cfRule>
    <cfRule type="expression" dxfId="8074" priority="8118">
      <formula>$F101="Désenfumage"</formula>
    </cfRule>
    <cfRule type="expression" dxfId="8073" priority="8119">
      <formula>$F101="Administratif"</formula>
    </cfRule>
  </conditionalFormatting>
  <conditionalFormatting sqref="C101:D101">
    <cfRule type="expression" dxfId="8072" priority="8110">
      <formula>$H101="non"</formula>
    </cfRule>
  </conditionalFormatting>
  <conditionalFormatting sqref="C100:D100">
    <cfRule type="expression" dxfId="8071" priority="8101">
      <formula>$F100="Formation CCF"</formula>
    </cfRule>
    <cfRule type="expression" dxfId="8070" priority="8102">
      <formula>$F100="Direction"</formula>
    </cfRule>
    <cfRule type="expression" dxfId="8069" priority="8103">
      <formula>$F100="Ventes Sicli"</formula>
    </cfRule>
    <cfRule type="expression" dxfId="8068" priority="8104">
      <formula>$F100="Ventes Chubb"</formula>
    </cfRule>
    <cfRule type="expression" dxfId="8067" priority="8105">
      <formula>$F100="SAV Sicli"</formula>
    </cfRule>
    <cfRule type="expression" dxfId="8066" priority="8106">
      <formula>$F100="SAV Chubb"</formula>
    </cfRule>
    <cfRule type="expression" dxfId="8065" priority="8107">
      <formula>$F100="Réalisation"</formula>
    </cfRule>
    <cfRule type="expression" dxfId="8064" priority="8108">
      <formula>$F100="Désenfumage"</formula>
    </cfRule>
    <cfRule type="expression" dxfId="8063" priority="8109">
      <formula>$F100="Administratif"</formula>
    </cfRule>
  </conditionalFormatting>
  <conditionalFormatting sqref="C100:D100">
    <cfRule type="expression" dxfId="8062" priority="8100">
      <formula>$H100="non"</formula>
    </cfRule>
  </conditionalFormatting>
  <conditionalFormatting sqref="C99:D99">
    <cfRule type="expression" dxfId="8061" priority="8091">
      <formula>$F99="Formation CCF"</formula>
    </cfRule>
    <cfRule type="expression" dxfId="8060" priority="8092">
      <formula>$F99="Direction"</formula>
    </cfRule>
    <cfRule type="expression" dxfId="8059" priority="8093">
      <formula>$F99="Ventes Sicli"</formula>
    </cfRule>
    <cfRule type="expression" dxfId="8058" priority="8094">
      <formula>$F99="Ventes Chubb"</formula>
    </cfRule>
    <cfRule type="expression" dxfId="8057" priority="8095">
      <formula>$F99="SAV Sicli"</formula>
    </cfRule>
    <cfRule type="expression" dxfId="8056" priority="8096">
      <formula>$F99="SAV Chubb"</formula>
    </cfRule>
    <cfRule type="expression" dxfId="8055" priority="8097">
      <formula>$F99="Réalisation"</formula>
    </cfRule>
    <cfRule type="expression" dxfId="8054" priority="8098">
      <formula>$F99="Désenfumage"</formula>
    </cfRule>
    <cfRule type="expression" dxfId="8053" priority="8099">
      <formula>$F99="Administratif"</formula>
    </cfRule>
  </conditionalFormatting>
  <conditionalFormatting sqref="C99:D99">
    <cfRule type="expression" dxfId="8052" priority="8090">
      <formula>$H99="non"</formula>
    </cfRule>
  </conditionalFormatting>
  <conditionalFormatting sqref="D97">
    <cfRule type="expression" dxfId="8051" priority="8081">
      <formula>$F97="Formation CCF"</formula>
    </cfRule>
    <cfRule type="expression" dxfId="8050" priority="8082">
      <formula>$F97="Direction"</formula>
    </cfRule>
    <cfRule type="expression" dxfId="8049" priority="8083">
      <formula>$F97="Ventes Sicli"</formula>
    </cfRule>
    <cfRule type="expression" dxfId="8048" priority="8084">
      <formula>$F97="Ventes Chubb"</formula>
    </cfRule>
    <cfRule type="expression" dxfId="8047" priority="8085">
      <formula>$F97="SAV Sicli"</formula>
    </cfRule>
    <cfRule type="expression" dxfId="8046" priority="8086">
      <formula>$F97="SAV Chubb"</formula>
    </cfRule>
    <cfRule type="expression" dxfId="8045" priority="8087">
      <formula>$F97="Réalisation"</formula>
    </cfRule>
    <cfRule type="expression" dxfId="8044" priority="8088">
      <formula>$F97="Désenfumage"</formula>
    </cfRule>
    <cfRule type="expression" dxfId="8043" priority="8089">
      <formula>$F97="Administratif"</formula>
    </cfRule>
  </conditionalFormatting>
  <conditionalFormatting sqref="D97">
    <cfRule type="expression" dxfId="8042" priority="8080">
      <formula>$H97="non"</formula>
    </cfRule>
  </conditionalFormatting>
  <conditionalFormatting sqref="D96">
    <cfRule type="expression" dxfId="8041" priority="8071">
      <formula>$F96="Formation CCF"</formula>
    </cfRule>
    <cfRule type="expression" dxfId="8040" priority="8072">
      <formula>$F96="Direction"</formula>
    </cfRule>
    <cfRule type="expression" dxfId="8039" priority="8073">
      <formula>$F96="Ventes Sicli"</formula>
    </cfRule>
    <cfRule type="expression" dxfId="8038" priority="8074">
      <formula>$F96="Ventes Chubb"</formula>
    </cfRule>
    <cfRule type="expression" dxfId="8037" priority="8075">
      <formula>$F96="SAV Sicli"</formula>
    </cfRule>
    <cfRule type="expression" dxfId="8036" priority="8076">
      <formula>$F96="SAV Chubb"</formula>
    </cfRule>
    <cfRule type="expression" dxfId="8035" priority="8077">
      <formula>$F96="Réalisation"</formula>
    </cfRule>
    <cfRule type="expression" dxfId="8034" priority="8078">
      <formula>$F96="Désenfumage"</formula>
    </cfRule>
    <cfRule type="expression" dxfId="8033" priority="8079">
      <formula>$F96="Administratif"</formula>
    </cfRule>
  </conditionalFormatting>
  <conditionalFormatting sqref="D96">
    <cfRule type="expression" dxfId="8032" priority="8070">
      <formula>$H96="non"</formula>
    </cfRule>
  </conditionalFormatting>
  <conditionalFormatting sqref="D95">
    <cfRule type="expression" dxfId="8031" priority="8061">
      <formula>$F95="Formation CCF"</formula>
    </cfRule>
    <cfRule type="expression" dxfId="8030" priority="8062">
      <formula>$F95="Direction"</formula>
    </cfRule>
    <cfRule type="expression" dxfId="8029" priority="8063">
      <formula>$F95="Ventes Sicli"</formula>
    </cfRule>
    <cfRule type="expression" dxfId="8028" priority="8064">
      <formula>$F95="Ventes Chubb"</formula>
    </cfRule>
    <cfRule type="expression" dxfId="8027" priority="8065">
      <formula>$F95="SAV Sicli"</formula>
    </cfRule>
    <cfRule type="expression" dxfId="8026" priority="8066">
      <formula>$F95="SAV Chubb"</formula>
    </cfRule>
    <cfRule type="expression" dxfId="8025" priority="8067">
      <formula>$F95="Réalisation"</formula>
    </cfRule>
    <cfRule type="expression" dxfId="8024" priority="8068">
      <formula>$F95="Désenfumage"</formula>
    </cfRule>
    <cfRule type="expression" dxfId="8023" priority="8069">
      <formula>$F95="Administratif"</formula>
    </cfRule>
  </conditionalFormatting>
  <conditionalFormatting sqref="D95">
    <cfRule type="expression" dxfId="8022" priority="8060">
      <formula>$H95="non"</formula>
    </cfRule>
  </conditionalFormatting>
  <conditionalFormatting sqref="D94">
    <cfRule type="expression" dxfId="8021" priority="8051">
      <formula>$F94="Formation CCF"</formula>
    </cfRule>
    <cfRule type="expression" dxfId="8020" priority="8052">
      <formula>$F94="Direction"</formula>
    </cfRule>
    <cfRule type="expression" dxfId="8019" priority="8053">
      <formula>$F94="Ventes Sicli"</formula>
    </cfRule>
    <cfRule type="expression" dxfId="8018" priority="8054">
      <formula>$F94="Ventes Chubb"</formula>
    </cfRule>
    <cfRule type="expression" dxfId="8017" priority="8055">
      <formula>$F94="SAV Sicli"</formula>
    </cfRule>
    <cfRule type="expression" dxfId="8016" priority="8056">
      <formula>$F94="SAV Chubb"</formula>
    </cfRule>
    <cfRule type="expression" dxfId="8015" priority="8057">
      <formula>$F94="Réalisation"</formula>
    </cfRule>
    <cfRule type="expression" dxfId="8014" priority="8058">
      <formula>$F94="Désenfumage"</formula>
    </cfRule>
    <cfRule type="expression" dxfId="8013" priority="8059">
      <formula>$F94="Administratif"</formula>
    </cfRule>
  </conditionalFormatting>
  <conditionalFormatting sqref="D94">
    <cfRule type="expression" dxfId="8012" priority="8050">
      <formula>$H94="non"</formula>
    </cfRule>
  </conditionalFormatting>
  <conditionalFormatting sqref="D93">
    <cfRule type="expression" dxfId="8011" priority="8041">
      <formula>$F93="Formation CCF"</formula>
    </cfRule>
    <cfRule type="expression" dxfId="8010" priority="8042">
      <formula>$F93="Direction"</formula>
    </cfRule>
    <cfRule type="expression" dxfId="8009" priority="8043">
      <formula>$F93="Ventes Sicli"</formula>
    </cfRule>
    <cfRule type="expression" dxfId="8008" priority="8044">
      <formula>$F93="Ventes Chubb"</formula>
    </cfRule>
    <cfRule type="expression" dxfId="8007" priority="8045">
      <formula>$F93="SAV Sicli"</formula>
    </cfRule>
    <cfRule type="expression" dxfId="8006" priority="8046">
      <formula>$F93="SAV Chubb"</formula>
    </cfRule>
    <cfRule type="expression" dxfId="8005" priority="8047">
      <formula>$F93="Réalisation"</formula>
    </cfRule>
    <cfRule type="expression" dxfId="8004" priority="8048">
      <formula>$F93="Désenfumage"</formula>
    </cfRule>
    <cfRule type="expression" dxfId="8003" priority="8049">
      <formula>$F93="Administratif"</formula>
    </cfRule>
  </conditionalFormatting>
  <conditionalFormatting sqref="D93">
    <cfRule type="expression" dxfId="8002" priority="8040">
      <formula>$H93="non"</formula>
    </cfRule>
  </conditionalFormatting>
  <conditionalFormatting sqref="D92">
    <cfRule type="expression" dxfId="8001" priority="8031">
      <formula>$F92="Formation CCF"</formula>
    </cfRule>
    <cfRule type="expression" dxfId="8000" priority="8032">
      <formula>$F92="Direction"</formula>
    </cfRule>
    <cfRule type="expression" dxfId="7999" priority="8033">
      <formula>$F92="Ventes Sicli"</formula>
    </cfRule>
    <cfRule type="expression" dxfId="7998" priority="8034">
      <formula>$F92="Ventes Chubb"</formula>
    </cfRule>
    <cfRule type="expression" dxfId="7997" priority="8035">
      <formula>$F92="SAV Sicli"</formula>
    </cfRule>
    <cfRule type="expression" dxfId="7996" priority="8036">
      <formula>$F92="SAV Chubb"</formula>
    </cfRule>
    <cfRule type="expression" dxfId="7995" priority="8037">
      <formula>$F92="Réalisation"</formula>
    </cfRule>
    <cfRule type="expression" dxfId="7994" priority="8038">
      <formula>$F92="Désenfumage"</formula>
    </cfRule>
    <cfRule type="expression" dxfId="7993" priority="8039">
      <formula>$F92="Administratif"</formula>
    </cfRule>
  </conditionalFormatting>
  <conditionalFormatting sqref="D92">
    <cfRule type="expression" dxfId="7992" priority="8030">
      <formula>$H92="non"</formula>
    </cfRule>
  </conditionalFormatting>
  <conditionalFormatting sqref="D91">
    <cfRule type="expression" dxfId="7991" priority="8021">
      <formula>$F91="Formation CCF"</formula>
    </cfRule>
    <cfRule type="expression" dxfId="7990" priority="8022">
      <formula>$F91="Direction"</formula>
    </cfRule>
    <cfRule type="expression" dxfId="7989" priority="8023">
      <formula>$F91="Ventes Sicli"</formula>
    </cfRule>
    <cfRule type="expression" dxfId="7988" priority="8024">
      <formula>$F91="Ventes Chubb"</formula>
    </cfRule>
    <cfRule type="expression" dxfId="7987" priority="8025">
      <formula>$F91="SAV Sicli"</formula>
    </cfRule>
    <cfRule type="expression" dxfId="7986" priority="8026">
      <formula>$F91="SAV Chubb"</formula>
    </cfRule>
    <cfRule type="expression" dxfId="7985" priority="8027">
      <formula>$F91="Réalisation"</formula>
    </cfRule>
    <cfRule type="expression" dxfId="7984" priority="8028">
      <formula>$F91="Désenfumage"</formula>
    </cfRule>
    <cfRule type="expression" dxfId="7983" priority="8029">
      <formula>$F91="Administratif"</formula>
    </cfRule>
  </conditionalFormatting>
  <conditionalFormatting sqref="D91">
    <cfRule type="expression" dxfId="7982" priority="8020">
      <formula>$H91="non"</formula>
    </cfRule>
  </conditionalFormatting>
  <conditionalFormatting sqref="D90">
    <cfRule type="expression" dxfId="7981" priority="8011">
      <formula>$F90="Formation CCF"</formula>
    </cfRule>
    <cfRule type="expression" dxfId="7980" priority="8012">
      <formula>$F90="Direction"</formula>
    </cfRule>
    <cfRule type="expression" dxfId="7979" priority="8013">
      <formula>$F90="Ventes Sicli"</formula>
    </cfRule>
    <cfRule type="expression" dxfId="7978" priority="8014">
      <formula>$F90="Ventes Chubb"</formula>
    </cfRule>
    <cfRule type="expression" dxfId="7977" priority="8015">
      <formula>$F90="SAV Sicli"</formula>
    </cfRule>
    <cfRule type="expression" dxfId="7976" priority="8016">
      <formula>$F90="SAV Chubb"</formula>
    </cfRule>
    <cfRule type="expression" dxfId="7975" priority="8017">
      <formula>$F90="Réalisation"</formula>
    </cfRule>
    <cfRule type="expression" dxfId="7974" priority="8018">
      <formula>$F90="Désenfumage"</formula>
    </cfRule>
    <cfRule type="expression" dxfId="7973" priority="8019">
      <formula>$F90="Administratif"</formula>
    </cfRule>
  </conditionalFormatting>
  <conditionalFormatting sqref="D90">
    <cfRule type="expression" dxfId="7972" priority="8010">
      <formula>$H90="non"</formula>
    </cfRule>
  </conditionalFormatting>
  <conditionalFormatting sqref="D89">
    <cfRule type="expression" dxfId="7971" priority="8001">
      <formula>$F89="Formation CCF"</formula>
    </cfRule>
    <cfRule type="expression" dxfId="7970" priority="8002">
      <formula>$F89="Direction"</formula>
    </cfRule>
    <cfRule type="expression" dxfId="7969" priority="8003">
      <formula>$F89="Ventes Sicli"</formula>
    </cfRule>
    <cfRule type="expression" dxfId="7968" priority="8004">
      <formula>$F89="Ventes Chubb"</formula>
    </cfRule>
    <cfRule type="expression" dxfId="7967" priority="8005">
      <formula>$F89="SAV Sicli"</formula>
    </cfRule>
    <cfRule type="expression" dxfId="7966" priority="8006">
      <formula>$F89="SAV Chubb"</formula>
    </cfRule>
    <cfRule type="expression" dxfId="7965" priority="8007">
      <formula>$F89="Réalisation"</formula>
    </cfRule>
    <cfRule type="expression" dxfId="7964" priority="8008">
      <formula>$F89="Désenfumage"</formula>
    </cfRule>
    <cfRule type="expression" dxfId="7963" priority="8009">
      <formula>$F89="Administratif"</formula>
    </cfRule>
  </conditionalFormatting>
  <conditionalFormatting sqref="D89">
    <cfRule type="expression" dxfId="7962" priority="8000">
      <formula>$H89="non"</formula>
    </cfRule>
  </conditionalFormatting>
  <conditionalFormatting sqref="D88">
    <cfRule type="expression" dxfId="7961" priority="7991">
      <formula>$F88="Formation CCF"</formula>
    </cfRule>
    <cfRule type="expression" dxfId="7960" priority="7992">
      <formula>$F88="Direction"</formula>
    </cfRule>
    <cfRule type="expression" dxfId="7959" priority="7993">
      <formula>$F88="Ventes Sicli"</formula>
    </cfRule>
    <cfRule type="expression" dxfId="7958" priority="7994">
      <formula>$F88="Ventes Chubb"</formula>
    </cfRule>
    <cfRule type="expression" dxfId="7957" priority="7995">
      <formula>$F88="SAV Sicli"</formula>
    </cfRule>
    <cfRule type="expression" dxfId="7956" priority="7996">
      <formula>$F88="SAV Chubb"</formula>
    </cfRule>
    <cfRule type="expression" dxfId="7955" priority="7997">
      <formula>$F88="Réalisation"</formula>
    </cfRule>
    <cfRule type="expression" dxfId="7954" priority="7998">
      <formula>$F88="Désenfumage"</formula>
    </cfRule>
    <cfRule type="expression" dxfId="7953" priority="7999">
      <formula>$F88="Administratif"</formula>
    </cfRule>
  </conditionalFormatting>
  <conditionalFormatting sqref="D88">
    <cfRule type="expression" dxfId="7952" priority="7990">
      <formula>$H88="non"</formula>
    </cfRule>
  </conditionalFormatting>
  <conditionalFormatting sqref="D87">
    <cfRule type="expression" dxfId="7951" priority="7981">
      <formula>$F87="Formation CCF"</formula>
    </cfRule>
    <cfRule type="expression" dxfId="7950" priority="7982">
      <formula>$F87="Direction"</formula>
    </cfRule>
    <cfRule type="expression" dxfId="7949" priority="7983">
      <formula>$F87="Ventes Sicli"</formula>
    </cfRule>
    <cfRule type="expression" dxfId="7948" priority="7984">
      <formula>$F87="Ventes Chubb"</formula>
    </cfRule>
    <cfRule type="expression" dxfId="7947" priority="7985">
      <formula>$F87="SAV Sicli"</formula>
    </cfRule>
    <cfRule type="expression" dxfId="7946" priority="7986">
      <formula>$F87="SAV Chubb"</formula>
    </cfRule>
    <cfRule type="expression" dxfId="7945" priority="7987">
      <formula>$F87="Réalisation"</formula>
    </cfRule>
    <cfRule type="expression" dxfId="7944" priority="7988">
      <formula>$F87="Désenfumage"</formula>
    </cfRule>
    <cfRule type="expression" dxfId="7943" priority="7989">
      <formula>$F87="Administratif"</formula>
    </cfRule>
  </conditionalFormatting>
  <conditionalFormatting sqref="D87">
    <cfRule type="expression" dxfId="7942" priority="7980">
      <formula>$H87="non"</formula>
    </cfRule>
  </conditionalFormatting>
  <conditionalFormatting sqref="D86">
    <cfRule type="expression" dxfId="7941" priority="7971">
      <formula>$F86="Formation CCF"</formula>
    </cfRule>
    <cfRule type="expression" dxfId="7940" priority="7972">
      <formula>$F86="Direction"</formula>
    </cfRule>
    <cfRule type="expression" dxfId="7939" priority="7973">
      <formula>$F86="Ventes Sicli"</formula>
    </cfRule>
    <cfRule type="expression" dxfId="7938" priority="7974">
      <formula>$F86="Ventes Chubb"</formula>
    </cfRule>
    <cfRule type="expression" dxfId="7937" priority="7975">
      <formula>$F86="SAV Sicli"</formula>
    </cfRule>
    <cfRule type="expression" dxfId="7936" priority="7976">
      <formula>$F86="SAV Chubb"</formula>
    </cfRule>
    <cfRule type="expression" dxfId="7935" priority="7977">
      <formula>$F86="Réalisation"</formula>
    </cfRule>
    <cfRule type="expression" dxfId="7934" priority="7978">
      <formula>$F86="Désenfumage"</formula>
    </cfRule>
    <cfRule type="expression" dxfId="7933" priority="7979">
      <formula>$F86="Administratif"</formula>
    </cfRule>
  </conditionalFormatting>
  <conditionalFormatting sqref="D86">
    <cfRule type="expression" dxfId="7932" priority="7970">
      <formula>$H86="non"</formula>
    </cfRule>
  </conditionalFormatting>
  <conditionalFormatting sqref="D85">
    <cfRule type="expression" dxfId="7931" priority="7961">
      <formula>$F85="Formation CCF"</formula>
    </cfRule>
    <cfRule type="expression" dxfId="7930" priority="7962">
      <formula>$F85="Direction"</formula>
    </cfRule>
    <cfRule type="expression" dxfId="7929" priority="7963">
      <formula>$F85="Ventes Sicli"</formula>
    </cfRule>
    <cfRule type="expression" dxfId="7928" priority="7964">
      <formula>$F85="Ventes Chubb"</formula>
    </cfRule>
    <cfRule type="expression" dxfId="7927" priority="7965">
      <formula>$F85="SAV Sicli"</formula>
    </cfRule>
    <cfRule type="expression" dxfId="7926" priority="7966">
      <formula>$F85="SAV Chubb"</formula>
    </cfRule>
    <cfRule type="expression" dxfId="7925" priority="7967">
      <formula>$F85="Réalisation"</formula>
    </cfRule>
    <cfRule type="expression" dxfId="7924" priority="7968">
      <formula>$F85="Désenfumage"</formula>
    </cfRule>
    <cfRule type="expression" dxfId="7923" priority="7969">
      <formula>$F85="Administratif"</formula>
    </cfRule>
  </conditionalFormatting>
  <conditionalFormatting sqref="D85">
    <cfRule type="expression" dxfId="7922" priority="7960">
      <formula>$H85="non"</formula>
    </cfRule>
  </conditionalFormatting>
  <conditionalFormatting sqref="D84">
    <cfRule type="expression" dxfId="7921" priority="7951">
      <formula>$F84="Formation CCF"</formula>
    </cfRule>
    <cfRule type="expression" dxfId="7920" priority="7952">
      <formula>$F84="Direction"</formula>
    </cfRule>
    <cfRule type="expression" dxfId="7919" priority="7953">
      <formula>$F84="Ventes Sicli"</formula>
    </cfRule>
    <cfRule type="expression" dxfId="7918" priority="7954">
      <formula>$F84="Ventes Chubb"</formula>
    </cfRule>
    <cfRule type="expression" dxfId="7917" priority="7955">
      <formula>$F84="SAV Sicli"</formula>
    </cfRule>
    <cfRule type="expression" dxfId="7916" priority="7956">
      <formula>$F84="SAV Chubb"</formula>
    </cfRule>
    <cfRule type="expression" dxfId="7915" priority="7957">
      <formula>$F84="Réalisation"</formula>
    </cfRule>
    <cfRule type="expression" dxfId="7914" priority="7958">
      <formula>$F84="Désenfumage"</formula>
    </cfRule>
    <cfRule type="expression" dxfId="7913" priority="7959">
      <formula>$F84="Administratif"</formula>
    </cfRule>
  </conditionalFormatting>
  <conditionalFormatting sqref="D84">
    <cfRule type="expression" dxfId="7912" priority="7950">
      <formula>$H84="non"</formula>
    </cfRule>
  </conditionalFormatting>
  <conditionalFormatting sqref="D83">
    <cfRule type="expression" dxfId="7911" priority="7941">
      <formula>$F83="Formation CCF"</formula>
    </cfRule>
    <cfRule type="expression" dxfId="7910" priority="7942">
      <formula>$F83="Direction"</formula>
    </cfRule>
    <cfRule type="expression" dxfId="7909" priority="7943">
      <formula>$F83="Ventes Sicli"</formula>
    </cfRule>
    <cfRule type="expression" dxfId="7908" priority="7944">
      <formula>$F83="Ventes Chubb"</formula>
    </cfRule>
    <cfRule type="expression" dxfId="7907" priority="7945">
      <formula>$F83="SAV Sicli"</formula>
    </cfRule>
    <cfRule type="expression" dxfId="7906" priority="7946">
      <formula>$F83="SAV Chubb"</formula>
    </cfRule>
    <cfRule type="expression" dxfId="7905" priority="7947">
      <formula>$F83="Réalisation"</formula>
    </cfRule>
    <cfRule type="expression" dxfId="7904" priority="7948">
      <formula>$F83="Désenfumage"</formula>
    </cfRule>
    <cfRule type="expression" dxfId="7903" priority="7949">
      <formula>$F83="Administratif"</formula>
    </cfRule>
  </conditionalFormatting>
  <conditionalFormatting sqref="D83">
    <cfRule type="expression" dxfId="7902" priority="7940">
      <formula>$H83="non"</formula>
    </cfRule>
  </conditionalFormatting>
  <conditionalFormatting sqref="D82">
    <cfRule type="expression" dxfId="7901" priority="7931">
      <formula>$F82="Formation CCF"</formula>
    </cfRule>
    <cfRule type="expression" dxfId="7900" priority="7932">
      <formula>$F82="Direction"</formula>
    </cfRule>
    <cfRule type="expression" dxfId="7899" priority="7933">
      <formula>$F82="Ventes Sicli"</formula>
    </cfRule>
    <cfRule type="expression" dxfId="7898" priority="7934">
      <formula>$F82="Ventes Chubb"</formula>
    </cfRule>
    <cfRule type="expression" dxfId="7897" priority="7935">
      <formula>$F82="SAV Sicli"</formula>
    </cfRule>
    <cfRule type="expression" dxfId="7896" priority="7936">
      <formula>$F82="SAV Chubb"</formula>
    </cfRule>
    <cfRule type="expression" dxfId="7895" priority="7937">
      <formula>$F82="Réalisation"</formula>
    </cfRule>
    <cfRule type="expression" dxfId="7894" priority="7938">
      <formula>$F82="Désenfumage"</formula>
    </cfRule>
    <cfRule type="expression" dxfId="7893" priority="7939">
      <formula>$F82="Administratif"</formula>
    </cfRule>
  </conditionalFormatting>
  <conditionalFormatting sqref="D82">
    <cfRule type="expression" dxfId="7892" priority="7930">
      <formula>$H82="non"</formula>
    </cfRule>
  </conditionalFormatting>
  <conditionalFormatting sqref="D96">
    <cfRule type="expression" dxfId="7891" priority="7921">
      <formula>$F96="Formation CCF"</formula>
    </cfRule>
    <cfRule type="expression" dxfId="7890" priority="7922">
      <formula>$F96="Direction"</formula>
    </cfRule>
    <cfRule type="expression" dxfId="7889" priority="7923">
      <formula>$F96="Ventes Sicli"</formula>
    </cfRule>
    <cfRule type="expression" dxfId="7888" priority="7924">
      <formula>$F96="Ventes Chubb"</formula>
    </cfRule>
    <cfRule type="expression" dxfId="7887" priority="7925">
      <formula>$F96="SAV Sicli"</formula>
    </cfRule>
    <cfRule type="expression" dxfId="7886" priority="7926">
      <formula>$F96="SAV Chubb"</formula>
    </cfRule>
    <cfRule type="expression" dxfId="7885" priority="7927">
      <formula>$F96="Réalisation"</formula>
    </cfRule>
    <cfRule type="expression" dxfId="7884" priority="7928">
      <formula>$F96="Désenfumage"</formula>
    </cfRule>
    <cfRule type="expression" dxfId="7883" priority="7929">
      <formula>$F96="Administratif"</formula>
    </cfRule>
  </conditionalFormatting>
  <conditionalFormatting sqref="D96">
    <cfRule type="expression" dxfId="7882" priority="7920">
      <formula>$H96="non"</formula>
    </cfRule>
  </conditionalFormatting>
  <conditionalFormatting sqref="D95">
    <cfRule type="expression" dxfId="7881" priority="7911">
      <formula>$F95="Formation CCF"</formula>
    </cfRule>
    <cfRule type="expression" dxfId="7880" priority="7912">
      <formula>$F95="Direction"</formula>
    </cfRule>
    <cfRule type="expression" dxfId="7879" priority="7913">
      <formula>$F95="Ventes Sicli"</formula>
    </cfRule>
    <cfRule type="expression" dxfId="7878" priority="7914">
      <formula>$F95="Ventes Chubb"</formula>
    </cfRule>
    <cfRule type="expression" dxfId="7877" priority="7915">
      <formula>$F95="SAV Sicli"</formula>
    </cfRule>
    <cfRule type="expression" dxfId="7876" priority="7916">
      <formula>$F95="SAV Chubb"</formula>
    </cfRule>
    <cfRule type="expression" dxfId="7875" priority="7917">
      <formula>$F95="Réalisation"</formula>
    </cfRule>
    <cfRule type="expression" dxfId="7874" priority="7918">
      <formula>$F95="Désenfumage"</formula>
    </cfRule>
    <cfRule type="expression" dxfId="7873" priority="7919">
      <formula>$F95="Administratif"</formula>
    </cfRule>
  </conditionalFormatting>
  <conditionalFormatting sqref="D95">
    <cfRule type="expression" dxfId="7872" priority="7910">
      <formula>$H95="non"</formula>
    </cfRule>
  </conditionalFormatting>
  <conditionalFormatting sqref="D94">
    <cfRule type="expression" dxfId="7871" priority="7901">
      <formula>$F94="Formation CCF"</formula>
    </cfRule>
    <cfRule type="expression" dxfId="7870" priority="7902">
      <formula>$F94="Direction"</formula>
    </cfRule>
    <cfRule type="expression" dxfId="7869" priority="7903">
      <formula>$F94="Ventes Sicli"</formula>
    </cfRule>
    <cfRule type="expression" dxfId="7868" priority="7904">
      <formula>$F94="Ventes Chubb"</formula>
    </cfRule>
    <cfRule type="expression" dxfId="7867" priority="7905">
      <formula>$F94="SAV Sicli"</formula>
    </cfRule>
    <cfRule type="expression" dxfId="7866" priority="7906">
      <formula>$F94="SAV Chubb"</formula>
    </cfRule>
    <cfRule type="expression" dxfId="7865" priority="7907">
      <formula>$F94="Réalisation"</formula>
    </cfRule>
    <cfRule type="expression" dxfId="7864" priority="7908">
      <formula>$F94="Désenfumage"</formula>
    </cfRule>
    <cfRule type="expression" dxfId="7863" priority="7909">
      <formula>$F94="Administratif"</formula>
    </cfRule>
  </conditionalFormatting>
  <conditionalFormatting sqref="D94">
    <cfRule type="expression" dxfId="7862" priority="7900">
      <formula>$H94="non"</formula>
    </cfRule>
  </conditionalFormatting>
  <conditionalFormatting sqref="D93">
    <cfRule type="expression" dxfId="7861" priority="7891">
      <formula>$F93="Formation CCF"</formula>
    </cfRule>
    <cfRule type="expression" dxfId="7860" priority="7892">
      <formula>$F93="Direction"</formula>
    </cfRule>
    <cfRule type="expression" dxfId="7859" priority="7893">
      <formula>$F93="Ventes Sicli"</formula>
    </cfRule>
    <cfRule type="expression" dxfId="7858" priority="7894">
      <formula>$F93="Ventes Chubb"</formula>
    </cfRule>
    <cfRule type="expression" dxfId="7857" priority="7895">
      <formula>$F93="SAV Sicli"</formula>
    </cfRule>
    <cfRule type="expression" dxfId="7856" priority="7896">
      <formula>$F93="SAV Chubb"</formula>
    </cfRule>
    <cfRule type="expression" dxfId="7855" priority="7897">
      <formula>$F93="Réalisation"</formula>
    </cfRule>
    <cfRule type="expression" dxfId="7854" priority="7898">
      <formula>$F93="Désenfumage"</formula>
    </cfRule>
    <cfRule type="expression" dxfId="7853" priority="7899">
      <formula>$F93="Administratif"</formula>
    </cfRule>
  </conditionalFormatting>
  <conditionalFormatting sqref="D93">
    <cfRule type="expression" dxfId="7852" priority="7890">
      <formula>$H93="non"</formula>
    </cfRule>
  </conditionalFormatting>
  <conditionalFormatting sqref="D92">
    <cfRule type="expression" dxfId="7851" priority="7881">
      <formula>$F92="Formation CCF"</formula>
    </cfRule>
    <cfRule type="expression" dxfId="7850" priority="7882">
      <formula>$F92="Direction"</formula>
    </cfRule>
    <cfRule type="expression" dxfId="7849" priority="7883">
      <formula>$F92="Ventes Sicli"</formula>
    </cfRule>
    <cfRule type="expression" dxfId="7848" priority="7884">
      <formula>$F92="Ventes Chubb"</formula>
    </cfRule>
    <cfRule type="expression" dxfId="7847" priority="7885">
      <formula>$F92="SAV Sicli"</formula>
    </cfRule>
    <cfRule type="expression" dxfId="7846" priority="7886">
      <formula>$F92="SAV Chubb"</formula>
    </cfRule>
    <cfRule type="expression" dxfId="7845" priority="7887">
      <formula>$F92="Réalisation"</formula>
    </cfRule>
    <cfRule type="expression" dxfId="7844" priority="7888">
      <formula>$F92="Désenfumage"</formula>
    </cfRule>
    <cfRule type="expression" dxfId="7843" priority="7889">
      <formula>$F92="Administratif"</formula>
    </cfRule>
  </conditionalFormatting>
  <conditionalFormatting sqref="D92">
    <cfRule type="expression" dxfId="7842" priority="7880">
      <formula>$H92="non"</formula>
    </cfRule>
  </conditionalFormatting>
  <conditionalFormatting sqref="D91">
    <cfRule type="expression" dxfId="7841" priority="7871">
      <formula>$F91="Formation CCF"</formula>
    </cfRule>
    <cfRule type="expression" dxfId="7840" priority="7872">
      <formula>$F91="Direction"</formula>
    </cfRule>
    <cfRule type="expression" dxfId="7839" priority="7873">
      <formula>$F91="Ventes Sicli"</formula>
    </cfRule>
    <cfRule type="expression" dxfId="7838" priority="7874">
      <formula>$F91="Ventes Chubb"</formula>
    </cfRule>
    <cfRule type="expression" dxfId="7837" priority="7875">
      <formula>$F91="SAV Sicli"</formula>
    </cfRule>
    <cfRule type="expression" dxfId="7836" priority="7876">
      <formula>$F91="SAV Chubb"</formula>
    </cfRule>
    <cfRule type="expression" dxfId="7835" priority="7877">
      <formula>$F91="Réalisation"</formula>
    </cfRule>
    <cfRule type="expression" dxfId="7834" priority="7878">
      <formula>$F91="Désenfumage"</formula>
    </cfRule>
    <cfRule type="expression" dxfId="7833" priority="7879">
      <formula>$F91="Administratif"</formula>
    </cfRule>
  </conditionalFormatting>
  <conditionalFormatting sqref="D91">
    <cfRule type="expression" dxfId="7832" priority="7870">
      <formula>$H91="non"</formula>
    </cfRule>
  </conditionalFormatting>
  <conditionalFormatting sqref="D90">
    <cfRule type="expression" dxfId="7831" priority="7861">
      <formula>$F90="Formation CCF"</formula>
    </cfRule>
    <cfRule type="expression" dxfId="7830" priority="7862">
      <formula>$F90="Direction"</formula>
    </cfRule>
    <cfRule type="expression" dxfId="7829" priority="7863">
      <formula>$F90="Ventes Sicli"</formula>
    </cfRule>
    <cfRule type="expression" dxfId="7828" priority="7864">
      <formula>$F90="Ventes Chubb"</formula>
    </cfRule>
    <cfRule type="expression" dxfId="7827" priority="7865">
      <formula>$F90="SAV Sicli"</formula>
    </cfRule>
    <cfRule type="expression" dxfId="7826" priority="7866">
      <formula>$F90="SAV Chubb"</formula>
    </cfRule>
    <cfRule type="expression" dxfId="7825" priority="7867">
      <formula>$F90="Réalisation"</formula>
    </cfRule>
    <cfRule type="expression" dxfId="7824" priority="7868">
      <formula>$F90="Désenfumage"</formula>
    </cfRule>
    <cfRule type="expression" dxfId="7823" priority="7869">
      <formula>$F90="Administratif"</formula>
    </cfRule>
  </conditionalFormatting>
  <conditionalFormatting sqref="D90">
    <cfRule type="expression" dxfId="7822" priority="7860">
      <formula>$H90="non"</formula>
    </cfRule>
  </conditionalFormatting>
  <conditionalFormatting sqref="D89">
    <cfRule type="expression" dxfId="7821" priority="7851">
      <formula>$F89="Formation CCF"</formula>
    </cfRule>
    <cfRule type="expression" dxfId="7820" priority="7852">
      <formula>$F89="Direction"</formula>
    </cfRule>
    <cfRule type="expression" dxfId="7819" priority="7853">
      <formula>$F89="Ventes Sicli"</formula>
    </cfRule>
    <cfRule type="expression" dxfId="7818" priority="7854">
      <formula>$F89="Ventes Chubb"</formula>
    </cfRule>
    <cfRule type="expression" dxfId="7817" priority="7855">
      <formula>$F89="SAV Sicli"</formula>
    </cfRule>
    <cfRule type="expression" dxfId="7816" priority="7856">
      <formula>$F89="SAV Chubb"</formula>
    </cfRule>
    <cfRule type="expression" dxfId="7815" priority="7857">
      <formula>$F89="Réalisation"</formula>
    </cfRule>
    <cfRule type="expression" dxfId="7814" priority="7858">
      <formula>$F89="Désenfumage"</formula>
    </cfRule>
    <cfRule type="expression" dxfId="7813" priority="7859">
      <formula>$F89="Administratif"</formula>
    </cfRule>
  </conditionalFormatting>
  <conditionalFormatting sqref="D89">
    <cfRule type="expression" dxfId="7812" priority="7850">
      <formula>$H89="non"</formula>
    </cfRule>
  </conditionalFormatting>
  <conditionalFormatting sqref="C102:D102">
    <cfRule type="expression" dxfId="7811" priority="7841">
      <formula>$F102="Formation CCF"</formula>
    </cfRule>
    <cfRule type="expression" dxfId="7810" priority="7842">
      <formula>$F102="Direction"</formula>
    </cfRule>
    <cfRule type="expression" dxfId="7809" priority="7843">
      <formula>$F102="Ventes Sicli"</formula>
    </cfRule>
    <cfRule type="expression" dxfId="7808" priority="7844">
      <formula>$F102="Ventes Chubb"</formula>
    </cfRule>
    <cfRule type="expression" dxfId="7807" priority="7845">
      <formula>$F102="SAV Sicli"</formula>
    </cfRule>
    <cfRule type="expression" dxfId="7806" priority="7846">
      <formula>$F102="SAV Chubb"</formula>
    </cfRule>
    <cfRule type="expression" dxfId="7805" priority="7847">
      <formula>$F102="Réalisation"</formula>
    </cfRule>
    <cfRule type="expression" dxfId="7804" priority="7848">
      <formula>$F102="Désenfumage"</formula>
    </cfRule>
    <cfRule type="expression" dxfId="7803" priority="7849">
      <formula>$F102="Administratif"</formula>
    </cfRule>
  </conditionalFormatting>
  <conditionalFormatting sqref="C102:D102">
    <cfRule type="expression" dxfId="7802" priority="7840">
      <formula>$H102="non"</formula>
    </cfRule>
  </conditionalFormatting>
  <conditionalFormatting sqref="C101:D101">
    <cfRule type="expression" dxfId="7801" priority="7831">
      <formula>$F101="Formation CCF"</formula>
    </cfRule>
    <cfRule type="expression" dxfId="7800" priority="7832">
      <formula>$F101="Direction"</formula>
    </cfRule>
    <cfRule type="expression" dxfId="7799" priority="7833">
      <formula>$F101="Ventes Sicli"</formula>
    </cfRule>
    <cfRule type="expression" dxfId="7798" priority="7834">
      <formula>$F101="Ventes Chubb"</formula>
    </cfRule>
    <cfRule type="expression" dxfId="7797" priority="7835">
      <formula>$F101="SAV Sicli"</formula>
    </cfRule>
    <cfRule type="expression" dxfId="7796" priority="7836">
      <formula>$F101="SAV Chubb"</formula>
    </cfRule>
    <cfRule type="expression" dxfId="7795" priority="7837">
      <formula>$F101="Réalisation"</formula>
    </cfRule>
    <cfRule type="expression" dxfId="7794" priority="7838">
      <formula>$F101="Désenfumage"</formula>
    </cfRule>
    <cfRule type="expression" dxfId="7793" priority="7839">
      <formula>$F101="Administratif"</formula>
    </cfRule>
  </conditionalFormatting>
  <conditionalFormatting sqref="C101:D101">
    <cfRule type="expression" dxfId="7792" priority="7830">
      <formula>$H101="non"</formula>
    </cfRule>
  </conditionalFormatting>
  <conditionalFormatting sqref="C100:D100">
    <cfRule type="expression" dxfId="7791" priority="7821">
      <formula>$F100="Formation CCF"</formula>
    </cfRule>
    <cfRule type="expression" dxfId="7790" priority="7822">
      <formula>$F100="Direction"</formula>
    </cfRule>
    <cfRule type="expression" dxfId="7789" priority="7823">
      <formula>$F100="Ventes Sicli"</formula>
    </cfRule>
    <cfRule type="expression" dxfId="7788" priority="7824">
      <formula>$F100="Ventes Chubb"</formula>
    </cfRule>
    <cfRule type="expression" dxfId="7787" priority="7825">
      <formula>$F100="SAV Sicli"</formula>
    </cfRule>
    <cfRule type="expression" dxfId="7786" priority="7826">
      <formula>$F100="SAV Chubb"</formula>
    </cfRule>
    <cfRule type="expression" dxfId="7785" priority="7827">
      <formula>$F100="Réalisation"</formula>
    </cfRule>
    <cfRule type="expression" dxfId="7784" priority="7828">
      <formula>$F100="Désenfumage"</formula>
    </cfRule>
    <cfRule type="expression" dxfId="7783" priority="7829">
      <formula>$F100="Administratif"</formula>
    </cfRule>
  </conditionalFormatting>
  <conditionalFormatting sqref="C100:D100">
    <cfRule type="expression" dxfId="7782" priority="7820">
      <formula>$H100="non"</formula>
    </cfRule>
  </conditionalFormatting>
  <conditionalFormatting sqref="C99:D99">
    <cfRule type="expression" dxfId="7781" priority="7811">
      <formula>$F99="Formation CCF"</formula>
    </cfRule>
    <cfRule type="expression" dxfId="7780" priority="7812">
      <formula>$F99="Direction"</formula>
    </cfRule>
    <cfRule type="expression" dxfId="7779" priority="7813">
      <formula>$F99="Ventes Sicli"</formula>
    </cfRule>
    <cfRule type="expression" dxfId="7778" priority="7814">
      <formula>$F99="Ventes Chubb"</formula>
    </cfRule>
    <cfRule type="expression" dxfId="7777" priority="7815">
      <formula>$F99="SAV Sicli"</formula>
    </cfRule>
    <cfRule type="expression" dxfId="7776" priority="7816">
      <formula>$F99="SAV Chubb"</formula>
    </cfRule>
    <cfRule type="expression" dxfId="7775" priority="7817">
      <formula>$F99="Réalisation"</formula>
    </cfRule>
    <cfRule type="expression" dxfId="7774" priority="7818">
      <formula>$F99="Désenfumage"</formula>
    </cfRule>
    <cfRule type="expression" dxfId="7773" priority="7819">
      <formula>$F99="Administratif"</formula>
    </cfRule>
  </conditionalFormatting>
  <conditionalFormatting sqref="C99:D99">
    <cfRule type="expression" dxfId="7772" priority="7810">
      <formula>$H99="non"</formula>
    </cfRule>
  </conditionalFormatting>
  <conditionalFormatting sqref="C98:D98">
    <cfRule type="expression" dxfId="7771" priority="7801">
      <formula>$F98="Formation CCF"</formula>
    </cfRule>
    <cfRule type="expression" dxfId="7770" priority="7802">
      <formula>$F98="Direction"</formula>
    </cfRule>
    <cfRule type="expression" dxfId="7769" priority="7803">
      <formula>$F98="Ventes Sicli"</formula>
    </cfRule>
    <cfRule type="expression" dxfId="7768" priority="7804">
      <formula>$F98="Ventes Chubb"</formula>
    </cfRule>
    <cfRule type="expression" dxfId="7767" priority="7805">
      <formula>$F98="SAV Sicli"</formula>
    </cfRule>
    <cfRule type="expression" dxfId="7766" priority="7806">
      <formula>$F98="SAV Chubb"</formula>
    </cfRule>
    <cfRule type="expression" dxfId="7765" priority="7807">
      <formula>$F98="Réalisation"</formula>
    </cfRule>
    <cfRule type="expression" dxfId="7764" priority="7808">
      <formula>$F98="Désenfumage"</formula>
    </cfRule>
    <cfRule type="expression" dxfId="7763" priority="7809">
      <formula>$F98="Administratif"</formula>
    </cfRule>
  </conditionalFormatting>
  <conditionalFormatting sqref="C98:D98">
    <cfRule type="expression" dxfId="7762" priority="7800">
      <formula>$H98="non"</formula>
    </cfRule>
  </conditionalFormatting>
  <conditionalFormatting sqref="D96">
    <cfRule type="expression" dxfId="7761" priority="7791">
      <formula>$F96="Formation CCF"</formula>
    </cfRule>
    <cfRule type="expression" dxfId="7760" priority="7792">
      <formula>$F96="Direction"</formula>
    </cfRule>
    <cfRule type="expression" dxfId="7759" priority="7793">
      <formula>$F96="Ventes Sicli"</formula>
    </cfRule>
    <cfRule type="expression" dxfId="7758" priority="7794">
      <formula>$F96="Ventes Chubb"</formula>
    </cfRule>
    <cfRule type="expression" dxfId="7757" priority="7795">
      <formula>$F96="SAV Sicli"</formula>
    </cfRule>
    <cfRule type="expression" dxfId="7756" priority="7796">
      <formula>$F96="SAV Chubb"</formula>
    </cfRule>
    <cfRule type="expression" dxfId="7755" priority="7797">
      <formula>$F96="Réalisation"</formula>
    </cfRule>
    <cfRule type="expression" dxfId="7754" priority="7798">
      <formula>$F96="Désenfumage"</formula>
    </cfRule>
    <cfRule type="expression" dxfId="7753" priority="7799">
      <formula>$F96="Administratif"</formula>
    </cfRule>
  </conditionalFormatting>
  <conditionalFormatting sqref="D96">
    <cfRule type="expression" dxfId="7752" priority="7790">
      <formula>$H96="non"</formula>
    </cfRule>
  </conditionalFormatting>
  <conditionalFormatting sqref="D95">
    <cfRule type="expression" dxfId="7751" priority="7781">
      <formula>$F95="Formation CCF"</formula>
    </cfRule>
    <cfRule type="expression" dxfId="7750" priority="7782">
      <formula>$F95="Direction"</formula>
    </cfRule>
    <cfRule type="expression" dxfId="7749" priority="7783">
      <formula>$F95="Ventes Sicli"</formula>
    </cfRule>
    <cfRule type="expression" dxfId="7748" priority="7784">
      <formula>$F95="Ventes Chubb"</formula>
    </cfRule>
    <cfRule type="expression" dxfId="7747" priority="7785">
      <formula>$F95="SAV Sicli"</formula>
    </cfRule>
    <cfRule type="expression" dxfId="7746" priority="7786">
      <formula>$F95="SAV Chubb"</formula>
    </cfRule>
    <cfRule type="expression" dxfId="7745" priority="7787">
      <formula>$F95="Réalisation"</formula>
    </cfRule>
    <cfRule type="expression" dxfId="7744" priority="7788">
      <formula>$F95="Désenfumage"</formula>
    </cfRule>
    <cfRule type="expression" dxfId="7743" priority="7789">
      <formula>$F95="Administratif"</formula>
    </cfRule>
  </conditionalFormatting>
  <conditionalFormatting sqref="D95">
    <cfRule type="expression" dxfId="7742" priority="7780">
      <formula>$H95="non"</formula>
    </cfRule>
  </conditionalFormatting>
  <conditionalFormatting sqref="D94">
    <cfRule type="expression" dxfId="7741" priority="7771">
      <formula>$F94="Formation CCF"</formula>
    </cfRule>
    <cfRule type="expression" dxfId="7740" priority="7772">
      <formula>$F94="Direction"</formula>
    </cfRule>
    <cfRule type="expression" dxfId="7739" priority="7773">
      <formula>$F94="Ventes Sicli"</formula>
    </cfRule>
    <cfRule type="expression" dxfId="7738" priority="7774">
      <formula>$F94="Ventes Chubb"</formula>
    </cfRule>
    <cfRule type="expression" dxfId="7737" priority="7775">
      <formula>$F94="SAV Sicli"</formula>
    </cfRule>
    <cfRule type="expression" dxfId="7736" priority="7776">
      <formula>$F94="SAV Chubb"</formula>
    </cfRule>
    <cfRule type="expression" dxfId="7735" priority="7777">
      <formula>$F94="Réalisation"</formula>
    </cfRule>
    <cfRule type="expression" dxfId="7734" priority="7778">
      <formula>$F94="Désenfumage"</formula>
    </cfRule>
    <cfRule type="expression" dxfId="7733" priority="7779">
      <formula>$F94="Administratif"</formula>
    </cfRule>
  </conditionalFormatting>
  <conditionalFormatting sqref="D94">
    <cfRule type="expression" dxfId="7732" priority="7770">
      <formula>$H94="non"</formula>
    </cfRule>
  </conditionalFormatting>
  <conditionalFormatting sqref="D93">
    <cfRule type="expression" dxfId="7731" priority="7761">
      <formula>$F93="Formation CCF"</formula>
    </cfRule>
    <cfRule type="expression" dxfId="7730" priority="7762">
      <formula>$F93="Direction"</formula>
    </cfRule>
    <cfRule type="expression" dxfId="7729" priority="7763">
      <formula>$F93="Ventes Sicli"</formula>
    </cfRule>
    <cfRule type="expression" dxfId="7728" priority="7764">
      <formula>$F93="Ventes Chubb"</formula>
    </cfRule>
    <cfRule type="expression" dxfId="7727" priority="7765">
      <formula>$F93="SAV Sicli"</formula>
    </cfRule>
    <cfRule type="expression" dxfId="7726" priority="7766">
      <formula>$F93="SAV Chubb"</formula>
    </cfRule>
    <cfRule type="expression" dxfId="7725" priority="7767">
      <formula>$F93="Réalisation"</formula>
    </cfRule>
    <cfRule type="expression" dxfId="7724" priority="7768">
      <formula>$F93="Désenfumage"</formula>
    </cfRule>
    <cfRule type="expression" dxfId="7723" priority="7769">
      <formula>$F93="Administratif"</formula>
    </cfRule>
  </conditionalFormatting>
  <conditionalFormatting sqref="D93">
    <cfRule type="expression" dxfId="7722" priority="7760">
      <formula>$H93="non"</formula>
    </cfRule>
  </conditionalFormatting>
  <conditionalFormatting sqref="D92">
    <cfRule type="expression" dxfId="7721" priority="7751">
      <formula>$F92="Formation CCF"</formula>
    </cfRule>
    <cfRule type="expression" dxfId="7720" priority="7752">
      <formula>$F92="Direction"</formula>
    </cfRule>
    <cfRule type="expression" dxfId="7719" priority="7753">
      <formula>$F92="Ventes Sicli"</formula>
    </cfRule>
    <cfRule type="expression" dxfId="7718" priority="7754">
      <formula>$F92="Ventes Chubb"</formula>
    </cfRule>
    <cfRule type="expression" dxfId="7717" priority="7755">
      <formula>$F92="SAV Sicli"</formula>
    </cfRule>
    <cfRule type="expression" dxfId="7716" priority="7756">
      <formula>$F92="SAV Chubb"</formula>
    </cfRule>
    <cfRule type="expression" dxfId="7715" priority="7757">
      <formula>$F92="Réalisation"</formula>
    </cfRule>
    <cfRule type="expression" dxfId="7714" priority="7758">
      <formula>$F92="Désenfumage"</formula>
    </cfRule>
    <cfRule type="expression" dxfId="7713" priority="7759">
      <formula>$F92="Administratif"</formula>
    </cfRule>
  </conditionalFormatting>
  <conditionalFormatting sqref="D92">
    <cfRule type="expression" dxfId="7712" priority="7750">
      <formula>$H92="non"</formula>
    </cfRule>
  </conditionalFormatting>
  <conditionalFormatting sqref="D91">
    <cfRule type="expression" dxfId="7711" priority="7741">
      <formula>$F91="Formation CCF"</formula>
    </cfRule>
    <cfRule type="expression" dxfId="7710" priority="7742">
      <formula>$F91="Direction"</formula>
    </cfRule>
    <cfRule type="expression" dxfId="7709" priority="7743">
      <formula>$F91="Ventes Sicli"</formula>
    </cfRule>
    <cfRule type="expression" dxfId="7708" priority="7744">
      <formula>$F91="Ventes Chubb"</formula>
    </cfRule>
    <cfRule type="expression" dxfId="7707" priority="7745">
      <formula>$F91="SAV Sicli"</formula>
    </cfRule>
    <cfRule type="expression" dxfId="7706" priority="7746">
      <formula>$F91="SAV Chubb"</formula>
    </cfRule>
    <cfRule type="expression" dxfId="7705" priority="7747">
      <formula>$F91="Réalisation"</formula>
    </cfRule>
    <cfRule type="expression" dxfId="7704" priority="7748">
      <formula>$F91="Désenfumage"</formula>
    </cfRule>
    <cfRule type="expression" dxfId="7703" priority="7749">
      <formula>$F91="Administratif"</formula>
    </cfRule>
  </conditionalFormatting>
  <conditionalFormatting sqref="D91">
    <cfRule type="expression" dxfId="7702" priority="7740">
      <formula>$H91="non"</formula>
    </cfRule>
  </conditionalFormatting>
  <conditionalFormatting sqref="D90">
    <cfRule type="expression" dxfId="7701" priority="7731">
      <formula>$F90="Formation CCF"</formula>
    </cfRule>
    <cfRule type="expression" dxfId="7700" priority="7732">
      <formula>$F90="Direction"</formula>
    </cfRule>
    <cfRule type="expression" dxfId="7699" priority="7733">
      <formula>$F90="Ventes Sicli"</formula>
    </cfRule>
    <cfRule type="expression" dxfId="7698" priority="7734">
      <formula>$F90="Ventes Chubb"</formula>
    </cfRule>
    <cfRule type="expression" dxfId="7697" priority="7735">
      <formula>$F90="SAV Sicli"</formula>
    </cfRule>
    <cfRule type="expression" dxfId="7696" priority="7736">
      <formula>$F90="SAV Chubb"</formula>
    </cfRule>
    <cfRule type="expression" dxfId="7695" priority="7737">
      <formula>$F90="Réalisation"</formula>
    </cfRule>
    <cfRule type="expression" dxfId="7694" priority="7738">
      <formula>$F90="Désenfumage"</formula>
    </cfRule>
    <cfRule type="expression" dxfId="7693" priority="7739">
      <formula>$F90="Administratif"</formula>
    </cfRule>
  </conditionalFormatting>
  <conditionalFormatting sqref="D90">
    <cfRule type="expression" dxfId="7692" priority="7730">
      <formula>$H90="non"</formula>
    </cfRule>
  </conditionalFormatting>
  <conditionalFormatting sqref="D89">
    <cfRule type="expression" dxfId="7691" priority="7721">
      <formula>$F89="Formation CCF"</formula>
    </cfRule>
    <cfRule type="expression" dxfId="7690" priority="7722">
      <formula>$F89="Direction"</formula>
    </cfRule>
    <cfRule type="expression" dxfId="7689" priority="7723">
      <formula>$F89="Ventes Sicli"</formula>
    </cfRule>
    <cfRule type="expression" dxfId="7688" priority="7724">
      <formula>$F89="Ventes Chubb"</formula>
    </cfRule>
    <cfRule type="expression" dxfId="7687" priority="7725">
      <formula>$F89="SAV Sicli"</formula>
    </cfRule>
    <cfRule type="expression" dxfId="7686" priority="7726">
      <formula>$F89="SAV Chubb"</formula>
    </cfRule>
    <cfRule type="expression" dxfId="7685" priority="7727">
      <formula>$F89="Réalisation"</formula>
    </cfRule>
    <cfRule type="expression" dxfId="7684" priority="7728">
      <formula>$F89="Désenfumage"</formula>
    </cfRule>
    <cfRule type="expression" dxfId="7683" priority="7729">
      <formula>$F89="Administratif"</formula>
    </cfRule>
  </conditionalFormatting>
  <conditionalFormatting sqref="D89">
    <cfRule type="expression" dxfId="7682" priority="7720">
      <formula>$H89="non"</formula>
    </cfRule>
  </conditionalFormatting>
  <conditionalFormatting sqref="D88">
    <cfRule type="expression" dxfId="7681" priority="7711">
      <formula>$F88="Formation CCF"</formula>
    </cfRule>
    <cfRule type="expression" dxfId="7680" priority="7712">
      <formula>$F88="Direction"</formula>
    </cfRule>
    <cfRule type="expression" dxfId="7679" priority="7713">
      <formula>$F88="Ventes Sicli"</formula>
    </cfRule>
    <cfRule type="expression" dxfId="7678" priority="7714">
      <formula>$F88="Ventes Chubb"</formula>
    </cfRule>
    <cfRule type="expression" dxfId="7677" priority="7715">
      <formula>$F88="SAV Sicli"</formula>
    </cfRule>
    <cfRule type="expression" dxfId="7676" priority="7716">
      <formula>$F88="SAV Chubb"</formula>
    </cfRule>
    <cfRule type="expression" dxfId="7675" priority="7717">
      <formula>$F88="Réalisation"</formula>
    </cfRule>
    <cfRule type="expression" dxfId="7674" priority="7718">
      <formula>$F88="Désenfumage"</formula>
    </cfRule>
    <cfRule type="expression" dxfId="7673" priority="7719">
      <formula>$F88="Administratif"</formula>
    </cfRule>
  </conditionalFormatting>
  <conditionalFormatting sqref="D88">
    <cfRule type="expression" dxfId="7672" priority="7710">
      <formula>$H88="non"</formula>
    </cfRule>
  </conditionalFormatting>
  <conditionalFormatting sqref="D87">
    <cfRule type="expression" dxfId="7671" priority="7701">
      <formula>$F87="Formation CCF"</formula>
    </cfRule>
    <cfRule type="expression" dxfId="7670" priority="7702">
      <formula>$F87="Direction"</formula>
    </cfRule>
    <cfRule type="expression" dxfId="7669" priority="7703">
      <formula>$F87="Ventes Sicli"</formula>
    </cfRule>
    <cfRule type="expression" dxfId="7668" priority="7704">
      <formula>$F87="Ventes Chubb"</formula>
    </cfRule>
    <cfRule type="expression" dxfId="7667" priority="7705">
      <formula>$F87="SAV Sicli"</formula>
    </cfRule>
    <cfRule type="expression" dxfId="7666" priority="7706">
      <formula>$F87="SAV Chubb"</formula>
    </cfRule>
    <cfRule type="expression" dxfId="7665" priority="7707">
      <formula>$F87="Réalisation"</formula>
    </cfRule>
    <cfRule type="expression" dxfId="7664" priority="7708">
      <formula>$F87="Désenfumage"</formula>
    </cfRule>
    <cfRule type="expression" dxfId="7663" priority="7709">
      <formula>$F87="Administratif"</formula>
    </cfRule>
  </conditionalFormatting>
  <conditionalFormatting sqref="D87">
    <cfRule type="expression" dxfId="7662" priority="7700">
      <formula>$H87="non"</formula>
    </cfRule>
  </conditionalFormatting>
  <conditionalFormatting sqref="D86">
    <cfRule type="expression" dxfId="7661" priority="7691">
      <formula>$F86="Formation CCF"</formula>
    </cfRule>
    <cfRule type="expression" dxfId="7660" priority="7692">
      <formula>$F86="Direction"</formula>
    </cfRule>
    <cfRule type="expression" dxfId="7659" priority="7693">
      <formula>$F86="Ventes Sicli"</formula>
    </cfRule>
    <cfRule type="expression" dxfId="7658" priority="7694">
      <formula>$F86="Ventes Chubb"</formula>
    </cfRule>
    <cfRule type="expression" dxfId="7657" priority="7695">
      <formula>$F86="SAV Sicli"</formula>
    </cfRule>
    <cfRule type="expression" dxfId="7656" priority="7696">
      <formula>$F86="SAV Chubb"</formula>
    </cfRule>
    <cfRule type="expression" dxfId="7655" priority="7697">
      <formula>$F86="Réalisation"</formula>
    </cfRule>
    <cfRule type="expression" dxfId="7654" priority="7698">
      <formula>$F86="Désenfumage"</formula>
    </cfRule>
    <cfRule type="expression" dxfId="7653" priority="7699">
      <formula>$F86="Administratif"</formula>
    </cfRule>
  </conditionalFormatting>
  <conditionalFormatting sqref="D86">
    <cfRule type="expression" dxfId="7652" priority="7690">
      <formula>$H86="non"</formula>
    </cfRule>
  </conditionalFormatting>
  <conditionalFormatting sqref="D85">
    <cfRule type="expression" dxfId="7651" priority="7681">
      <formula>$F85="Formation CCF"</formula>
    </cfRule>
    <cfRule type="expression" dxfId="7650" priority="7682">
      <formula>$F85="Direction"</formula>
    </cfRule>
    <cfRule type="expression" dxfId="7649" priority="7683">
      <formula>$F85="Ventes Sicli"</formula>
    </cfRule>
    <cfRule type="expression" dxfId="7648" priority="7684">
      <formula>$F85="Ventes Chubb"</formula>
    </cfRule>
    <cfRule type="expression" dxfId="7647" priority="7685">
      <formula>$F85="SAV Sicli"</formula>
    </cfRule>
    <cfRule type="expression" dxfId="7646" priority="7686">
      <formula>$F85="SAV Chubb"</formula>
    </cfRule>
    <cfRule type="expression" dxfId="7645" priority="7687">
      <formula>$F85="Réalisation"</formula>
    </cfRule>
    <cfRule type="expression" dxfId="7644" priority="7688">
      <formula>$F85="Désenfumage"</formula>
    </cfRule>
    <cfRule type="expression" dxfId="7643" priority="7689">
      <formula>$F85="Administratif"</formula>
    </cfRule>
  </conditionalFormatting>
  <conditionalFormatting sqref="D85">
    <cfRule type="expression" dxfId="7642" priority="7680">
      <formula>$H85="non"</formula>
    </cfRule>
  </conditionalFormatting>
  <conditionalFormatting sqref="D95">
    <cfRule type="expression" dxfId="7641" priority="7671">
      <formula>$F95="Formation CCF"</formula>
    </cfRule>
    <cfRule type="expression" dxfId="7640" priority="7672">
      <formula>$F95="Direction"</formula>
    </cfRule>
    <cfRule type="expression" dxfId="7639" priority="7673">
      <formula>$F95="Ventes Sicli"</formula>
    </cfRule>
    <cfRule type="expression" dxfId="7638" priority="7674">
      <formula>$F95="Ventes Chubb"</formula>
    </cfRule>
    <cfRule type="expression" dxfId="7637" priority="7675">
      <formula>$F95="SAV Sicli"</formula>
    </cfRule>
    <cfRule type="expression" dxfId="7636" priority="7676">
      <formula>$F95="SAV Chubb"</formula>
    </cfRule>
    <cfRule type="expression" dxfId="7635" priority="7677">
      <formula>$F95="Réalisation"</formula>
    </cfRule>
    <cfRule type="expression" dxfId="7634" priority="7678">
      <formula>$F95="Désenfumage"</formula>
    </cfRule>
    <cfRule type="expression" dxfId="7633" priority="7679">
      <formula>$F95="Administratif"</formula>
    </cfRule>
  </conditionalFormatting>
  <conditionalFormatting sqref="D95">
    <cfRule type="expression" dxfId="7632" priority="7670">
      <formula>$H95="non"</formula>
    </cfRule>
  </conditionalFormatting>
  <conditionalFormatting sqref="D94">
    <cfRule type="expression" dxfId="7631" priority="7661">
      <formula>$F94="Formation CCF"</formula>
    </cfRule>
    <cfRule type="expression" dxfId="7630" priority="7662">
      <formula>$F94="Direction"</formula>
    </cfRule>
    <cfRule type="expression" dxfId="7629" priority="7663">
      <formula>$F94="Ventes Sicli"</formula>
    </cfRule>
    <cfRule type="expression" dxfId="7628" priority="7664">
      <formula>$F94="Ventes Chubb"</formula>
    </cfRule>
    <cfRule type="expression" dxfId="7627" priority="7665">
      <formula>$F94="SAV Sicli"</formula>
    </cfRule>
    <cfRule type="expression" dxfId="7626" priority="7666">
      <formula>$F94="SAV Chubb"</formula>
    </cfRule>
    <cfRule type="expression" dxfId="7625" priority="7667">
      <formula>$F94="Réalisation"</formula>
    </cfRule>
    <cfRule type="expression" dxfId="7624" priority="7668">
      <formula>$F94="Désenfumage"</formula>
    </cfRule>
    <cfRule type="expression" dxfId="7623" priority="7669">
      <formula>$F94="Administratif"</formula>
    </cfRule>
  </conditionalFormatting>
  <conditionalFormatting sqref="D94">
    <cfRule type="expression" dxfId="7622" priority="7660">
      <formula>$H94="non"</formula>
    </cfRule>
  </conditionalFormatting>
  <conditionalFormatting sqref="D93">
    <cfRule type="expression" dxfId="7621" priority="7651">
      <formula>$F93="Formation CCF"</formula>
    </cfRule>
    <cfRule type="expression" dxfId="7620" priority="7652">
      <formula>$F93="Direction"</formula>
    </cfRule>
    <cfRule type="expression" dxfId="7619" priority="7653">
      <formula>$F93="Ventes Sicli"</formula>
    </cfRule>
    <cfRule type="expression" dxfId="7618" priority="7654">
      <formula>$F93="Ventes Chubb"</formula>
    </cfRule>
    <cfRule type="expression" dxfId="7617" priority="7655">
      <formula>$F93="SAV Sicli"</formula>
    </cfRule>
    <cfRule type="expression" dxfId="7616" priority="7656">
      <formula>$F93="SAV Chubb"</formula>
    </cfRule>
    <cfRule type="expression" dxfId="7615" priority="7657">
      <formula>$F93="Réalisation"</formula>
    </cfRule>
    <cfRule type="expression" dxfId="7614" priority="7658">
      <formula>$F93="Désenfumage"</formula>
    </cfRule>
    <cfRule type="expression" dxfId="7613" priority="7659">
      <formula>$F93="Administratif"</formula>
    </cfRule>
  </conditionalFormatting>
  <conditionalFormatting sqref="D93">
    <cfRule type="expression" dxfId="7612" priority="7650">
      <formula>$H93="non"</formula>
    </cfRule>
  </conditionalFormatting>
  <conditionalFormatting sqref="D92">
    <cfRule type="expression" dxfId="7611" priority="7641">
      <formula>$F92="Formation CCF"</formula>
    </cfRule>
    <cfRule type="expression" dxfId="7610" priority="7642">
      <formula>$F92="Direction"</formula>
    </cfRule>
    <cfRule type="expression" dxfId="7609" priority="7643">
      <formula>$F92="Ventes Sicli"</formula>
    </cfRule>
    <cfRule type="expression" dxfId="7608" priority="7644">
      <formula>$F92="Ventes Chubb"</formula>
    </cfRule>
    <cfRule type="expression" dxfId="7607" priority="7645">
      <formula>$F92="SAV Sicli"</formula>
    </cfRule>
    <cfRule type="expression" dxfId="7606" priority="7646">
      <formula>$F92="SAV Chubb"</formula>
    </cfRule>
    <cfRule type="expression" dxfId="7605" priority="7647">
      <formula>$F92="Réalisation"</formula>
    </cfRule>
    <cfRule type="expression" dxfId="7604" priority="7648">
      <formula>$F92="Désenfumage"</formula>
    </cfRule>
    <cfRule type="expression" dxfId="7603" priority="7649">
      <formula>$F92="Administratif"</formula>
    </cfRule>
  </conditionalFormatting>
  <conditionalFormatting sqref="D92">
    <cfRule type="expression" dxfId="7602" priority="7640">
      <formula>$H92="non"</formula>
    </cfRule>
  </conditionalFormatting>
  <conditionalFormatting sqref="D90">
    <cfRule type="expression" dxfId="7601" priority="7631">
      <formula>$F90="Formation CCF"</formula>
    </cfRule>
    <cfRule type="expression" dxfId="7600" priority="7632">
      <formula>$F90="Direction"</formula>
    </cfRule>
    <cfRule type="expression" dxfId="7599" priority="7633">
      <formula>$F90="Ventes Sicli"</formula>
    </cfRule>
    <cfRule type="expression" dxfId="7598" priority="7634">
      <formula>$F90="Ventes Chubb"</formula>
    </cfRule>
    <cfRule type="expression" dxfId="7597" priority="7635">
      <formula>$F90="SAV Sicli"</formula>
    </cfRule>
    <cfRule type="expression" dxfId="7596" priority="7636">
      <formula>$F90="SAV Chubb"</formula>
    </cfRule>
    <cfRule type="expression" dxfId="7595" priority="7637">
      <formula>$F90="Réalisation"</formula>
    </cfRule>
    <cfRule type="expression" dxfId="7594" priority="7638">
      <formula>$F90="Désenfumage"</formula>
    </cfRule>
    <cfRule type="expression" dxfId="7593" priority="7639">
      <formula>$F90="Administratif"</formula>
    </cfRule>
  </conditionalFormatting>
  <conditionalFormatting sqref="D90">
    <cfRule type="expression" dxfId="7592" priority="7630">
      <formula>$H90="non"</formula>
    </cfRule>
  </conditionalFormatting>
  <conditionalFormatting sqref="D89">
    <cfRule type="expression" dxfId="7591" priority="7621">
      <formula>$F89="Formation CCF"</formula>
    </cfRule>
    <cfRule type="expression" dxfId="7590" priority="7622">
      <formula>$F89="Direction"</formula>
    </cfRule>
    <cfRule type="expression" dxfId="7589" priority="7623">
      <formula>$F89="Ventes Sicli"</formula>
    </cfRule>
    <cfRule type="expression" dxfId="7588" priority="7624">
      <formula>$F89="Ventes Chubb"</formula>
    </cfRule>
    <cfRule type="expression" dxfId="7587" priority="7625">
      <formula>$F89="SAV Sicli"</formula>
    </cfRule>
    <cfRule type="expression" dxfId="7586" priority="7626">
      <formula>$F89="SAV Chubb"</formula>
    </cfRule>
    <cfRule type="expression" dxfId="7585" priority="7627">
      <formula>$F89="Réalisation"</formula>
    </cfRule>
    <cfRule type="expression" dxfId="7584" priority="7628">
      <formula>$F89="Désenfumage"</formula>
    </cfRule>
    <cfRule type="expression" dxfId="7583" priority="7629">
      <formula>$F89="Administratif"</formula>
    </cfRule>
  </conditionalFormatting>
  <conditionalFormatting sqref="D89">
    <cfRule type="expression" dxfId="7582" priority="7620">
      <formula>$H89="non"</formula>
    </cfRule>
  </conditionalFormatting>
  <conditionalFormatting sqref="D88">
    <cfRule type="expression" dxfId="7581" priority="7611">
      <formula>$F88="Formation CCF"</formula>
    </cfRule>
    <cfRule type="expression" dxfId="7580" priority="7612">
      <formula>$F88="Direction"</formula>
    </cfRule>
    <cfRule type="expression" dxfId="7579" priority="7613">
      <formula>$F88="Ventes Sicli"</formula>
    </cfRule>
    <cfRule type="expression" dxfId="7578" priority="7614">
      <formula>$F88="Ventes Chubb"</formula>
    </cfRule>
    <cfRule type="expression" dxfId="7577" priority="7615">
      <formula>$F88="SAV Sicli"</formula>
    </cfRule>
    <cfRule type="expression" dxfId="7576" priority="7616">
      <formula>$F88="SAV Chubb"</formula>
    </cfRule>
    <cfRule type="expression" dxfId="7575" priority="7617">
      <formula>$F88="Réalisation"</formula>
    </cfRule>
    <cfRule type="expression" dxfId="7574" priority="7618">
      <formula>$F88="Désenfumage"</formula>
    </cfRule>
    <cfRule type="expression" dxfId="7573" priority="7619">
      <formula>$F88="Administratif"</formula>
    </cfRule>
  </conditionalFormatting>
  <conditionalFormatting sqref="D88">
    <cfRule type="expression" dxfId="7572" priority="7610">
      <formula>$H88="non"</formula>
    </cfRule>
  </conditionalFormatting>
  <conditionalFormatting sqref="C78:D78">
    <cfRule type="expression" dxfId="7571" priority="7601">
      <formula>$F78="Formation CCF"</formula>
    </cfRule>
    <cfRule type="expression" dxfId="7570" priority="7602">
      <formula>$F78="Direction"</formula>
    </cfRule>
    <cfRule type="expression" dxfId="7569" priority="7603">
      <formula>$F78="Ventes Sicli"</formula>
    </cfRule>
    <cfRule type="expression" dxfId="7568" priority="7604">
      <formula>$F78="Ventes Chubb"</formula>
    </cfRule>
    <cfRule type="expression" dxfId="7567" priority="7605">
      <formula>$F78="SAV Sicli"</formula>
    </cfRule>
    <cfRule type="expression" dxfId="7566" priority="7606">
      <formula>$F78="SAV Chubb"</formula>
    </cfRule>
    <cfRule type="expression" dxfId="7565" priority="7607">
      <formula>$F78="Réalisation"</formula>
    </cfRule>
    <cfRule type="expression" dxfId="7564" priority="7608">
      <formula>$F78="Désenfumage"</formula>
    </cfRule>
    <cfRule type="expression" dxfId="7563" priority="7609">
      <formula>$F78="Administratif"</formula>
    </cfRule>
  </conditionalFormatting>
  <conditionalFormatting sqref="C78:D78">
    <cfRule type="expression" dxfId="7562" priority="7600">
      <formula>$H78="non"</formula>
    </cfRule>
  </conditionalFormatting>
  <conditionalFormatting sqref="C77:D77">
    <cfRule type="expression" dxfId="7561" priority="7591">
      <formula>$F77="Formation CCF"</formula>
    </cfRule>
    <cfRule type="expression" dxfId="7560" priority="7592">
      <formula>$F77="Direction"</formula>
    </cfRule>
    <cfRule type="expression" dxfId="7559" priority="7593">
      <formula>$F77="Ventes Sicli"</formula>
    </cfRule>
    <cfRule type="expression" dxfId="7558" priority="7594">
      <formula>$F77="Ventes Chubb"</formula>
    </cfRule>
    <cfRule type="expression" dxfId="7557" priority="7595">
      <formula>$F77="SAV Sicli"</formula>
    </cfRule>
    <cfRule type="expression" dxfId="7556" priority="7596">
      <formula>$F77="SAV Chubb"</formula>
    </cfRule>
    <cfRule type="expression" dxfId="7555" priority="7597">
      <formula>$F77="Réalisation"</formula>
    </cfRule>
    <cfRule type="expression" dxfId="7554" priority="7598">
      <formula>$F77="Désenfumage"</formula>
    </cfRule>
    <cfRule type="expression" dxfId="7553" priority="7599">
      <formula>$F77="Administratif"</formula>
    </cfRule>
  </conditionalFormatting>
  <conditionalFormatting sqref="C77:D77">
    <cfRule type="expression" dxfId="7552" priority="7590">
      <formula>$H77="non"</formula>
    </cfRule>
  </conditionalFormatting>
  <conditionalFormatting sqref="C76:D76">
    <cfRule type="expression" dxfId="7551" priority="7581">
      <formula>$F76="Formation CCF"</formula>
    </cfRule>
    <cfRule type="expression" dxfId="7550" priority="7582">
      <formula>$F76="Direction"</formula>
    </cfRule>
    <cfRule type="expression" dxfId="7549" priority="7583">
      <formula>$F76="Ventes Sicli"</formula>
    </cfRule>
    <cfRule type="expression" dxfId="7548" priority="7584">
      <formula>$F76="Ventes Chubb"</formula>
    </cfRule>
    <cfRule type="expression" dxfId="7547" priority="7585">
      <formula>$F76="SAV Sicli"</formula>
    </cfRule>
    <cfRule type="expression" dxfId="7546" priority="7586">
      <formula>$F76="SAV Chubb"</formula>
    </cfRule>
    <cfRule type="expression" dxfId="7545" priority="7587">
      <formula>$F76="Réalisation"</formula>
    </cfRule>
    <cfRule type="expression" dxfId="7544" priority="7588">
      <formula>$F76="Désenfumage"</formula>
    </cfRule>
    <cfRule type="expression" dxfId="7543" priority="7589">
      <formula>$F76="Administratif"</formula>
    </cfRule>
  </conditionalFormatting>
  <conditionalFormatting sqref="C76:D76">
    <cfRule type="expression" dxfId="7542" priority="7580">
      <formula>$H76="non"</formula>
    </cfRule>
  </conditionalFormatting>
  <conditionalFormatting sqref="D79">
    <cfRule type="expression" dxfId="7541" priority="7421">
      <formula>$F79="Formation CCF"</formula>
    </cfRule>
    <cfRule type="expression" dxfId="7540" priority="7422">
      <formula>$F79="Direction"</formula>
    </cfRule>
    <cfRule type="expression" dxfId="7539" priority="7423">
      <formula>$F79="Ventes Sicli"</formula>
    </cfRule>
    <cfRule type="expression" dxfId="7538" priority="7424">
      <formula>$F79="Ventes Chubb"</formula>
    </cfRule>
    <cfRule type="expression" dxfId="7537" priority="7425">
      <formula>$F79="SAV Sicli"</formula>
    </cfRule>
    <cfRule type="expression" dxfId="7536" priority="7426">
      <formula>$F79="SAV Chubb"</formula>
    </cfRule>
    <cfRule type="expression" dxfId="7535" priority="7427">
      <formula>$F79="Réalisation"</formula>
    </cfRule>
    <cfRule type="expression" dxfId="7534" priority="7428">
      <formula>$F79="Désenfumage"</formula>
    </cfRule>
    <cfRule type="expression" dxfId="7533" priority="7429">
      <formula>$F79="Administratif"</formula>
    </cfRule>
  </conditionalFormatting>
  <conditionalFormatting sqref="D79">
    <cfRule type="expression" dxfId="7532" priority="7420">
      <formula>$H79="non"</formula>
    </cfRule>
  </conditionalFormatting>
  <conditionalFormatting sqref="C94:D94">
    <cfRule type="expression" dxfId="7531" priority="7561">
      <formula>$F94="Formation CCF"</formula>
    </cfRule>
    <cfRule type="expression" dxfId="7530" priority="7562">
      <formula>$F94="Direction"</formula>
    </cfRule>
    <cfRule type="expression" dxfId="7529" priority="7563">
      <formula>$F94="Ventes Sicli"</formula>
    </cfRule>
    <cfRule type="expression" dxfId="7528" priority="7564">
      <formula>$F94="Ventes Chubb"</formula>
    </cfRule>
    <cfRule type="expression" dxfId="7527" priority="7565">
      <formula>$F94="SAV Sicli"</formula>
    </cfRule>
    <cfRule type="expression" dxfId="7526" priority="7566">
      <formula>$F94="SAV Chubb"</formula>
    </cfRule>
    <cfRule type="expression" dxfId="7525" priority="7567">
      <formula>$F94="Réalisation"</formula>
    </cfRule>
    <cfRule type="expression" dxfId="7524" priority="7568">
      <formula>$F94="Désenfumage"</formula>
    </cfRule>
    <cfRule type="expression" dxfId="7523" priority="7569">
      <formula>$F94="Administratif"</formula>
    </cfRule>
  </conditionalFormatting>
  <conditionalFormatting sqref="C94:D94">
    <cfRule type="expression" dxfId="7522" priority="7560">
      <formula>$H94="non"</formula>
    </cfRule>
  </conditionalFormatting>
  <conditionalFormatting sqref="C93:D93">
    <cfRule type="expression" dxfId="7521" priority="7551">
      <formula>$F93="Formation CCF"</formula>
    </cfRule>
    <cfRule type="expression" dxfId="7520" priority="7552">
      <formula>$F93="Direction"</formula>
    </cfRule>
    <cfRule type="expression" dxfId="7519" priority="7553">
      <formula>$F93="Ventes Sicli"</formula>
    </cfRule>
    <cfRule type="expression" dxfId="7518" priority="7554">
      <formula>$F93="Ventes Chubb"</formula>
    </cfRule>
    <cfRule type="expression" dxfId="7517" priority="7555">
      <formula>$F93="SAV Sicli"</formula>
    </cfRule>
    <cfRule type="expression" dxfId="7516" priority="7556">
      <formula>$F93="SAV Chubb"</formula>
    </cfRule>
    <cfRule type="expression" dxfId="7515" priority="7557">
      <formula>$F93="Réalisation"</formula>
    </cfRule>
    <cfRule type="expression" dxfId="7514" priority="7558">
      <formula>$F93="Désenfumage"</formula>
    </cfRule>
    <cfRule type="expression" dxfId="7513" priority="7559">
      <formula>$F93="Administratif"</formula>
    </cfRule>
  </conditionalFormatting>
  <conditionalFormatting sqref="C93:D93">
    <cfRule type="expression" dxfId="7512" priority="7550">
      <formula>$H93="non"</formula>
    </cfRule>
  </conditionalFormatting>
  <conditionalFormatting sqref="C92:D92">
    <cfRule type="expression" dxfId="7511" priority="7541">
      <formula>$F92="Formation CCF"</formula>
    </cfRule>
    <cfRule type="expression" dxfId="7510" priority="7542">
      <formula>$F92="Direction"</formula>
    </cfRule>
    <cfRule type="expression" dxfId="7509" priority="7543">
      <formula>$F92="Ventes Sicli"</formula>
    </cfRule>
    <cfRule type="expression" dxfId="7508" priority="7544">
      <formula>$F92="Ventes Chubb"</formula>
    </cfRule>
    <cfRule type="expression" dxfId="7507" priority="7545">
      <formula>$F92="SAV Sicli"</formula>
    </cfRule>
    <cfRule type="expression" dxfId="7506" priority="7546">
      <formula>$F92="SAV Chubb"</formula>
    </cfRule>
    <cfRule type="expression" dxfId="7505" priority="7547">
      <formula>$F92="Réalisation"</formula>
    </cfRule>
    <cfRule type="expression" dxfId="7504" priority="7548">
      <formula>$F92="Désenfumage"</formula>
    </cfRule>
    <cfRule type="expression" dxfId="7503" priority="7549">
      <formula>$F92="Administratif"</formula>
    </cfRule>
  </conditionalFormatting>
  <conditionalFormatting sqref="C92:D92">
    <cfRule type="expression" dxfId="7502" priority="7540">
      <formula>$H92="non"</formula>
    </cfRule>
  </conditionalFormatting>
  <conditionalFormatting sqref="C91:D91">
    <cfRule type="expression" dxfId="7501" priority="7531">
      <formula>$F91="Formation CCF"</formula>
    </cfRule>
    <cfRule type="expression" dxfId="7500" priority="7532">
      <formula>$F91="Direction"</formula>
    </cfRule>
    <cfRule type="expression" dxfId="7499" priority="7533">
      <formula>$F91="Ventes Sicli"</formula>
    </cfRule>
    <cfRule type="expression" dxfId="7498" priority="7534">
      <formula>$F91="Ventes Chubb"</formula>
    </cfRule>
    <cfRule type="expression" dxfId="7497" priority="7535">
      <formula>$F91="SAV Sicli"</formula>
    </cfRule>
    <cfRule type="expression" dxfId="7496" priority="7536">
      <formula>$F91="SAV Chubb"</formula>
    </cfRule>
    <cfRule type="expression" dxfId="7495" priority="7537">
      <formula>$F91="Réalisation"</formula>
    </cfRule>
    <cfRule type="expression" dxfId="7494" priority="7538">
      <formula>$F91="Désenfumage"</formula>
    </cfRule>
    <cfRule type="expression" dxfId="7493" priority="7539">
      <formula>$F91="Administratif"</formula>
    </cfRule>
  </conditionalFormatting>
  <conditionalFormatting sqref="C91:D91">
    <cfRule type="expression" dxfId="7492" priority="7530">
      <formula>$H91="non"</formula>
    </cfRule>
  </conditionalFormatting>
  <conditionalFormatting sqref="C90:D90">
    <cfRule type="expression" dxfId="7491" priority="7521">
      <formula>$F90="Formation CCF"</formula>
    </cfRule>
    <cfRule type="expression" dxfId="7490" priority="7522">
      <formula>$F90="Direction"</formula>
    </cfRule>
    <cfRule type="expression" dxfId="7489" priority="7523">
      <formula>$F90="Ventes Sicli"</formula>
    </cfRule>
    <cfRule type="expression" dxfId="7488" priority="7524">
      <formula>$F90="Ventes Chubb"</formula>
    </cfRule>
    <cfRule type="expression" dxfId="7487" priority="7525">
      <formula>$F90="SAV Sicli"</formula>
    </cfRule>
    <cfRule type="expression" dxfId="7486" priority="7526">
      <formula>$F90="SAV Chubb"</formula>
    </cfRule>
    <cfRule type="expression" dxfId="7485" priority="7527">
      <formula>$F90="Réalisation"</formula>
    </cfRule>
    <cfRule type="expression" dxfId="7484" priority="7528">
      <formula>$F90="Désenfumage"</formula>
    </cfRule>
    <cfRule type="expression" dxfId="7483" priority="7529">
      <formula>$F90="Administratif"</formula>
    </cfRule>
  </conditionalFormatting>
  <conditionalFormatting sqref="C90:D90">
    <cfRule type="expression" dxfId="7482" priority="7520">
      <formula>$H90="non"</formula>
    </cfRule>
  </conditionalFormatting>
  <conditionalFormatting sqref="C89:D89">
    <cfRule type="expression" dxfId="7481" priority="7511">
      <formula>$F89="Formation CCF"</formula>
    </cfRule>
    <cfRule type="expression" dxfId="7480" priority="7512">
      <formula>$F89="Direction"</formula>
    </cfRule>
    <cfRule type="expression" dxfId="7479" priority="7513">
      <formula>$F89="Ventes Sicli"</formula>
    </cfRule>
    <cfRule type="expression" dxfId="7478" priority="7514">
      <formula>$F89="Ventes Chubb"</formula>
    </cfRule>
    <cfRule type="expression" dxfId="7477" priority="7515">
      <formula>$F89="SAV Sicli"</formula>
    </cfRule>
    <cfRule type="expression" dxfId="7476" priority="7516">
      <formula>$F89="SAV Chubb"</formula>
    </cfRule>
    <cfRule type="expression" dxfId="7475" priority="7517">
      <formula>$F89="Réalisation"</formula>
    </cfRule>
    <cfRule type="expression" dxfId="7474" priority="7518">
      <formula>$F89="Désenfumage"</formula>
    </cfRule>
    <cfRule type="expression" dxfId="7473" priority="7519">
      <formula>$F89="Administratif"</formula>
    </cfRule>
  </conditionalFormatting>
  <conditionalFormatting sqref="C89:D89">
    <cfRule type="expression" dxfId="7472" priority="7510">
      <formula>$H89="non"</formula>
    </cfRule>
  </conditionalFormatting>
  <conditionalFormatting sqref="C88:D88">
    <cfRule type="expression" dxfId="7471" priority="7501">
      <formula>$F88="Formation CCF"</formula>
    </cfRule>
    <cfRule type="expression" dxfId="7470" priority="7502">
      <formula>$F88="Direction"</formula>
    </cfRule>
    <cfRule type="expression" dxfId="7469" priority="7503">
      <formula>$F88="Ventes Sicli"</formula>
    </cfRule>
    <cfRule type="expression" dxfId="7468" priority="7504">
      <formula>$F88="Ventes Chubb"</formula>
    </cfRule>
    <cfRule type="expression" dxfId="7467" priority="7505">
      <formula>$F88="SAV Sicli"</formula>
    </cfRule>
    <cfRule type="expression" dxfId="7466" priority="7506">
      <formula>$F88="SAV Chubb"</formula>
    </cfRule>
    <cfRule type="expression" dxfId="7465" priority="7507">
      <formula>$F88="Réalisation"</formula>
    </cfRule>
    <cfRule type="expression" dxfId="7464" priority="7508">
      <formula>$F88="Désenfumage"</formula>
    </cfRule>
    <cfRule type="expression" dxfId="7463" priority="7509">
      <formula>$F88="Administratif"</formula>
    </cfRule>
  </conditionalFormatting>
  <conditionalFormatting sqref="C88:D88">
    <cfRule type="expression" dxfId="7462" priority="7500">
      <formula>$H88="non"</formula>
    </cfRule>
  </conditionalFormatting>
  <conditionalFormatting sqref="C87:D87">
    <cfRule type="expression" dxfId="7461" priority="7491">
      <formula>$F87="Formation CCF"</formula>
    </cfRule>
    <cfRule type="expression" dxfId="7460" priority="7492">
      <formula>$F87="Direction"</formula>
    </cfRule>
    <cfRule type="expression" dxfId="7459" priority="7493">
      <formula>$F87="Ventes Sicli"</formula>
    </cfRule>
    <cfRule type="expression" dxfId="7458" priority="7494">
      <formula>$F87="Ventes Chubb"</formula>
    </cfRule>
    <cfRule type="expression" dxfId="7457" priority="7495">
      <formula>$F87="SAV Sicli"</formula>
    </cfRule>
    <cfRule type="expression" dxfId="7456" priority="7496">
      <formula>$F87="SAV Chubb"</formula>
    </cfRule>
    <cfRule type="expression" dxfId="7455" priority="7497">
      <formula>$F87="Réalisation"</formula>
    </cfRule>
    <cfRule type="expression" dxfId="7454" priority="7498">
      <formula>$F87="Désenfumage"</formula>
    </cfRule>
    <cfRule type="expression" dxfId="7453" priority="7499">
      <formula>$F87="Administratif"</formula>
    </cfRule>
  </conditionalFormatting>
  <conditionalFormatting sqref="C87:D87">
    <cfRule type="expression" dxfId="7452" priority="7490">
      <formula>$H87="non"</formula>
    </cfRule>
  </conditionalFormatting>
  <conditionalFormatting sqref="D85">
    <cfRule type="expression" dxfId="7451" priority="7481">
      <formula>$F85="Formation CCF"</formula>
    </cfRule>
    <cfRule type="expression" dxfId="7450" priority="7482">
      <formula>$F85="Direction"</formula>
    </cfRule>
    <cfRule type="expression" dxfId="7449" priority="7483">
      <formula>$F85="Ventes Sicli"</formula>
    </cfRule>
    <cfRule type="expression" dxfId="7448" priority="7484">
      <formula>$F85="Ventes Chubb"</formula>
    </cfRule>
    <cfRule type="expression" dxfId="7447" priority="7485">
      <formula>$F85="SAV Sicli"</formula>
    </cfRule>
    <cfRule type="expression" dxfId="7446" priority="7486">
      <formula>$F85="SAV Chubb"</formula>
    </cfRule>
    <cfRule type="expression" dxfId="7445" priority="7487">
      <formula>$F85="Réalisation"</formula>
    </cfRule>
    <cfRule type="expression" dxfId="7444" priority="7488">
      <formula>$F85="Désenfumage"</formula>
    </cfRule>
    <cfRule type="expression" dxfId="7443" priority="7489">
      <formula>$F85="Administratif"</formula>
    </cfRule>
  </conditionalFormatting>
  <conditionalFormatting sqref="D85">
    <cfRule type="expression" dxfId="7442" priority="7480">
      <formula>$H85="non"</formula>
    </cfRule>
  </conditionalFormatting>
  <conditionalFormatting sqref="D84">
    <cfRule type="expression" dxfId="7441" priority="7471">
      <formula>$F84="Formation CCF"</formula>
    </cfRule>
    <cfRule type="expression" dxfId="7440" priority="7472">
      <formula>$F84="Direction"</formula>
    </cfRule>
    <cfRule type="expression" dxfId="7439" priority="7473">
      <formula>$F84="Ventes Sicli"</formula>
    </cfRule>
    <cfRule type="expression" dxfId="7438" priority="7474">
      <formula>$F84="Ventes Chubb"</formula>
    </cfRule>
    <cfRule type="expression" dxfId="7437" priority="7475">
      <formula>$F84="SAV Sicli"</formula>
    </cfRule>
    <cfRule type="expression" dxfId="7436" priority="7476">
      <formula>$F84="SAV Chubb"</formula>
    </cfRule>
    <cfRule type="expression" dxfId="7435" priority="7477">
      <formula>$F84="Réalisation"</formula>
    </cfRule>
    <cfRule type="expression" dxfId="7434" priority="7478">
      <formula>$F84="Désenfumage"</formula>
    </cfRule>
    <cfRule type="expression" dxfId="7433" priority="7479">
      <formula>$F84="Administratif"</formula>
    </cfRule>
  </conditionalFormatting>
  <conditionalFormatting sqref="D84">
    <cfRule type="expression" dxfId="7432" priority="7470">
      <formula>$H84="non"</formula>
    </cfRule>
  </conditionalFormatting>
  <conditionalFormatting sqref="D83">
    <cfRule type="expression" dxfId="7431" priority="7461">
      <formula>$F83="Formation CCF"</formula>
    </cfRule>
    <cfRule type="expression" dxfId="7430" priority="7462">
      <formula>$F83="Direction"</formula>
    </cfRule>
    <cfRule type="expression" dxfId="7429" priority="7463">
      <formula>$F83="Ventes Sicli"</formula>
    </cfRule>
    <cfRule type="expression" dxfId="7428" priority="7464">
      <formula>$F83="Ventes Chubb"</formula>
    </cfRule>
    <cfRule type="expression" dxfId="7427" priority="7465">
      <formula>$F83="SAV Sicli"</formula>
    </cfRule>
    <cfRule type="expression" dxfId="7426" priority="7466">
      <formula>$F83="SAV Chubb"</formula>
    </cfRule>
    <cfRule type="expression" dxfId="7425" priority="7467">
      <formula>$F83="Réalisation"</formula>
    </cfRule>
    <cfRule type="expression" dxfId="7424" priority="7468">
      <formula>$F83="Désenfumage"</formula>
    </cfRule>
    <cfRule type="expression" dxfId="7423" priority="7469">
      <formula>$F83="Administratif"</formula>
    </cfRule>
  </conditionalFormatting>
  <conditionalFormatting sqref="D83">
    <cfRule type="expression" dxfId="7422" priority="7460">
      <formula>$H83="non"</formula>
    </cfRule>
  </conditionalFormatting>
  <conditionalFormatting sqref="D82">
    <cfRule type="expression" dxfId="7421" priority="7451">
      <formula>$F82="Formation CCF"</formula>
    </cfRule>
    <cfRule type="expression" dxfId="7420" priority="7452">
      <formula>$F82="Direction"</formula>
    </cfRule>
    <cfRule type="expression" dxfId="7419" priority="7453">
      <formula>$F82="Ventes Sicli"</formula>
    </cfRule>
    <cfRule type="expression" dxfId="7418" priority="7454">
      <formula>$F82="Ventes Chubb"</formula>
    </cfRule>
    <cfRule type="expression" dxfId="7417" priority="7455">
      <formula>$F82="SAV Sicli"</formula>
    </cfRule>
    <cfRule type="expression" dxfId="7416" priority="7456">
      <formula>$F82="SAV Chubb"</formula>
    </cfRule>
    <cfRule type="expression" dxfId="7415" priority="7457">
      <formula>$F82="Réalisation"</formula>
    </cfRule>
    <cfRule type="expression" dxfId="7414" priority="7458">
      <formula>$F82="Désenfumage"</formula>
    </cfRule>
    <cfRule type="expression" dxfId="7413" priority="7459">
      <formula>$F82="Administratif"</formula>
    </cfRule>
  </conditionalFormatting>
  <conditionalFormatting sqref="D82">
    <cfRule type="expression" dxfId="7412" priority="7450">
      <formula>$H82="non"</formula>
    </cfRule>
  </conditionalFormatting>
  <conditionalFormatting sqref="D81">
    <cfRule type="expression" dxfId="7411" priority="7441">
      <formula>$F81="Formation CCF"</formula>
    </cfRule>
    <cfRule type="expression" dxfId="7410" priority="7442">
      <formula>$F81="Direction"</formula>
    </cfRule>
    <cfRule type="expression" dxfId="7409" priority="7443">
      <formula>$F81="Ventes Sicli"</formula>
    </cfRule>
    <cfRule type="expression" dxfId="7408" priority="7444">
      <formula>$F81="Ventes Chubb"</formula>
    </cfRule>
    <cfRule type="expression" dxfId="7407" priority="7445">
      <formula>$F81="SAV Sicli"</formula>
    </cfRule>
    <cfRule type="expression" dxfId="7406" priority="7446">
      <formula>$F81="SAV Chubb"</formula>
    </cfRule>
    <cfRule type="expression" dxfId="7405" priority="7447">
      <formula>$F81="Réalisation"</formula>
    </cfRule>
    <cfRule type="expression" dxfId="7404" priority="7448">
      <formula>$F81="Désenfumage"</formula>
    </cfRule>
    <cfRule type="expression" dxfId="7403" priority="7449">
      <formula>$F81="Administratif"</formula>
    </cfRule>
  </conditionalFormatting>
  <conditionalFormatting sqref="D81">
    <cfRule type="expression" dxfId="7402" priority="7440">
      <formula>$H81="non"</formula>
    </cfRule>
  </conditionalFormatting>
  <conditionalFormatting sqref="D80">
    <cfRule type="expression" dxfId="7401" priority="7431">
      <formula>$F80="Formation CCF"</formula>
    </cfRule>
    <cfRule type="expression" dxfId="7400" priority="7432">
      <formula>$F80="Direction"</formula>
    </cfRule>
    <cfRule type="expression" dxfId="7399" priority="7433">
      <formula>$F80="Ventes Sicli"</formula>
    </cfRule>
    <cfRule type="expression" dxfId="7398" priority="7434">
      <formula>$F80="Ventes Chubb"</formula>
    </cfRule>
    <cfRule type="expression" dxfId="7397" priority="7435">
      <formula>$F80="SAV Sicli"</formula>
    </cfRule>
    <cfRule type="expression" dxfId="7396" priority="7436">
      <formula>$F80="SAV Chubb"</formula>
    </cfRule>
    <cfRule type="expression" dxfId="7395" priority="7437">
      <formula>$F80="Réalisation"</formula>
    </cfRule>
    <cfRule type="expression" dxfId="7394" priority="7438">
      <formula>$F80="Désenfumage"</formula>
    </cfRule>
    <cfRule type="expression" dxfId="7393" priority="7439">
      <formula>$F80="Administratif"</formula>
    </cfRule>
  </conditionalFormatting>
  <conditionalFormatting sqref="D80">
    <cfRule type="expression" dxfId="7392" priority="7430">
      <formula>$H80="non"</formula>
    </cfRule>
  </conditionalFormatting>
  <conditionalFormatting sqref="D78">
    <cfRule type="expression" dxfId="7391" priority="7411">
      <formula>$F78="Formation CCF"</formula>
    </cfRule>
    <cfRule type="expression" dxfId="7390" priority="7412">
      <formula>$F78="Direction"</formula>
    </cfRule>
    <cfRule type="expression" dxfId="7389" priority="7413">
      <formula>$F78="Ventes Sicli"</formula>
    </cfRule>
    <cfRule type="expression" dxfId="7388" priority="7414">
      <formula>$F78="Ventes Chubb"</formula>
    </cfRule>
    <cfRule type="expression" dxfId="7387" priority="7415">
      <formula>$F78="SAV Sicli"</formula>
    </cfRule>
    <cfRule type="expression" dxfId="7386" priority="7416">
      <formula>$F78="SAV Chubb"</formula>
    </cfRule>
    <cfRule type="expression" dxfId="7385" priority="7417">
      <formula>$F78="Réalisation"</formula>
    </cfRule>
    <cfRule type="expression" dxfId="7384" priority="7418">
      <formula>$F78="Désenfumage"</formula>
    </cfRule>
    <cfRule type="expression" dxfId="7383" priority="7419">
      <formula>$F78="Administratif"</formula>
    </cfRule>
  </conditionalFormatting>
  <conditionalFormatting sqref="D78">
    <cfRule type="expression" dxfId="7382" priority="7410">
      <formula>$H78="non"</formula>
    </cfRule>
  </conditionalFormatting>
  <conditionalFormatting sqref="D77">
    <cfRule type="expression" dxfId="7381" priority="7401">
      <formula>$F77="Formation CCF"</formula>
    </cfRule>
    <cfRule type="expression" dxfId="7380" priority="7402">
      <formula>$F77="Direction"</formula>
    </cfRule>
    <cfRule type="expression" dxfId="7379" priority="7403">
      <formula>$F77="Ventes Sicli"</formula>
    </cfRule>
    <cfRule type="expression" dxfId="7378" priority="7404">
      <formula>$F77="Ventes Chubb"</formula>
    </cfRule>
    <cfRule type="expression" dxfId="7377" priority="7405">
      <formula>$F77="SAV Sicli"</formula>
    </cfRule>
    <cfRule type="expression" dxfId="7376" priority="7406">
      <formula>$F77="SAV Chubb"</formula>
    </cfRule>
    <cfRule type="expression" dxfId="7375" priority="7407">
      <formula>$F77="Réalisation"</formula>
    </cfRule>
    <cfRule type="expression" dxfId="7374" priority="7408">
      <formula>$F77="Désenfumage"</formula>
    </cfRule>
    <cfRule type="expression" dxfId="7373" priority="7409">
      <formula>$F77="Administratif"</formula>
    </cfRule>
  </conditionalFormatting>
  <conditionalFormatting sqref="D77">
    <cfRule type="expression" dxfId="7372" priority="7400">
      <formula>$H77="non"</formula>
    </cfRule>
  </conditionalFormatting>
  <conditionalFormatting sqref="D76">
    <cfRule type="expression" dxfId="7371" priority="7391">
      <formula>$F76="Formation CCF"</formula>
    </cfRule>
    <cfRule type="expression" dxfId="7370" priority="7392">
      <formula>$F76="Direction"</formula>
    </cfRule>
    <cfRule type="expression" dxfId="7369" priority="7393">
      <formula>$F76="Ventes Sicli"</formula>
    </cfRule>
    <cfRule type="expression" dxfId="7368" priority="7394">
      <formula>$F76="Ventes Chubb"</formula>
    </cfRule>
    <cfRule type="expression" dxfId="7367" priority="7395">
      <formula>$F76="SAV Sicli"</formula>
    </cfRule>
    <cfRule type="expression" dxfId="7366" priority="7396">
      <formula>$F76="SAV Chubb"</formula>
    </cfRule>
    <cfRule type="expression" dxfId="7365" priority="7397">
      <formula>$F76="Réalisation"</formula>
    </cfRule>
    <cfRule type="expression" dxfId="7364" priority="7398">
      <formula>$F76="Désenfumage"</formula>
    </cfRule>
    <cfRule type="expression" dxfId="7363" priority="7399">
      <formula>$F76="Administratif"</formula>
    </cfRule>
  </conditionalFormatting>
  <conditionalFormatting sqref="D76">
    <cfRule type="expression" dxfId="7362" priority="7390">
      <formula>$H76="non"</formula>
    </cfRule>
  </conditionalFormatting>
  <conditionalFormatting sqref="D83">
    <cfRule type="expression" dxfId="7361" priority="7231">
      <formula>$F83="Formation CCF"</formula>
    </cfRule>
    <cfRule type="expression" dxfId="7360" priority="7232">
      <formula>$F83="Direction"</formula>
    </cfRule>
    <cfRule type="expression" dxfId="7359" priority="7233">
      <formula>$F83="Ventes Sicli"</formula>
    </cfRule>
    <cfRule type="expression" dxfId="7358" priority="7234">
      <formula>$F83="Ventes Chubb"</formula>
    </cfRule>
    <cfRule type="expression" dxfId="7357" priority="7235">
      <formula>$F83="SAV Sicli"</formula>
    </cfRule>
    <cfRule type="expression" dxfId="7356" priority="7236">
      <formula>$F83="SAV Chubb"</formula>
    </cfRule>
    <cfRule type="expression" dxfId="7355" priority="7237">
      <formula>$F83="Réalisation"</formula>
    </cfRule>
    <cfRule type="expression" dxfId="7354" priority="7238">
      <formula>$F83="Désenfumage"</formula>
    </cfRule>
    <cfRule type="expression" dxfId="7353" priority="7239">
      <formula>$F83="Administratif"</formula>
    </cfRule>
  </conditionalFormatting>
  <conditionalFormatting sqref="D83">
    <cfRule type="expression" dxfId="7352" priority="7230">
      <formula>$H83="non"</formula>
    </cfRule>
  </conditionalFormatting>
  <conditionalFormatting sqref="D84">
    <cfRule type="expression" dxfId="7351" priority="7371">
      <formula>$F84="Formation CCF"</formula>
    </cfRule>
    <cfRule type="expression" dxfId="7350" priority="7372">
      <formula>$F84="Direction"</formula>
    </cfRule>
    <cfRule type="expression" dxfId="7349" priority="7373">
      <formula>$F84="Ventes Sicli"</formula>
    </cfRule>
    <cfRule type="expression" dxfId="7348" priority="7374">
      <formula>$F84="Ventes Chubb"</formula>
    </cfRule>
    <cfRule type="expression" dxfId="7347" priority="7375">
      <formula>$F84="SAV Sicli"</formula>
    </cfRule>
    <cfRule type="expression" dxfId="7346" priority="7376">
      <formula>$F84="SAV Chubb"</formula>
    </cfRule>
    <cfRule type="expression" dxfId="7345" priority="7377">
      <formula>$F84="Réalisation"</formula>
    </cfRule>
    <cfRule type="expression" dxfId="7344" priority="7378">
      <formula>$F84="Désenfumage"</formula>
    </cfRule>
    <cfRule type="expression" dxfId="7343" priority="7379">
      <formula>$F84="Administratif"</formula>
    </cfRule>
  </conditionalFormatting>
  <conditionalFormatting sqref="D84">
    <cfRule type="expression" dxfId="7342" priority="7370">
      <formula>$H84="non"</formula>
    </cfRule>
  </conditionalFormatting>
  <conditionalFormatting sqref="D83">
    <cfRule type="expression" dxfId="7341" priority="7361">
      <formula>$F83="Formation CCF"</formula>
    </cfRule>
    <cfRule type="expression" dxfId="7340" priority="7362">
      <formula>$F83="Direction"</formula>
    </cfRule>
    <cfRule type="expression" dxfId="7339" priority="7363">
      <formula>$F83="Ventes Sicli"</formula>
    </cfRule>
    <cfRule type="expression" dxfId="7338" priority="7364">
      <formula>$F83="Ventes Chubb"</formula>
    </cfRule>
    <cfRule type="expression" dxfId="7337" priority="7365">
      <formula>$F83="SAV Sicli"</formula>
    </cfRule>
    <cfRule type="expression" dxfId="7336" priority="7366">
      <formula>$F83="SAV Chubb"</formula>
    </cfRule>
    <cfRule type="expression" dxfId="7335" priority="7367">
      <formula>$F83="Réalisation"</formula>
    </cfRule>
    <cfRule type="expression" dxfId="7334" priority="7368">
      <formula>$F83="Désenfumage"</formula>
    </cfRule>
    <cfRule type="expression" dxfId="7333" priority="7369">
      <formula>$F83="Administratif"</formula>
    </cfRule>
  </conditionalFormatting>
  <conditionalFormatting sqref="D83">
    <cfRule type="expression" dxfId="7332" priority="7360">
      <formula>$H83="non"</formula>
    </cfRule>
  </conditionalFormatting>
  <conditionalFormatting sqref="D82">
    <cfRule type="expression" dxfId="7331" priority="7351">
      <formula>$F82="Formation CCF"</formula>
    </cfRule>
    <cfRule type="expression" dxfId="7330" priority="7352">
      <formula>$F82="Direction"</formula>
    </cfRule>
    <cfRule type="expression" dxfId="7329" priority="7353">
      <formula>$F82="Ventes Sicli"</formula>
    </cfRule>
    <cfRule type="expression" dxfId="7328" priority="7354">
      <formula>$F82="Ventes Chubb"</formula>
    </cfRule>
    <cfRule type="expression" dxfId="7327" priority="7355">
      <formula>$F82="SAV Sicli"</formula>
    </cfRule>
    <cfRule type="expression" dxfId="7326" priority="7356">
      <formula>$F82="SAV Chubb"</formula>
    </cfRule>
    <cfRule type="expression" dxfId="7325" priority="7357">
      <formula>$F82="Réalisation"</formula>
    </cfRule>
    <cfRule type="expression" dxfId="7324" priority="7358">
      <formula>$F82="Désenfumage"</formula>
    </cfRule>
    <cfRule type="expression" dxfId="7323" priority="7359">
      <formula>$F82="Administratif"</formula>
    </cfRule>
  </conditionalFormatting>
  <conditionalFormatting sqref="D82">
    <cfRule type="expression" dxfId="7322" priority="7350">
      <formula>$H82="non"</formula>
    </cfRule>
  </conditionalFormatting>
  <conditionalFormatting sqref="D81">
    <cfRule type="expression" dxfId="7321" priority="7341">
      <formula>$F81="Formation CCF"</formula>
    </cfRule>
    <cfRule type="expression" dxfId="7320" priority="7342">
      <formula>$F81="Direction"</formula>
    </cfRule>
    <cfRule type="expression" dxfId="7319" priority="7343">
      <formula>$F81="Ventes Sicli"</formula>
    </cfRule>
    <cfRule type="expression" dxfId="7318" priority="7344">
      <formula>$F81="Ventes Chubb"</formula>
    </cfRule>
    <cfRule type="expression" dxfId="7317" priority="7345">
      <formula>$F81="SAV Sicli"</formula>
    </cfRule>
    <cfRule type="expression" dxfId="7316" priority="7346">
      <formula>$F81="SAV Chubb"</formula>
    </cfRule>
    <cfRule type="expression" dxfId="7315" priority="7347">
      <formula>$F81="Réalisation"</formula>
    </cfRule>
    <cfRule type="expression" dxfId="7314" priority="7348">
      <formula>$F81="Désenfumage"</formula>
    </cfRule>
    <cfRule type="expression" dxfId="7313" priority="7349">
      <formula>$F81="Administratif"</formula>
    </cfRule>
  </conditionalFormatting>
  <conditionalFormatting sqref="D81">
    <cfRule type="expression" dxfId="7312" priority="7340">
      <formula>$H81="non"</formula>
    </cfRule>
  </conditionalFormatting>
  <conditionalFormatting sqref="D80">
    <cfRule type="expression" dxfId="7311" priority="7331">
      <formula>$F80="Formation CCF"</formula>
    </cfRule>
    <cfRule type="expression" dxfId="7310" priority="7332">
      <formula>$F80="Direction"</formula>
    </cfRule>
    <cfRule type="expression" dxfId="7309" priority="7333">
      <formula>$F80="Ventes Sicli"</formula>
    </cfRule>
    <cfRule type="expression" dxfId="7308" priority="7334">
      <formula>$F80="Ventes Chubb"</formula>
    </cfRule>
    <cfRule type="expression" dxfId="7307" priority="7335">
      <formula>$F80="SAV Sicli"</formula>
    </cfRule>
    <cfRule type="expression" dxfId="7306" priority="7336">
      <formula>$F80="SAV Chubb"</formula>
    </cfRule>
    <cfRule type="expression" dxfId="7305" priority="7337">
      <formula>$F80="Réalisation"</formula>
    </cfRule>
    <cfRule type="expression" dxfId="7304" priority="7338">
      <formula>$F80="Désenfumage"</formula>
    </cfRule>
    <cfRule type="expression" dxfId="7303" priority="7339">
      <formula>$F80="Administratif"</formula>
    </cfRule>
  </conditionalFormatting>
  <conditionalFormatting sqref="D80">
    <cfRule type="expression" dxfId="7302" priority="7330">
      <formula>$H80="non"</formula>
    </cfRule>
  </conditionalFormatting>
  <conditionalFormatting sqref="D79">
    <cfRule type="expression" dxfId="7301" priority="7321">
      <formula>$F79="Formation CCF"</formula>
    </cfRule>
    <cfRule type="expression" dxfId="7300" priority="7322">
      <formula>$F79="Direction"</formula>
    </cfRule>
    <cfRule type="expression" dxfId="7299" priority="7323">
      <formula>$F79="Ventes Sicli"</formula>
    </cfRule>
    <cfRule type="expression" dxfId="7298" priority="7324">
      <formula>$F79="Ventes Chubb"</formula>
    </cfRule>
    <cfRule type="expression" dxfId="7297" priority="7325">
      <formula>$F79="SAV Sicli"</formula>
    </cfRule>
    <cfRule type="expression" dxfId="7296" priority="7326">
      <formula>$F79="SAV Chubb"</formula>
    </cfRule>
    <cfRule type="expression" dxfId="7295" priority="7327">
      <formula>$F79="Réalisation"</formula>
    </cfRule>
    <cfRule type="expression" dxfId="7294" priority="7328">
      <formula>$F79="Désenfumage"</formula>
    </cfRule>
    <cfRule type="expression" dxfId="7293" priority="7329">
      <formula>$F79="Administratif"</formula>
    </cfRule>
  </conditionalFormatting>
  <conditionalFormatting sqref="D79">
    <cfRule type="expression" dxfId="7292" priority="7320">
      <formula>$H79="non"</formula>
    </cfRule>
  </conditionalFormatting>
  <conditionalFormatting sqref="D78">
    <cfRule type="expression" dxfId="7291" priority="7311">
      <formula>$F78="Formation CCF"</formula>
    </cfRule>
    <cfRule type="expression" dxfId="7290" priority="7312">
      <formula>$F78="Direction"</formula>
    </cfRule>
    <cfRule type="expression" dxfId="7289" priority="7313">
      <formula>$F78="Ventes Sicli"</formula>
    </cfRule>
    <cfRule type="expression" dxfId="7288" priority="7314">
      <formula>$F78="Ventes Chubb"</formula>
    </cfRule>
    <cfRule type="expression" dxfId="7287" priority="7315">
      <formula>$F78="SAV Sicli"</formula>
    </cfRule>
    <cfRule type="expression" dxfId="7286" priority="7316">
      <formula>$F78="SAV Chubb"</formula>
    </cfRule>
    <cfRule type="expression" dxfId="7285" priority="7317">
      <formula>$F78="Réalisation"</formula>
    </cfRule>
    <cfRule type="expression" dxfId="7284" priority="7318">
      <formula>$F78="Désenfumage"</formula>
    </cfRule>
    <cfRule type="expression" dxfId="7283" priority="7319">
      <formula>$F78="Administratif"</formula>
    </cfRule>
  </conditionalFormatting>
  <conditionalFormatting sqref="D78">
    <cfRule type="expression" dxfId="7282" priority="7310">
      <formula>$H78="non"</formula>
    </cfRule>
  </conditionalFormatting>
  <conditionalFormatting sqref="D77">
    <cfRule type="expression" dxfId="7281" priority="7301">
      <formula>$F77="Formation CCF"</formula>
    </cfRule>
    <cfRule type="expression" dxfId="7280" priority="7302">
      <formula>$F77="Direction"</formula>
    </cfRule>
    <cfRule type="expression" dxfId="7279" priority="7303">
      <formula>$F77="Ventes Sicli"</formula>
    </cfRule>
    <cfRule type="expression" dxfId="7278" priority="7304">
      <formula>$F77="Ventes Chubb"</formula>
    </cfRule>
    <cfRule type="expression" dxfId="7277" priority="7305">
      <formula>$F77="SAV Sicli"</formula>
    </cfRule>
    <cfRule type="expression" dxfId="7276" priority="7306">
      <formula>$F77="SAV Chubb"</formula>
    </cfRule>
    <cfRule type="expression" dxfId="7275" priority="7307">
      <formula>$F77="Réalisation"</formula>
    </cfRule>
    <cfRule type="expression" dxfId="7274" priority="7308">
      <formula>$F77="Désenfumage"</formula>
    </cfRule>
    <cfRule type="expression" dxfId="7273" priority="7309">
      <formula>$F77="Administratif"</formula>
    </cfRule>
  </conditionalFormatting>
  <conditionalFormatting sqref="D77">
    <cfRule type="expression" dxfId="7272" priority="7300">
      <formula>$H77="non"</formula>
    </cfRule>
  </conditionalFormatting>
  <conditionalFormatting sqref="C90:D90">
    <cfRule type="expression" dxfId="7271" priority="7291">
      <formula>$F90="Formation CCF"</formula>
    </cfRule>
    <cfRule type="expression" dxfId="7270" priority="7292">
      <formula>$F90="Direction"</formula>
    </cfRule>
    <cfRule type="expression" dxfId="7269" priority="7293">
      <formula>$F90="Ventes Sicli"</formula>
    </cfRule>
    <cfRule type="expression" dxfId="7268" priority="7294">
      <formula>$F90="Ventes Chubb"</formula>
    </cfRule>
    <cfRule type="expression" dxfId="7267" priority="7295">
      <formula>$F90="SAV Sicli"</formula>
    </cfRule>
    <cfRule type="expression" dxfId="7266" priority="7296">
      <formula>$F90="SAV Chubb"</formula>
    </cfRule>
    <cfRule type="expression" dxfId="7265" priority="7297">
      <formula>$F90="Réalisation"</formula>
    </cfRule>
    <cfRule type="expression" dxfId="7264" priority="7298">
      <formula>$F90="Désenfumage"</formula>
    </cfRule>
    <cfRule type="expression" dxfId="7263" priority="7299">
      <formula>$F90="Administratif"</formula>
    </cfRule>
  </conditionalFormatting>
  <conditionalFormatting sqref="C90:D90">
    <cfRule type="expression" dxfId="7262" priority="7290">
      <formula>$H90="non"</formula>
    </cfRule>
  </conditionalFormatting>
  <conditionalFormatting sqref="C89:D89">
    <cfRule type="expression" dxfId="7261" priority="7281">
      <formula>$F89="Formation CCF"</formula>
    </cfRule>
    <cfRule type="expression" dxfId="7260" priority="7282">
      <formula>$F89="Direction"</formula>
    </cfRule>
    <cfRule type="expression" dxfId="7259" priority="7283">
      <formula>$F89="Ventes Sicli"</formula>
    </cfRule>
    <cfRule type="expression" dxfId="7258" priority="7284">
      <formula>$F89="Ventes Chubb"</formula>
    </cfRule>
    <cfRule type="expression" dxfId="7257" priority="7285">
      <formula>$F89="SAV Sicli"</formula>
    </cfRule>
    <cfRule type="expression" dxfId="7256" priority="7286">
      <formula>$F89="SAV Chubb"</formula>
    </cfRule>
    <cfRule type="expression" dxfId="7255" priority="7287">
      <formula>$F89="Réalisation"</formula>
    </cfRule>
    <cfRule type="expression" dxfId="7254" priority="7288">
      <formula>$F89="Désenfumage"</formula>
    </cfRule>
    <cfRule type="expression" dxfId="7253" priority="7289">
      <formula>$F89="Administratif"</formula>
    </cfRule>
  </conditionalFormatting>
  <conditionalFormatting sqref="C89:D89">
    <cfRule type="expression" dxfId="7252" priority="7280">
      <formula>$H89="non"</formula>
    </cfRule>
  </conditionalFormatting>
  <conditionalFormatting sqref="C88:D88">
    <cfRule type="expression" dxfId="7251" priority="7271">
      <formula>$F88="Formation CCF"</formula>
    </cfRule>
    <cfRule type="expression" dxfId="7250" priority="7272">
      <formula>$F88="Direction"</formula>
    </cfRule>
    <cfRule type="expression" dxfId="7249" priority="7273">
      <formula>$F88="Ventes Sicli"</formula>
    </cfRule>
    <cfRule type="expression" dxfId="7248" priority="7274">
      <formula>$F88="Ventes Chubb"</formula>
    </cfRule>
    <cfRule type="expression" dxfId="7247" priority="7275">
      <formula>$F88="SAV Sicli"</formula>
    </cfRule>
    <cfRule type="expression" dxfId="7246" priority="7276">
      <formula>$F88="SAV Chubb"</formula>
    </cfRule>
    <cfRule type="expression" dxfId="7245" priority="7277">
      <formula>$F88="Réalisation"</formula>
    </cfRule>
    <cfRule type="expression" dxfId="7244" priority="7278">
      <formula>$F88="Désenfumage"</formula>
    </cfRule>
    <cfRule type="expression" dxfId="7243" priority="7279">
      <formula>$F88="Administratif"</formula>
    </cfRule>
  </conditionalFormatting>
  <conditionalFormatting sqref="C88:D88">
    <cfRule type="expression" dxfId="7242" priority="7270">
      <formula>$H88="non"</formula>
    </cfRule>
  </conditionalFormatting>
  <conditionalFormatting sqref="C87:D87">
    <cfRule type="expression" dxfId="7241" priority="7261">
      <formula>$F87="Formation CCF"</formula>
    </cfRule>
    <cfRule type="expression" dxfId="7240" priority="7262">
      <formula>$F87="Direction"</formula>
    </cfRule>
    <cfRule type="expression" dxfId="7239" priority="7263">
      <formula>$F87="Ventes Sicli"</formula>
    </cfRule>
    <cfRule type="expression" dxfId="7238" priority="7264">
      <formula>$F87="Ventes Chubb"</formula>
    </cfRule>
    <cfRule type="expression" dxfId="7237" priority="7265">
      <formula>$F87="SAV Sicli"</formula>
    </cfRule>
    <cfRule type="expression" dxfId="7236" priority="7266">
      <formula>$F87="SAV Chubb"</formula>
    </cfRule>
    <cfRule type="expression" dxfId="7235" priority="7267">
      <formula>$F87="Réalisation"</formula>
    </cfRule>
    <cfRule type="expression" dxfId="7234" priority="7268">
      <formula>$F87="Désenfumage"</formula>
    </cfRule>
    <cfRule type="expression" dxfId="7233" priority="7269">
      <formula>$F87="Administratif"</formula>
    </cfRule>
  </conditionalFormatting>
  <conditionalFormatting sqref="C87:D87">
    <cfRule type="expression" dxfId="7232" priority="7260">
      <formula>$H87="non"</formula>
    </cfRule>
  </conditionalFormatting>
  <conditionalFormatting sqref="C86:D86">
    <cfRule type="expression" dxfId="7231" priority="7251">
      <formula>$F86="Formation CCF"</formula>
    </cfRule>
    <cfRule type="expression" dxfId="7230" priority="7252">
      <formula>$F86="Direction"</formula>
    </cfRule>
    <cfRule type="expression" dxfId="7229" priority="7253">
      <formula>$F86="Ventes Sicli"</formula>
    </cfRule>
    <cfRule type="expression" dxfId="7228" priority="7254">
      <formula>$F86="Ventes Chubb"</formula>
    </cfRule>
    <cfRule type="expression" dxfId="7227" priority="7255">
      <formula>$F86="SAV Sicli"</formula>
    </cfRule>
    <cfRule type="expression" dxfId="7226" priority="7256">
      <formula>$F86="SAV Chubb"</formula>
    </cfRule>
    <cfRule type="expression" dxfId="7225" priority="7257">
      <formula>$F86="Réalisation"</formula>
    </cfRule>
    <cfRule type="expression" dxfId="7224" priority="7258">
      <formula>$F86="Désenfumage"</formula>
    </cfRule>
    <cfRule type="expression" dxfId="7223" priority="7259">
      <formula>$F86="Administratif"</formula>
    </cfRule>
  </conditionalFormatting>
  <conditionalFormatting sqref="C86:D86">
    <cfRule type="expression" dxfId="7222" priority="7250">
      <formula>$H86="non"</formula>
    </cfRule>
  </conditionalFormatting>
  <conditionalFormatting sqref="D84">
    <cfRule type="expression" dxfId="7221" priority="7241">
      <formula>$F84="Formation CCF"</formula>
    </cfRule>
    <cfRule type="expression" dxfId="7220" priority="7242">
      <formula>$F84="Direction"</formula>
    </cfRule>
    <cfRule type="expression" dxfId="7219" priority="7243">
      <formula>$F84="Ventes Sicli"</formula>
    </cfRule>
    <cfRule type="expression" dxfId="7218" priority="7244">
      <formula>$F84="Ventes Chubb"</formula>
    </cfRule>
    <cfRule type="expression" dxfId="7217" priority="7245">
      <formula>$F84="SAV Sicli"</formula>
    </cfRule>
    <cfRule type="expression" dxfId="7216" priority="7246">
      <formula>$F84="SAV Chubb"</formula>
    </cfRule>
    <cfRule type="expression" dxfId="7215" priority="7247">
      <formula>$F84="Réalisation"</formula>
    </cfRule>
    <cfRule type="expression" dxfId="7214" priority="7248">
      <formula>$F84="Désenfumage"</formula>
    </cfRule>
    <cfRule type="expression" dxfId="7213" priority="7249">
      <formula>$F84="Administratif"</formula>
    </cfRule>
  </conditionalFormatting>
  <conditionalFormatting sqref="D84">
    <cfRule type="expression" dxfId="7212" priority="7240">
      <formula>$H84="non"</formula>
    </cfRule>
  </conditionalFormatting>
  <conditionalFormatting sqref="D82">
    <cfRule type="expression" dxfId="7211" priority="7221">
      <formula>$F82="Formation CCF"</formula>
    </cfRule>
    <cfRule type="expression" dxfId="7210" priority="7222">
      <formula>$F82="Direction"</formula>
    </cfRule>
    <cfRule type="expression" dxfId="7209" priority="7223">
      <formula>$F82="Ventes Sicli"</formula>
    </cfRule>
    <cfRule type="expression" dxfId="7208" priority="7224">
      <formula>$F82="Ventes Chubb"</formula>
    </cfRule>
    <cfRule type="expression" dxfId="7207" priority="7225">
      <formula>$F82="SAV Sicli"</formula>
    </cfRule>
    <cfRule type="expression" dxfId="7206" priority="7226">
      <formula>$F82="SAV Chubb"</formula>
    </cfRule>
    <cfRule type="expression" dxfId="7205" priority="7227">
      <formula>$F82="Réalisation"</formula>
    </cfRule>
    <cfRule type="expression" dxfId="7204" priority="7228">
      <formula>$F82="Désenfumage"</formula>
    </cfRule>
    <cfRule type="expression" dxfId="7203" priority="7229">
      <formula>$F82="Administratif"</formula>
    </cfRule>
  </conditionalFormatting>
  <conditionalFormatting sqref="D82">
    <cfRule type="expression" dxfId="7202" priority="7220">
      <formula>$H82="non"</formula>
    </cfRule>
  </conditionalFormatting>
  <conditionalFormatting sqref="D81">
    <cfRule type="expression" dxfId="7201" priority="7211">
      <formula>$F81="Formation CCF"</formula>
    </cfRule>
    <cfRule type="expression" dxfId="7200" priority="7212">
      <formula>$F81="Direction"</formula>
    </cfRule>
    <cfRule type="expression" dxfId="7199" priority="7213">
      <formula>$F81="Ventes Sicli"</formula>
    </cfRule>
    <cfRule type="expression" dxfId="7198" priority="7214">
      <formula>$F81="Ventes Chubb"</formula>
    </cfRule>
    <cfRule type="expression" dxfId="7197" priority="7215">
      <formula>$F81="SAV Sicli"</formula>
    </cfRule>
    <cfRule type="expression" dxfId="7196" priority="7216">
      <formula>$F81="SAV Chubb"</formula>
    </cfRule>
    <cfRule type="expression" dxfId="7195" priority="7217">
      <formula>$F81="Réalisation"</formula>
    </cfRule>
    <cfRule type="expression" dxfId="7194" priority="7218">
      <formula>$F81="Désenfumage"</formula>
    </cfRule>
    <cfRule type="expression" dxfId="7193" priority="7219">
      <formula>$F81="Administratif"</formula>
    </cfRule>
  </conditionalFormatting>
  <conditionalFormatting sqref="D81">
    <cfRule type="expression" dxfId="7192" priority="7210">
      <formula>$H81="non"</formula>
    </cfRule>
  </conditionalFormatting>
  <conditionalFormatting sqref="D80">
    <cfRule type="expression" dxfId="7191" priority="7201">
      <formula>$F80="Formation CCF"</formula>
    </cfRule>
    <cfRule type="expression" dxfId="7190" priority="7202">
      <formula>$F80="Direction"</formula>
    </cfRule>
    <cfRule type="expression" dxfId="7189" priority="7203">
      <formula>$F80="Ventes Sicli"</formula>
    </cfRule>
    <cfRule type="expression" dxfId="7188" priority="7204">
      <formula>$F80="Ventes Chubb"</formula>
    </cfRule>
    <cfRule type="expression" dxfId="7187" priority="7205">
      <formula>$F80="SAV Sicli"</formula>
    </cfRule>
    <cfRule type="expression" dxfId="7186" priority="7206">
      <formula>$F80="SAV Chubb"</formula>
    </cfRule>
    <cfRule type="expression" dxfId="7185" priority="7207">
      <formula>$F80="Réalisation"</formula>
    </cfRule>
    <cfRule type="expression" dxfId="7184" priority="7208">
      <formula>$F80="Désenfumage"</formula>
    </cfRule>
    <cfRule type="expression" dxfId="7183" priority="7209">
      <formula>$F80="Administratif"</formula>
    </cfRule>
  </conditionalFormatting>
  <conditionalFormatting sqref="D80">
    <cfRule type="expression" dxfId="7182" priority="7200">
      <formula>$H80="non"</formula>
    </cfRule>
  </conditionalFormatting>
  <conditionalFormatting sqref="D79">
    <cfRule type="expression" dxfId="7181" priority="7191">
      <formula>$F79="Formation CCF"</formula>
    </cfRule>
    <cfRule type="expression" dxfId="7180" priority="7192">
      <formula>$F79="Direction"</formula>
    </cfRule>
    <cfRule type="expression" dxfId="7179" priority="7193">
      <formula>$F79="Ventes Sicli"</formula>
    </cfRule>
    <cfRule type="expression" dxfId="7178" priority="7194">
      <formula>$F79="Ventes Chubb"</formula>
    </cfRule>
    <cfRule type="expression" dxfId="7177" priority="7195">
      <formula>$F79="SAV Sicli"</formula>
    </cfRule>
    <cfRule type="expression" dxfId="7176" priority="7196">
      <formula>$F79="SAV Chubb"</formula>
    </cfRule>
    <cfRule type="expression" dxfId="7175" priority="7197">
      <formula>$F79="Réalisation"</formula>
    </cfRule>
    <cfRule type="expression" dxfId="7174" priority="7198">
      <formula>$F79="Désenfumage"</formula>
    </cfRule>
    <cfRule type="expression" dxfId="7173" priority="7199">
      <formula>$F79="Administratif"</formula>
    </cfRule>
  </conditionalFormatting>
  <conditionalFormatting sqref="D79">
    <cfRule type="expression" dxfId="7172" priority="7190">
      <formula>$H79="non"</formula>
    </cfRule>
  </conditionalFormatting>
  <conditionalFormatting sqref="D78">
    <cfRule type="expression" dxfId="7171" priority="7181">
      <formula>$F78="Formation CCF"</formula>
    </cfRule>
    <cfRule type="expression" dxfId="7170" priority="7182">
      <formula>$F78="Direction"</formula>
    </cfRule>
    <cfRule type="expression" dxfId="7169" priority="7183">
      <formula>$F78="Ventes Sicli"</formula>
    </cfRule>
    <cfRule type="expression" dxfId="7168" priority="7184">
      <formula>$F78="Ventes Chubb"</formula>
    </cfRule>
    <cfRule type="expression" dxfId="7167" priority="7185">
      <formula>$F78="SAV Sicli"</formula>
    </cfRule>
    <cfRule type="expression" dxfId="7166" priority="7186">
      <formula>$F78="SAV Chubb"</formula>
    </cfRule>
    <cfRule type="expression" dxfId="7165" priority="7187">
      <formula>$F78="Réalisation"</formula>
    </cfRule>
    <cfRule type="expression" dxfId="7164" priority="7188">
      <formula>$F78="Désenfumage"</formula>
    </cfRule>
    <cfRule type="expression" dxfId="7163" priority="7189">
      <formula>$F78="Administratif"</formula>
    </cfRule>
  </conditionalFormatting>
  <conditionalFormatting sqref="D78">
    <cfRule type="expression" dxfId="7162" priority="7180">
      <formula>$H78="non"</formula>
    </cfRule>
  </conditionalFormatting>
  <conditionalFormatting sqref="D77">
    <cfRule type="expression" dxfId="7161" priority="7171">
      <formula>$F77="Formation CCF"</formula>
    </cfRule>
    <cfRule type="expression" dxfId="7160" priority="7172">
      <formula>$F77="Direction"</formula>
    </cfRule>
    <cfRule type="expression" dxfId="7159" priority="7173">
      <formula>$F77="Ventes Sicli"</formula>
    </cfRule>
    <cfRule type="expression" dxfId="7158" priority="7174">
      <formula>$F77="Ventes Chubb"</formula>
    </cfRule>
    <cfRule type="expression" dxfId="7157" priority="7175">
      <formula>$F77="SAV Sicli"</formula>
    </cfRule>
    <cfRule type="expression" dxfId="7156" priority="7176">
      <formula>$F77="SAV Chubb"</formula>
    </cfRule>
    <cfRule type="expression" dxfId="7155" priority="7177">
      <formula>$F77="Réalisation"</formula>
    </cfRule>
    <cfRule type="expression" dxfId="7154" priority="7178">
      <formula>$F77="Désenfumage"</formula>
    </cfRule>
    <cfRule type="expression" dxfId="7153" priority="7179">
      <formula>$F77="Administratif"</formula>
    </cfRule>
  </conditionalFormatting>
  <conditionalFormatting sqref="D77">
    <cfRule type="expression" dxfId="7152" priority="7170">
      <formula>$H77="non"</formula>
    </cfRule>
  </conditionalFormatting>
  <conditionalFormatting sqref="D76">
    <cfRule type="expression" dxfId="7151" priority="7161">
      <formula>$F76="Formation CCF"</formula>
    </cfRule>
    <cfRule type="expression" dxfId="7150" priority="7162">
      <formula>$F76="Direction"</formula>
    </cfRule>
    <cfRule type="expression" dxfId="7149" priority="7163">
      <formula>$F76="Ventes Sicli"</formula>
    </cfRule>
    <cfRule type="expression" dxfId="7148" priority="7164">
      <formula>$F76="Ventes Chubb"</formula>
    </cfRule>
    <cfRule type="expression" dxfId="7147" priority="7165">
      <formula>$F76="SAV Sicli"</formula>
    </cfRule>
    <cfRule type="expression" dxfId="7146" priority="7166">
      <formula>$F76="SAV Chubb"</formula>
    </cfRule>
    <cfRule type="expression" dxfId="7145" priority="7167">
      <formula>$F76="Réalisation"</formula>
    </cfRule>
    <cfRule type="expression" dxfId="7144" priority="7168">
      <formula>$F76="Désenfumage"</formula>
    </cfRule>
    <cfRule type="expression" dxfId="7143" priority="7169">
      <formula>$F76="Administratif"</formula>
    </cfRule>
  </conditionalFormatting>
  <conditionalFormatting sqref="D76">
    <cfRule type="expression" dxfId="7142" priority="7160">
      <formula>$H76="non"</formula>
    </cfRule>
  </conditionalFormatting>
  <conditionalFormatting sqref="D83">
    <cfRule type="expression" dxfId="7141" priority="7001">
      <formula>$F83="Formation CCF"</formula>
    </cfRule>
    <cfRule type="expression" dxfId="7140" priority="7002">
      <formula>$F83="Direction"</formula>
    </cfRule>
    <cfRule type="expression" dxfId="7139" priority="7003">
      <formula>$F83="Ventes Sicli"</formula>
    </cfRule>
    <cfRule type="expression" dxfId="7138" priority="7004">
      <formula>$F83="Ventes Chubb"</formula>
    </cfRule>
    <cfRule type="expression" dxfId="7137" priority="7005">
      <formula>$F83="SAV Sicli"</formula>
    </cfRule>
    <cfRule type="expression" dxfId="7136" priority="7006">
      <formula>$F83="SAV Chubb"</formula>
    </cfRule>
    <cfRule type="expression" dxfId="7135" priority="7007">
      <formula>$F83="Réalisation"</formula>
    </cfRule>
    <cfRule type="expression" dxfId="7134" priority="7008">
      <formula>$F83="Désenfumage"</formula>
    </cfRule>
    <cfRule type="expression" dxfId="7133" priority="7009">
      <formula>$F83="Administratif"</formula>
    </cfRule>
  </conditionalFormatting>
  <conditionalFormatting sqref="D83">
    <cfRule type="expression" dxfId="7132" priority="7000">
      <formula>$H83="non"</formula>
    </cfRule>
  </conditionalFormatting>
  <conditionalFormatting sqref="D83">
    <cfRule type="expression" dxfId="7131" priority="7141">
      <formula>$F83="Formation CCF"</formula>
    </cfRule>
    <cfRule type="expression" dxfId="7130" priority="7142">
      <formula>$F83="Direction"</formula>
    </cfRule>
    <cfRule type="expression" dxfId="7129" priority="7143">
      <formula>$F83="Ventes Sicli"</formula>
    </cfRule>
    <cfRule type="expression" dxfId="7128" priority="7144">
      <formula>$F83="Ventes Chubb"</formula>
    </cfRule>
    <cfRule type="expression" dxfId="7127" priority="7145">
      <formula>$F83="SAV Sicli"</formula>
    </cfRule>
    <cfRule type="expression" dxfId="7126" priority="7146">
      <formula>$F83="SAV Chubb"</formula>
    </cfRule>
    <cfRule type="expression" dxfId="7125" priority="7147">
      <formula>$F83="Réalisation"</formula>
    </cfRule>
    <cfRule type="expression" dxfId="7124" priority="7148">
      <formula>$F83="Désenfumage"</formula>
    </cfRule>
    <cfRule type="expression" dxfId="7123" priority="7149">
      <formula>$F83="Administratif"</formula>
    </cfRule>
  </conditionalFormatting>
  <conditionalFormatting sqref="D83">
    <cfRule type="expression" dxfId="7122" priority="7140">
      <formula>$H83="non"</formula>
    </cfRule>
  </conditionalFormatting>
  <conditionalFormatting sqref="D82">
    <cfRule type="expression" dxfId="7121" priority="7131">
      <formula>$F82="Formation CCF"</formula>
    </cfRule>
    <cfRule type="expression" dxfId="7120" priority="7132">
      <formula>$F82="Direction"</formula>
    </cfRule>
    <cfRule type="expression" dxfId="7119" priority="7133">
      <formula>$F82="Ventes Sicli"</formula>
    </cfRule>
    <cfRule type="expression" dxfId="7118" priority="7134">
      <formula>$F82="Ventes Chubb"</formula>
    </cfRule>
    <cfRule type="expression" dxfId="7117" priority="7135">
      <formula>$F82="SAV Sicli"</formula>
    </cfRule>
    <cfRule type="expression" dxfId="7116" priority="7136">
      <formula>$F82="SAV Chubb"</formula>
    </cfRule>
    <cfRule type="expression" dxfId="7115" priority="7137">
      <formula>$F82="Réalisation"</formula>
    </cfRule>
    <cfRule type="expression" dxfId="7114" priority="7138">
      <formula>$F82="Désenfumage"</formula>
    </cfRule>
    <cfRule type="expression" dxfId="7113" priority="7139">
      <formula>$F82="Administratif"</formula>
    </cfRule>
  </conditionalFormatting>
  <conditionalFormatting sqref="D82">
    <cfRule type="expression" dxfId="7112" priority="7130">
      <formula>$H82="non"</formula>
    </cfRule>
  </conditionalFormatting>
  <conditionalFormatting sqref="D81">
    <cfRule type="expression" dxfId="7111" priority="7121">
      <formula>$F81="Formation CCF"</formula>
    </cfRule>
    <cfRule type="expression" dxfId="7110" priority="7122">
      <formula>$F81="Direction"</formula>
    </cfRule>
    <cfRule type="expression" dxfId="7109" priority="7123">
      <formula>$F81="Ventes Sicli"</formula>
    </cfRule>
    <cfRule type="expression" dxfId="7108" priority="7124">
      <formula>$F81="Ventes Chubb"</formula>
    </cfRule>
    <cfRule type="expression" dxfId="7107" priority="7125">
      <formula>$F81="SAV Sicli"</formula>
    </cfRule>
    <cfRule type="expression" dxfId="7106" priority="7126">
      <formula>$F81="SAV Chubb"</formula>
    </cfRule>
    <cfRule type="expression" dxfId="7105" priority="7127">
      <formula>$F81="Réalisation"</formula>
    </cfRule>
    <cfRule type="expression" dxfId="7104" priority="7128">
      <formula>$F81="Désenfumage"</formula>
    </cfRule>
    <cfRule type="expression" dxfId="7103" priority="7129">
      <formula>$F81="Administratif"</formula>
    </cfRule>
  </conditionalFormatting>
  <conditionalFormatting sqref="D81">
    <cfRule type="expression" dxfId="7102" priority="7120">
      <formula>$H81="non"</formula>
    </cfRule>
  </conditionalFormatting>
  <conditionalFormatting sqref="D80">
    <cfRule type="expression" dxfId="7101" priority="7111">
      <formula>$F80="Formation CCF"</formula>
    </cfRule>
    <cfRule type="expression" dxfId="7100" priority="7112">
      <formula>$F80="Direction"</formula>
    </cfRule>
    <cfRule type="expression" dxfId="7099" priority="7113">
      <formula>$F80="Ventes Sicli"</formula>
    </cfRule>
    <cfRule type="expression" dxfId="7098" priority="7114">
      <formula>$F80="Ventes Chubb"</formula>
    </cfRule>
    <cfRule type="expression" dxfId="7097" priority="7115">
      <formula>$F80="SAV Sicli"</formula>
    </cfRule>
    <cfRule type="expression" dxfId="7096" priority="7116">
      <formula>$F80="SAV Chubb"</formula>
    </cfRule>
    <cfRule type="expression" dxfId="7095" priority="7117">
      <formula>$F80="Réalisation"</formula>
    </cfRule>
    <cfRule type="expression" dxfId="7094" priority="7118">
      <formula>$F80="Désenfumage"</formula>
    </cfRule>
    <cfRule type="expression" dxfId="7093" priority="7119">
      <formula>$F80="Administratif"</formula>
    </cfRule>
  </conditionalFormatting>
  <conditionalFormatting sqref="D80">
    <cfRule type="expression" dxfId="7092" priority="7110">
      <formula>$H80="non"</formula>
    </cfRule>
  </conditionalFormatting>
  <conditionalFormatting sqref="D79">
    <cfRule type="expression" dxfId="7091" priority="7101">
      <formula>$F79="Formation CCF"</formula>
    </cfRule>
    <cfRule type="expression" dxfId="7090" priority="7102">
      <formula>$F79="Direction"</formula>
    </cfRule>
    <cfRule type="expression" dxfId="7089" priority="7103">
      <formula>$F79="Ventes Sicli"</formula>
    </cfRule>
    <cfRule type="expression" dxfId="7088" priority="7104">
      <formula>$F79="Ventes Chubb"</formula>
    </cfRule>
    <cfRule type="expression" dxfId="7087" priority="7105">
      <formula>$F79="SAV Sicli"</formula>
    </cfRule>
    <cfRule type="expression" dxfId="7086" priority="7106">
      <formula>$F79="SAV Chubb"</formula>
    </cfRule>
    <cfRule type="expression" dxfId="7085" priority="7107">
      <formula>$F79="Réalisation"</formula>
    </cfRule>
    <cfRule type="expression" dxfId="7084" priority="7108">
      <formula>$F79="Désenfumage"</formula>
    </cfRule>
    <cfRule type="expression" dxfId="7083" priority="7109">
      <formula>$F79="Administratif"</formula>
    </cfRule>
  </conditionalFormatting>
  <conditionalFormatting sqref="D79">
    <cfRule type="expression" dxfId="7082" priority="7100">
      <formula>$H79="non"</formula>
    </cfRule>
  </conditionalFormatting>
  <conditionalFormatting sqref="D78">
    <cfRule type="expression" dxfId="7081" priority="7091">
      <formula>$F78="Formation CCF"</formula>
    </cfRule>
    <cfRule type="expression" dxfId="7080" priority="7092">
      <formula>$F78="Direction"</formula>
    </cfRule>
    <cfRule type="expression" dxfId="7079" priority="7093">
      <formula>$F78="Ventes Sicli"</formula>
    </cfRule>
    <cfRule type="expression" dxfId="7078" priority="7094">
      <formula>$F78="Ventes Chubb"</formula>
    </cfRule>
    <cfRule type="expression" dxfId="7077" priority="7095">
      <formula>$F78="SAV Sicli"</formula>
    </cfRule>
    <cfRule type="expression" dxfId="7076" priority="7096">
      <formula>$F78="SAV Chubb"</formula>
    </cfRule>
    <cfRule type="expression" dxfId="7075" priority="7097">
      <formula>$F78="Réalisation"</formula>
    </cfRule>
    <cfRule type="expression" dxfId="7074" priority="7098">
      <formula>$F78="Désenfumage"</formula>
    </cfRule>
    <cfRule type="expression" dxfId="7073" priority="7099">
      <formula>$F78="Administratif"</formula>
    </cfRule>
  </conditionalFormatting>
  <conditionalFormatting sqref="D78">
    <cfRule type="expression" dxfId="7072" priority="7090">
      <formula>$H78="non"</formula>
    </cfRule>
  </conditionalFormatting>
  <conditionalFormatting sqref="D77">
    <cfRule type="expression" dxfId="7071" priority="7081">
      <formula>$F77="Formation CCF"</formula>
    </cfRule>
    <cfRule type="expression" dxfId="7070" priority="7082">
      <formula>$F77="Direction"</formula>
    </cfRule>
    <cfRule type="expression" dxfId="7069" priority="7083">
      <formula>$F77="Ventes Sicli"</formula>
    </cfRule>
    <cfRule type="expression" dxfId="7068" priority="7084">
      <formula>$F77="Ventes Chubb"</formula>
    </cfRule>
    <cfRule type="expression" dxfId="7067" priority="7085">
      <formula>$F77="SAV Sicli"</formula>
    </cfRule>
    <cfRule type="expression" dxfId="7066" priority="7086">
      <formula>$F77="SAV Chubb"</formula>
    </cfRule>
    <cfRule type="expression" dxfId="7065" priority="7087">
      <formula>$F77="Réalisation"</formula>
    </cfRule>
    <cfRule type="expression" dxfId="7064" priority="7088">
      <formula>$F77="Désenfumage"</formula>
    </cfRule>
    <cfRule type="expression" dxfId="7063" priority="7089">
      <formula>$F77="Administratif"</formula>
    </cfRule>
  </conditionalFormatting>
  <conditionalFormatting sqref="D77">
    <cfRule type="expression" dxfId="7062" priority="7080">
      <formula>$H77="non"</formula>
    </cfRule>
  </conditionalFormatting>
  <conditionalFormatting sqref="D76">
    <cfRule type="expression" dxfId="7061" priority="7071">
      <formula>$F76="Formation CCF"</formula>
    </cfRule>
    <cfRule type="expression" dxfId="7060" priority="7072">
      <formula>$F76="Direction"</formula>
    </cfRule>
    <cfRule type="expression" dxfId="7059" priority="7073">
      <formula>$F76="Ventes Sicli"</formula>
    </cfRule>
    <cfRule type="expression" dxfId="7058" priority="7074">
      <formula>$F76="Ventes Chubb"</formula>
    </cfRule>
    <cfRule type="expression" dxfId="7057" priority="7075">
      <formula>$F76="SAV Sicli"</formula>
    </cfRule>
    <cfRule type="expression" dxfId="7056" priority="7076">
      <formula>$F76="SAV Chubb"</formula>
    </cfRule>
    <cfRule type="expression" dxfId="7055" priority="7077">
      <formula>$F76="Réalisation"</formula>
    </cfRule>
    <cfRule type="expression" dxfId="7054" priority="7078">
      <formula>$F76="Désenfumage"</formula>
    </cfRule>
    <cfRule type="expression" dxfId="7053" priority="7079">
      <formula>$F76="Administratif"</formula>
    </cfRule>
  </conditionalFormatting>
  <conditionalFormatting sqref="D76">
    <cfRule type="expression" dxfId="7052" priority="7070">
      <formula>$H76="non"</formula>
    </cfRule>
  </conditionalFormatting>
  <conditionalFormatting sqref="C90:D90">
    <cfRule type="expression" dxfId="7051" priority="7061">
      <formula>$F90="Formation CCF"</formula>
    </cfRule>
    <cfRule type="expression" dxfId="7050" priority="7062">
      <formula>$F90="Direction"</formula>
    </cfRule>
    <cfRule type="expression" dxfId="7049" priority="7063">
      <formula>$F90="Ventes Sicli"</formula>
    </cfRule>
    <cfRule type="expression" dxfId="7048" priority="7064">
      <formula>$F90="Ventes Chubb"</formula>
    </cfRule>
    <cfRule type="expression" dxfId="7047" priority="7065">
      <formula>$F90="SAV Sicli"</formula>
    </cfRule>
    <cfRule type="expression" dxfId="7046" priority="7066">
      <formula>$F90="SAV Chubb"</formula>
    </cfRule>
    <cfRule type="expression" dxfId="7045" priority="7067">
      <formula>$F90="Réalisation"</formula>
    </cfRule>
    <cfRule type="expression" dxfId="7044" priority="7068">
      <formula>$F90="Désenfumage"</formula>
    </cfRule>
    <cfRule type="expression" dxfId="7043" priority="7069">
      <formula>$F90="Administratif"</formula>
    </cfRule>
  </conditionalFormatting>
  <conditionalFormatting sqref="C90:D90">
    <cfRule type="expression" dxfId="7042" priority="7060">
      <formula>$H90="non"</formula>
    </cfRule>
  </conditionalFormatting>
  <conditionalFormatting sqref="C89:D89">
    <cfRule type="expression" dxfId="7041" priority="7051">
      <formula>$F89="Formation CCF"</formula>
    </cfRule>
    <cfRule type="expression" dxfId="7040" priority="7052">
      <formula>$F89="Direction"</formula>
    </cfRule>
    <cfRule type="expression" dxfId="7039" priority="7053">
      <formula>$F89="Ventes Sicli"</formula>
    </cfRule>
    <cfRule type="expression" dxfId="7038" priority="7054">
      <formula>$F89="Ventes Chubb"</formula>
    </cfRule>
    <cfRule type="expression" dxfId="7037" priority="7055">
      <formula>$F89="SAV Sicli"</formula>
    </cfRule>
    <cfRule type="expression" dxfId="7036" priority="7056">
      <formula>$F89="SAV Chubb"</formula>
    </cfRule>
    <cfRule type="expression" dxfId="7035" priority="7057">
      <formula>$F89="Réalisation"</formula>
    </cfRule>
    <cfRule type="expression" dxfId="7034" priority="7058">
      <formula>$F89="Désenfumage"</formula>
    </cfRule>
    <cfRule type="expression" dxfId="7033" priority="7059">
      <formula>$F89="Administratif"</formula>
    </cfRule>
  </conditionalFormatting>
  <conditionalFormatting sqref="C89:D89">
    <cfRule type="expression" dxfId="7032" priority="7050">
      <formula>$H89="non"</formula>
    </cfRule>
  </conditionalFormatting>
  <conditionalFormatting sqref="C88:D88">
    <cfRule type="expression" dxfId="7031" priority="7041">
      <formula>$F88="Formation CCF"</formula>
    </cfRule>
    <cfRule type="expression" dxfId="7030" priority="7042">
      <formula>$F88="Direction"</formula>
    </cfRule>
    <cfRule type="expression" dxfId="7029" priority="7043">
      <formula>$F88="Ventes Sicli"</formula>
    </cfRule>
    <cfRule type="expression" dxfId="7028" priority="7044">
      <formula>$F88="Ventes Chubb"</formula>
    </cfRule>
    <cfRule type="expression" dxfId="7027" priority="7045">
      <formula>$F88="SAV Sicli"</formula>
    </cfRule>
    <cfRule type="expression" dxfId="7026" priority="7046">
      <formula>$F88="SAV Chubb"</formula>
    </cfRule>
    <cfRule type="expression" dxfId="7025" priority="7047">
      <formula>$F88="Réalisation"</formula>
    </cfRule>
    <cfRule type="expression" dxfId="7024" priority="7048">
      <formula>$F88="Désenfumage"</formula>
    </cfRule>
    <cfRule type="expression" dxfId="7023" priority="7049">
      <formula>$F88="Administratif"</formula>
    </cfRule>
  </conditionalFormatting>
  <conditionalFormatting sqref="C88:D88">
    <cfRule type="expression" dxfId="7022" priority="7040">
      <formula>$H88="non"</formula>
    </cfRule>
  </conditionalFormatting>
  <conditionalFormatting sqref="C87:D87">
    <cfRule type="expression" dxfId="7021" priority="7031">
      <formula>$F87="Formation CCF"</formula>
    </cfRule>
    <cfRule type="expression" dxfId="7020" priority="7032">
      <formula>$F87="Direction"</formula>
    </cfRule>
    <cfRule type="expression" dxfId="7019" priority="7033">
      <formula>$F87="Ventes Sicli"</formula>
    </cfRule>
    <cfRule type="expression" dxfId="7018" priority="7034">
      <formula>$F87="Ventes Chubb"</formula>
    </cfRule>
    <cfRule type="expression" dxfId="7017" priority="7035">
      <formula>$F87="SAV Sicli"</formula>
    </cfRule>
    <cfRule type="expression" dxfId="7016" priority="7036">
      <formula>$F87="SAV Chubb"</formula>
    </cfRule>
    <cfRule type="expression" dxfId="7015" priority="7037">
      <formula>$F87="Réalisation"</formula>
    </cfRule>
    <cfRule type="expression" dxfId="7014" priority="7038">
      <formula>$F87="Désenfumage"</formula>
    </cfRule>
    <cfRule type="expression" dxfId="7013" priority="7039">
      <formula>$F87="Administratif"</formula>
    </cfRule>
  </conditionalFormatting>
  <conditionalFormatting sqref="C87:D87">
    <cfRule type="expression" dxfId="7012" priority="7030">
      <formula>$H87="non"</formula>
    </cfRule>
  </conditionalFormatting>
  <conditionalFormatting sqref="C86:D86">
    <cfRule type="expression" dxfId="7011" priority="7021">
      <formula>$F86="Formation CCF"</formula>
    </cfRule>
    <cfRule type="expression" dxfId="7010" priority="7022">
      <formula>$F86="Direction"</formula>
    </cfRule>
    <cfRule type="expression" dxfId="7009" priority="7023">
      <formula>$F86="Ventes Sicli"</formula>
    </cfRule>
    <cfRule type="expression" dxfId="7008" priority="7024">
      <formula>$F86="Ventes Chubb"</formula>
    </cfRule>
    <cfRule type="expression" dxfId="7007" priority="7025">
      <formula>$F86="SAV Sicli"</formula>
    </cfRule>
    <cfRule type="expression" dxfId="7006" priority="7026">
      <formula>$F86="SAV Chubb"</formula>
    </cfRule>
    <cfRule type="expression" dxfId="7005" priority="7027">
      <formula>$F86="Réalisation"</formula>
    </cfRule>
    <cfRule type="expression" dxfId="7004" priority="7028">
      <formula>$F86="Désenfumage"</formula>
    </cfRule>
    <cfRule type="expression" dxfId="7003" priority="7029">
      <formula>$F86="Administratif"</formula>
    </cfRule>
  </conditionalFormatting>
  <conditionalFormatting sqref="C86:D86">
    <cfRule type="expression" dxfId="7002" priority="7020">
      <formula>$H86="non"</formula>
    </cfRule>
  </conditionalFormatting>
  <conditionalFormatting sqref="D84">
    <cfRule type="expression" dxfId="7001" priority="7011">
      <formula>$F84="Formation CCF"</formula>
    </cfRule>
    <cfRule type="expression" dxfId="7000" priority="7012">
      <formula>$F84="Direction"</formula>
    </cfRule>
    <cfRule type="expression" dxfId="6999" priority="7013">
      <formula>$F84="Ventes Sicli"</formula>
    </cfRule>
    <cfRule type="expression" dxfId="6998" priority="7014">
      <formula>$F84="Ventes Chubb"</formula>
    </cfRule>
    <cfRule type="expression" dxfId="6997" priority="7015">
      <formula>$F84="SAV Sicli"</formula>
    </cfRule>
    <cfRule type="expression" dxfId="6996" priority="7016">
      <formula>$F84="SAV Chubb"</formula>
    </cfRule>
    <cfRule type="expression" dxfId="6995" priority="7017">
      <formula>$F84="Réalisation"</formula>
    </cfRule>
    <cfRule type="expression" dxfId="6994" priority="7018">
      <formula>$F84="Désenfumage"</formula>
    </cfRule>
    <cfRule type="expression" dxfId="6993" priority="7019">
      <formula>$F84="Administratif"</formula>
    </cfRule>
  </conditionalFormatting>
  <conditionalFormatting sqref="D84">
    <cfRule type="expression" dxfId="6992" priority="7010">
      <formula>$H84="non"</formula>
    </cfRule>
  </conditionalFormatting>
  <conditionalFormatting sqref="D82">
    <cfRule type="expression" dxfId="6991" priority="6991">
      <formula>$F82="Formation CCF"</formula>
    </cfRule>
    <cfRule type="expression" dxfId="6990" priority="6992">
      <formula>$F82="Direction"</formula>
    </cfRule>
    <cfRule type="expression" dxfId="6989" priority="6993">
      <formula>$F82="Ventes Sicli"</formula>
    </cfRule>
    <cfRule type="expression" dxfId="6988" priority="6994">
      <formula>$F82="Ventes Chubb"</formula>
    </cfRule>
    <cfRule type="expression" dxfId="6987" priority="6995">
      <formula>$F82="SAV Sicli"</formula>
    </cfRule>
    <cfRule type="expression" dxfId="6986" priority="6996">
      <formula>$F82="SAV Chubb"</formula>
    </cfRule>
    <cfRule type="expression" dxfId="6985" priority="6997">
      <formula>$F82="Réalisation"</formula>
    </cfRule>
    <cfRule type="expression" dxfId="6984" priority="6998">
      <formula>$F82="Désenfumage"</formula>
    </cfRule>
    <cfRule type="expression" dxfId="6983" priority="6999">
      <formula>$F82="Administratif"</formula>
    </cfRule>
  </conditionalFormatting>
  <conditionalFormatting sqref="D82">
    <cfRule type="expression" dxfId="6982" priority="6990">
      <formula>$H82="non"</formula>
    </cfRule>
  </conditionalFormatting>
  <conditionalFormatting sqref="D81">
    <cfRule type="expression" dxfId="6981" priority="6981">
      <formula>$F81="Formation CCF"</formula>
    </cfRule>
    <cfRule type="expression" dxfId="6980" priority="6982">
      <formula>$F81="Direction"</formula>
    </cfRule>
    <cfRule type="expression" dxfId="6979" priority="6983">
      <formula>$F81="Ventes Sicli"</formula>
    </cfRule>
    <cfRule type="expression" dxfId="6978" priority="6984">
      <formula>$F81="Ventes Chubb"</formula>
    </cfRule>
    <cfRule type="expression" dxfId="6977" priority="6985">
      <formula>$F81="SAV Sicli"</formula>
    </cfRule>
    <cfRule type="expression" dxfId="6976" priority="6986">
      <formula>$F81="SAV Chubb"</formula>
    </cfRule>
    <cfRule type="expression" dxfId="6975" priority="6987">
      <formula>$F81="Réalisation"</formula>
    </cfRule>
    <cfRule type="expression" dxfId="6974" priority="6988">
      <formula>$F81="Désenfumage"</formula>
    </cfRule>
    <cfRule type="expression" dxfId="6973" priority="6989">
      <formula>$F81="Administratif"</formula>
    </cfRule>
  </conditionalFormatting>
  <conditionalFormatting sqref="D81">
    <cfRule type="expression" dxfId="6972" priority="6980">
      <formula>$H81="non"</formula>
    </cfRule>
  </conditionalFormatting>
  <conditionalFormatting sqref="D80">
    <cfRule type="expression" dxfId="6971" priority="6971">
      <formula>$F80="Formation CCF"</formula>
    </cfRule>
    <cfRule type="expression" dxfId="6970" priority="6972">
      <formula>$F80="Direction"</formula>
    </cfRule>
    <cfRule type="expression" dxfId="6969" priority="6973">
      <formula>$F80="Ventes Sicli"</formula>
    </cfRule>
    <cfRule type="expression" dxfId="6968" priority="6974">
      <formula>$F80="Ventes Chubb"</formula>
    </cfRule>
    <cfRule type="expression" dxfId="6967" priority="6975">
      <formula>$F80="SAV Sicli"</formula>
    </cfRule>
    <cfRule type="expression" dxfId="6966" priority="6976">
      <formula>$F80="SAV Chubb"</formula>
    </cfRule>
    <cfRule type="expression" dxfId="6965" priority="6977">
      <formula>$F80="Réalisation"</formula>
    </cfRule>
    <cfRule type="expression" dxfId="6964" priority="6978">
      <formula>$F80="Désenfumage"</formula>
    </cfRule>
    <cfRule type="expression" dxfId="6963" priority="6979">
      <formula>$F80="Administratif"</formula>
    </cfRule>
  </conditionalFormatting>
  <conditionalFormatting sqref="D80">
    <cfRule type="expression" dxfId="6962" priority="6970">
      <formula>$H80="non"</formula>
    </cfRule>
  </conditionalFormatting>
  <conditionalFormatting sqref="D79">
    <cfRule type="expression" dxfId="6961" priority="6961">
      <formula>$F79="Formation CCF"</formula>
    </cfRule>
    <cfRule type="expression" dxfId="6960" priority="6962">
      <formula>$F79="Direction"</formula>
    </cfRule>
    <cfRule type="expression" dxfId="6959" priority="6963">
      <formula>$F79="Ventes Sicli"</formula>
    </cfRule>
    <cfRule type="expression" dxfId="6958" priority="6964">
      <formula>$F79="Ventes Chubb"</formula>
    </cfRule>
    <cfRule type="expression" dxfId="6957" priority="6965">
      <formula>$F79="SAV Sicli"</formula>
    </cfRule>
    <cfRule type="expression" dxfId="6956" priority="6966">
      <formula>$F79="SAV Chubb"</formula>
    </cfRule>
    <cfRule type="expression" dxfId="6955" priority="6967">
      <formula>$F79="Réalisation"</formula>
    </cfRule>
    <cfRule type="expression" dxfId="6954" priority="6968">
      <formula>$F79="Désenfumage"</formula>
    </cfRule>
    <cfRule type="expression" dxfId="6953" priority="6969">
      <formula>$F79="Administratif"</formula>
    </cfRule>
  </conditionalFormatting>
  <conditionalFormatting sqref="D79">
    <cfRule type="expression" dxfId="6952" priority="6960">
      <formula>$H79="non"</formula>
    </cfRule>
  </conditionalFormatting>
  <conditionalFormatting sqref="D78">
    <cfRule type="expression" dxfId="6951" priority="6951">
      <formula>$F78="Formation CCF"</formula>
    </cfRule>
    <cfRule type="expression" dxfId="6950" priority="6952">
      <formula>$F78="Direction"</formula>
    </cfRule>
    <cfRule type="expression" dxfId="6949" priority="6953">
      <formula>$F78="Ventes Sicli"</formula>
    </cfRule>
    <cfRule type="expression" dxfId="6948" priority="6954">
      <formula>$F78="Ventes Chubb"</formula>
    </cfRule>
    <cfRule type="expression" dxfId="6947" priority="6955">
      <formula>$F78="SAV Sicli"</formula>
    </cfRule>
    <cfRule type="expression" dxfId="6946" priority="6956">
      <formula>$F78="SAV Chubb"</formula>
    </cfRule>
    <cfRule type="expression" dxfId="6945" priority="6957">
      <formula>$F78="Réalisation"</formula>
    </cfRule>
    <cfRule type="expression" dxfId="6944" priority="6958">
      <formula>$F78="Désenfumage"</formula>
    </cfRule>
    <cfRule type="expression" dxfId="6943" priority="6959">
      <formula>$F78="Administratif"</formula>
    </cfRule>
  </conditionalFormatting>
  <conditionalFormatting sqref="D78">
    <cfRule type="expression" dxfId="6942" priority="6950">
      <formula>$H78="non"</formula>
    </cfRule>
  </conditionalFormatting>
  <conditionalFormatting sqref="D77">
    <cfRule type="expression" dxfId="6941" priority="6941">
      <formula>$F77="Formation CCF"</formula>
    </cfRule>
    <cfRule type="expression" dxfId="6940" priority="6942">
      <formula>$F77="Direction"</formula>
    </cfRule>
    <cfRule type="expression" dxfId="6939" priority="6943">
      <formula>$F77="Ventes Sicli"</formula>
    </cfRule>
    <cfRule type="expression" dxfId="6938" priority="6944">
      <formula>$F77="Ventes Chubb"</formula>
    </cfRule>
    <cfRule type="expression" dxfId="6937" priority="6945">
      <formula>$F77="SAV Sicli"</formula>
    </cfRule>
    <cfRule type="expression" dxfId="6936" priority="6946">
      <formula>$F77="SAV Chubb"</formula>
    </cfRule>
    <cfRule type="expression" dxfId="6935" priority="6947">
      <formula>$F77="Réalisation"</formula>
    </cfRule>
    <cfRule type="expression" dxfId="6934" priority="6948">
      <formula>$F77="Désenfumage"</formula>
    </cfRule>
    <cfRule type="expression" dxfId="6933" priority="6949">
      <formula>$F77="Administratif"</formula>
    </cfRule>
  </conditionalFormatting>
  <conditionalFormatting sqref="D77">
    <cfRule type="expression" dxfId="6932" priority="6940">
      <formula>$H77="non"</formula>
    </cfRule>
  </conditionalFormatting>
  <conditionalFormatting sqref="D76">
    <cfRule type="expression" dxfId="6931" priority="6931">
      <formula>$F76="Formation CCF"</formula>
    </cfRule>
    <cfRule type="expression" dxfId="6930" priority="6932">
      <formula>$F76="Direction"</formula>
    </cfRule>
    <cfRule type="expression" dxfId="6929" priority="6933">
      <formula>$F76="Ventes Sicli"</formula>
    </cfRule>
    <cfRule type="expression" dxfId="6928" priority="6934">
      <formula>$F76="Ventes Chubb"</formula>
    </cfRule>
    <cfRule type="expression" dxfId="6927" priority="6935">
      <formula>$F76="SAV Sicli"</formula>
    </cfRule>
    <cfRule type="expression" dxfId="6926" priority="6936">
      <formula>$F76="SAV Chubb"</formula>
    </cfRule>
    <cfRule type="expression" dxfId="6925" priority="6937">
      <formula>$F76="Réalisation"</formula>
    </cfRule>
    <cfRule type="expression" dxfId="6924" priority="6938">
      <formula>$F76="Désenfumage"</formula>
    </cfRule>
    <cfRule type="expression" dxfId="6923" priority="6939">
      <formula>$F76="Administratif"</formula>
    </cfRule>
  </conditionalFormatting>
  <conditionalFormatting sqref="D76">
    <cfRule type="expression" dxfId="6922" priority="6930">
      <formula>$H76="non"</formula>
    </cfRule>
  </conditionalFormatting>
  <conditionalFormatting sqref="D82">
    <cfRule type="expression" dxfId="6921" priority="6771">
      <formula>$F82="Formation CCF"</formula>
    </cfRule>
    <cfRule type="expression" dxfId="6920" priority="6772">
      <formula>$F82="Direction"</formula>
    </cfRule>
    <cfRule type="expression" dxfId="6919" priority="6773">
      <formula>$F82="Ventes Sicli"</formula>
    </cfRule>
    <cfRule type="expression" dxfId="6918" priority="6774">
      <formula>$F82="Ventes Chubb"</formula>
    </cfRule>
    <cfRule type="expression" dxfId="6917" priority="6775">
      <formula>$F82="SAV Sicli"</formula>
    </cfRule>
    <cfRule type="expression" dxfId="6916" priority="6776">
      <formula>$F82="SAV Chubb"</formula>
    </cfRule>
    <cfRule type="expression" dxfId="6915" priority="6777">
      <formula>$F82="Réalisation"</formula>
    </cfRule>
    <cfRule type="expression" dxfId="6914" priority="6778">
      <formula>$F82="Désenfumage"</formula>
    </cfRule>
    <cfRule type="expression" dxfId="6913" priority="6779">
      <formula>$F82="Administratif"</formula>
    </cfRule>
  </conditionalFormatting>
  <conditionalFormatting sqref="D82">
    <cfRule type="expression" dxfId="6912" priority="6770">
      <formula>$H82="non"</formula>
    </cfRule>
  </conditionalFormatting>
  <conditionalFormatting sqref="D83">
    <cfRule type="expression" dxfId="6911" priority="6911">
      <formula>$F83="Formation CCF"</formula>
    </cfRule>
    <cfRule type="expression" dxfId="6910" priority="6912">
      <formula>$F83="Direction"</formula>
    </cfRule>
    <cfRule type="expression" dxfId="6909" priority="6913">
      <formula>$F83="Ventes Sicli"</formula>
    </cfRule>
    <cfRule type="expression" dxfId="6908" priority="6914">
      <formula>$F83="Ventes Chubb"</formula>
    </cfRule>
    <cfRule type="expression" dxfId="6907" priority="6915">
      <formula>$F83="SAV Sicli"</formula>
    </cfRule>
    <cfRule type="expression" dxfId="6906" priority="6916">
      <formula>$F83="SAV Chubb"</formula>
    </cfRule>
    <cfRule type="expression" dxfId="6905" priority="6917">
      <formula>$F83="Réalisation"</formula>
    </cfRule>
    <cfRule type="expression" dxfId="6904" priority="6918">
      <formula>$F83="Désenfumage"</formula>
    </cfRule>
    <cfRule type="expression" dxfId="6903" priority="6919">
      <formula>$F83="Administratif"</formula>
    </cfRule>
  </conditionalFormatting>
  <conditionalFormatting sqref="D83">
    <cfRule type="expression" dxfId="6902" priority="6910">
      <formula>$H83="non"</formula>
    </cfRule>
  </conditionalFormatting>
  <conditionalFormatting sqref="D82">
    <cfRule type="expression" dxfId="6901" priority="6901">
      <formula>$F82="Formation CCF"</formula>
    </cfRule>
    <cfRule type="expression" dxfId="6900" priority="6902">
      <formula>$F82="Direction"</formula>
    </cfRule>
    <cfRule type="expression" dxfId="6899" priority="6903">
      <formula>$F82="Ventes Sicli"</formula>
    </cfRule>
    <cfRule type="expression" dxfId="6898" priority="6904">
      <formula>$F82="Ventes Chubb"</formula>
    </cfRule>
    <cfRule type="expression" dxfId="6897" priority="6905">
      <formula>$F82="SAV Sicli"</formula>
    </cfRule>
    <cfRule type="expression" dxfId="6896" priority="6906">
      <formula>$F82="SAV Chubb"</formula>
    </cfRule>
    <cfRule type="expression" dxfId="6895" priority="6907">
      <formula>$F82="Réalisation"</formula>
    </cfRule>
    <cfRule type="expression" dxfId="6894" priority="6908">
      <formula>$F82="Désenfumage"</formula>
    </cfRule>
    <cfRule type="expression" dxfId="6893" priority="6909">
      <formula>$F82="Administratif"</formula>
    </cfRule>
  </conditionalFormatting>
  <conditionalFormatting sqref="D82">
    <cfRule type="expression" dxfId="6892" priority="6900">
      <formula>$H82="non"</formula>
    </cfRule>
  </conditionalFormatting>
  <conditionalFormatting sqref="D81">
    <cfRule type="expression" dxfId="6891" priority="6891">
      <formula>$F81="Formation CCF"</formula>
    </cfRule>
    <cfRule type="expression" dxfId="6890" priority="6892">
      <formula>$F81="Direction"</formula>
    </cfRule>
    <cfRule type="expression" dxfId="6889" priority="6893">
      <formula>$F81="Ventes Sicli"</formula>
    </cfRule>
    <cfRule type="expression" dxfId="6888" priority="6894">
      <formula>$F81="Ventes Chubb"</formula>
    </cfRule>
    <cfRule type="expression" dxfId="6887" priority="6895">
      <formula>$F81="SAV Sicli"</formula>
    </cfRule>
    <cfRule type="expression" dxfId="6886" priority="6896">
      <formula>$F81="SAV Chubb"</formula>
    </cfRule>
    <cfRule type="expression" dxfId="6885" priority="6897">
      <formula>$F81="Réalisation"</formula>
    </cfRule>
    <cfRule type="expression" dxfId="6884" priority="6898">
      <formula>$F81="Désenfumage"</formula>
    </cfRule>
    <cfRule type="expression" dxfId="6883" priority="6899">
      <formula>$F81="Administratif"</formula>
    </cfRule>
  </conditionalFormatting>
  <conditionalFormatting sqref="D81">
    <cfRule type="expression" dxfId="6882" priority="6890">
      <formula>$H81="non"</formula>
    </cfRule>
  </conditionalFormatting>
  <conditionalFormatting sqref="D80">
    <cfRule type="expression" dxfId="6881" priority="6881">
      <formula>$F80="Formation CCF"</formula>
    </cfRule>
    <cfRule type="expression" dxfId="6880" priority="6882">
      <formula>$F80="Direction"</formula>
    </cfRule>
    <cfRule type="expression" dxfId="6879" priority="6883">
      <formula>$F80="Ventes Sicli"</formula>
    </cfRule>
    <cfRule type="expression" dxfId="6878" priority="6884">
      <formula>$F80="Ventes Chubb"</formula>
    </cfRule>
    <cfRule type="expression" dxfId="6877" priority="6885">
      <formula>$F80="SAV Sicli"</formula>
    </cfRule>
    <cfRule type="expression" dxfId="6876" priority="6886">
      <formula>$F80="SAV Chubb"</formula>
    </cfRule>
    <cfRule type="expression" dxfId="6875" priority="6887">
      <formula>$F80="Réalisation"</formula>
    </cfRule>
    <cfRule type="expression" dxfId="6874" priority="6888">
      <formula>$F80="Désenfumage"</formula>
    </cfRule>
    <cfRule type="expression" dxfId="6873" priority="6889">
      <formula>$F80="Administratif"</formula>
    </cfRule>
  </conditionalFormatting>
  <conditionalFormatting sqref="D80">
    <cfRule type="expression" dxfId="6872" priority="6880">
      <formula>$H80="non"</formula>
    </cfRule>
  </conditionalFormatting>
  <conditionalFormatting sqref="D79">
    <cfRule type="expression" dxfId="6871" priority="6871">
      <formula>$F79="Formation CCF"</formula>
    </cfRule>
    <cfRule type="expression" dxfId="6870" priority="6872">
      <formula>$F79="Direction"</formula>
    </cfRule>
    <cfRule type="expression" dxfId="6869" priority="6873">
      <formula>$F79="Ventes Sicli"</formula>
    </cfRule>
    <cfRule type="expression" dxfId="6868" priority="6874">
      <formula>$F79="Ventes Chubb"</formula>
    </cfRule>
    <cfRule type="expression" dxfId="6867" priority="6875">
      <formula>$F79="SAV Sicli"</formula>
    </cfRule>
    <cfRule type="expression" dxfId="6866" priority="6876">
      <formula>$F79="SAV Chubb"</formula>
    </cfRule>
    <cfRule type="expression" dxfId="6865" priority="6877">
      <formula>$F79="Réalisation"</formula>
    </cfRule>
    <cfRule type="expression" dxfId="6864" priority="6878">
      <formula>$F79="Désenfumage"</formula>
    </cfRule>
    <cfRule type="expression" dxfId="6863" priority="6879">
      <formula>$F79="Administratif"</formula>
    </cfRule>
  </conditionalFormatting>
  <conditionalFormatting sqref="D79">
    <cfRule type="expression" dxfId="6862" priority="6870">
      <formula>$H79="non"</formula>
    </cfRule>
  </conditionalFormatting>
  <conditionalFormatting sqref="D78">
    <cfRule type="expression" dxfId="6861" priority="6861">
      <formula>$F78="Formation CCF"</formula>
    </cfRule>
    <cfRule type="expression" dxfId="6860" priority="6862">
      <formula>$F78="Direction"</formula>
    </cfRule>
    <cfRule type="expression" dxfId="6859" priority="6863">
      <formula>$F78="Ventes Sicli"</formula>
    </cfRule>
    <cfRule type="expression" dxfId="6858" priority="6864">
      <formula>$F78="Ventes Chubb"</formula>
    </cfRule>
    <cfRule type="expression" dxfId="6857" priority="6865">
      <formula>$F78="SAV Sicli"</formula>
    </cfRule>
    <cfRule type="expression" dxfId="6856" priority="6866">
      <formula>$F78="SAV Chubb"</formula>
    </cfRule>
    <cfRule type="expression" dxfId="6855" priority="6867">
      <formula>$F78="Réalisation"</formula>
    </cfRule>
    <cfRule type="expression" dxfId="6854" priority="6868">
      <formula>$F78="Désenfumage"</formula>
    </cfRule>
    <cfRule type="expression" dxfId="6853" priority="6869">
      <formula>$F78="Administratif"</formula>
    </cfRule>
  </conditionalFormatting>
  <conditionalFormatting sqref="D78">
    <cfRule type="expression" dxfId="6852" priority="6860">
      <formula>$H78="non"</formula>
    </cfRule>
  </conditionalFormatting>
  <conditionalFormatting sqref="D77">
    <cfRule type="expression" dxfId="6851" priority="6851">
      <formula>$F77="Formation CCF"</formula>
    </cfRule>
    <cfRule type="expression" dxfId="6850" priority="6852">
      <formula>$F77="Direction"</formula>
    </cfRule>
    <cfRule type="expression" dxfId="6849" priority="6853">
      <formula>$F77="Ventes Sicli"</formula>
    </cfRule>
    <cfRule type="expression" dxfId="6848" priority="6854">
      <formula>$F77="Ventes Chubb"</formula>
    </cfRule>
    <cfRule type="expression" dxfId="6847" priority="6855">
      <formula>$F77="SAV Sicli"</formula>
    </cfRule>
    <cfRule type="expression" dxfId="6846" priority="6856">
      <formula>$F77="SAV Chubb"</formula>
    </cfRule>
    <cfRule type="expression" dxfId="6845" priority="6857">
      <formula>$F77="Réalisation"</formula>
    </cfRule>
    <cfRule type="expression" dxfId="6844" priority="6858">
      <formula>$F77="Désenfumage"</formula>
    </cfRule>
    <cfRule type="expression" dxfId="6843" priority="6859">
      <formula>$F77="Administratif"</formula>
    </cfRule>
  </conditionalFormatting>
  <conditionalFormatting sqref="D77">
    <cfRule type="expression" dxfId="6842" priority="6850">
      <formula>$H77="non"</formula>
    </cfRule>
  </conditionalFormatting>
  <conditionalFormatting sqref="D76">
    <cfRule type="expression" dxfId="6841" priority="6841">
      <formula>$F76="Formation CCF"</formula>
    </cfRule>
    <cfRule type="expression" dxfId="6840" priority="6842">
      <formula>$F76="Direction"</formula>
    </cfRule>
    <cfRule type="expression" dxfId="6839" priority="6843">
      <formula>$F76="Ventes Sicli"</formula>
    </cfRule>
    <cfRule type="expression" dxfId="6838" priority="6844">
      <formula>$F76="Ventes Chubb"</formula>
    </cfRule>
    <cfRule type="expression" dxfId="6837" priority="6845">
      <formula>$F76="SAV Sicli"</formula>
    </cfRule>
    <cfRule type="expression" dxfId="6836" priority="6846">
      <formula>$F76="SAV Chubb"</formula>
    </cfRule>
    <cfRule type="expression" dxfId="6835" priority="6847">
      <formula>$F76="Réalisation"</formula>
    </cfRule>
    <cfRule type="expression" dxfId="6834" priority="6848">
      <formula>$F76="Désenfumage"</formula>
    </cfRule>
    <cfRule type="expression" dxfId="6833" priority="6849">
      <formula>$F76="Administratif"</formula>
    </cfRule>
  </conditionalFormatting>
  <conditionalFormatting sqref="D76">
    <cfRule type="expression" dxfId="6832" priority="6840">
      <formula>$H76="non"</formula>
    </cfRule>
  </conditionalFormatting>
  <conditionalFormatting sqref="C89:D89">
    <cfRule type="expression" dxfId="6831" priority="6831">
      <formula>$F89="Formation CCF"</formula>
    </cfRule>
    <cfRule type="expression" dxfId="6830" priority="6832">
      <formula>$F89="Direction"</formula>
    </cfRule>
    <cfRule type="expression" dxfId="6829" priority="6833">
      <formula>$F89="Ventes Sicli"</formula>
    </cfRule>
    <cfRule type="expression" dxfId="6828" priority="6834">
      <formula>$F89="Ventes Chubb"</formula>
    </cfRule>
    <cfRule type="expression" dxfId="6827" priority="6835">
      <formula>$F89="SAV Sicli"</formula>
    </cfRule>
    <cfRule type="expression" dxfId="6826" priority="6836">
      <formula>$F89="SAV Chubb"</formula>
    </cfRule>
    <cfRule type="expression" dxfId="6825" priority="6837">
      <formula>$F89="Réalisation"</formula>
    </cfRule>
    <cfRule type="expression" dxfId="6824" priority="6838">
      <formula>$F89="Désenfumage"</formula>
    </cfRule>
    <cfRule type="expression" dxfId="6823" priority="6839">
      <formula>$F89="Administratif"</formula>
    </cfRule>
  </conditionalFormatting>
  <conditionalFormatting sqref="C89:D89">
    <cfRule type="expression" dxfId="6822" priority="6830">
      <formula>$H89="non"</formula>
    </cfRule>
  </conditionalFormatting>
  <conditionalFormatting sqref="C88:D88">
    <cfRule type="expression" dxfId="6821" priority="6821">
      <formula>$F88="Formation CCF"</formula>
    </cfRule>
    <cfRule type="expression" dxfId="6820" priority="6822">
      <formula>$F88="Direction"</formula>
    </cfRule>
    <cfRule type="expression" dxfId="6819" priority="6823">
      <formula>$F88="Ventes Sicli"</formula>
    </cfRule>
    <cfRule type="expression" dxfId="6818" priority="6824">
      <formula>$F88="Ventes Chubb"</formula>
    </cfRule>
    <cfRule type="expression" dxfId="6817" priority="6825">
      <formula>$F88="SAV Sicli"</formula>
    </cfRule>
    <cfRule type="expression" dxfId="6816" priority="6826">
      <formula>$F88="SAV Chubb"</formula>
    </cfRule>
    <cfRule type="expression" dxfId="6815" priority="6827">
      <formula>$F88="Réalisation"</formula>
    </cfRule>
    <cfRule type="expression" dxfId="6814" priority="6828">
      <formula>$F88="Désenfumage"</formula>
    </cfRule>
    <cfRule type="expression" dxfId="6813" priority="6829">
      <formula>$F88="Administratif"</formula>
    </cfRule>
  </conditionalFormatting>
  <conditionalFormatting sqref="C88:D88">
    <cfRule type="expression" dxfId="6812" priority="6820">
      <formula>$H88="non"</formula>
    </cfRule>
  </conditionalFormatting>
  <conditionalFormatting sqref="C87:D87">
    <cfRule type="expression" dxfId="6811" priority="6811">
      <formula>$F87="Formation CCF"</formula>
    </cfRule>
    <cfRule type="expression" dxfId="6810" priority="6812">
      <formula>$F87="Direction"</formula>
    </cfRule>
    <cfRule type="expression" dxfId="6809" priority="6813">
      <formula>$F87="Ventes Sicli"</formula>
    </cfRule>
    <cfRule type="expression" dxfId="6808" priority="6814">
      <formula>$F87="Ventes Chubb"</formula>
    </cfRule>
    <cfRule type="expression" dxfId="6807" priority="6815">
      <formula>$F87="SAV Sicli"</formula>
    </cfRule>
    <cfRule type="expression" dxfId="6806" priority="6816">
      <formula>$F87="SAV Chubb"</formula>
    </cfRule>
    <cfRule type="expression" dxfId="6805" priority="6817">
      <formula>$F87="Réalisation"</formula>
    </cfRule>
    <cfRule type="expression" dxfId="6804" priority="6818">
      <formula>$F87="Désenfumage"</formula>
    </cfRule>
    <cfRule type="expression" dxfId="6803" priority="6819">
      <formula>$F87="Administratif"</formula>
    </cfRule>
  </conditionalFormatting>
  <conditionalFormatting sqref="C87:D87">
    <cfRule type="expression" dxfId="6802" priority="6810">
      <formula>$H87="non"</formula>
    </cfRule>
  </conditionalFormatting>
  <conditionalFormatting sqref="C86:D86">
    <cfRule type="expression" dxfId="6801" priority="6801">
      <formula>$F86="Formation CCF"</formula>
    </cfRule>
    <cfRule type="expression" dxfId="6800" priority="6802">
      <formula>$F86="Direction"</formula>
    </cfRule>
    <cfRule type="expression" dxfId="6799" priority="6803">
      <formula>$F86="Ventes Sicli"</formula>
    </cfRule>
    <cfRule type="expression" dxfId="6798" priority="6804">
      <formula>$F86="Ventes Chubb"</formula>
    </cfRule>
    <cfRule type="expression" dxfId="6797" priority="6805">
      <formula>$F86="SAV Sicli"</formula>
    </cfRule>
    <cfRule type="expression" dxfId="6796" priority="6806">
      <formula>$F86="SAV Chubb"</formula>
    </cfRule>
    <cfRule type="expression" dxfId="6795" priority="6807">
      <formula>$F86="Réalisation"</formula>
    </cfRule>
    <cfRule type="expression" dxfId="6794" priority="6808">
      <formula>$F86="Désenfumage"</formula>
    </cfRule>
    <cfRule type="expression" dxfId="6793" priority="6809">
      <formula>$F86="Administratif"</formula>
    </cfRule>
  </conditionalFormatting>
  <conditionalFormatting sqref="C86:D86">
    <cfRule type="expression" dxfId="6792" priority="6800">
      <formula>$H86="non"</formula>
    </cfRule>
  </conditionalFormatting>
  <conditionalFormatting sqref="C85:D85">
    <cfRule type="expression" dxfId="6791" priority="6791">
      <formula>$F85="Formation CCF"</formula>
    </cfRule>
    <cfRule type="expression" dxfId="6790" priority="6792">
      <formula>$F85="Direction"</formula>
    </cfRule>
    <cfRule type="expression" dxfId="6789" priority="6793">
      <formula>$F85="Ventes Sicli"</formula>
    </cfRule>
    <cfRule type="expression" dxfId="6788" priority="6794">
      <formula>$F85="Ventes Chubb"</formula>
    </cfRule>
    <cfRule type="expression" dxfId="6787" priority="6795">
      <formula>$F85="SAV Sicli"</formula>
    </cfRule>
    <cfRule type="expression" dxfId="6786" priority="6796">
      <formula>$F85="SAV Chubb"</formula>
    </cfRule>
    <cfRule type="expression" dxfId="6785" priority="6797">
      <formula>$F85="Réalisation"</formula>
    </cfRule>
    <cfRule type="expression" dxfId="6784" priority="6798">
      <formula>$F85="Désenfumage"</formula>
    </cfRule>
    <cfRule type="expression" dxfId="6783" priority="6799">
      <formula>$F85="Administratif"</formula>
    </cfRule>
  </conditionalFormatting>
  <conditionalFormatting sqref="C85:D85">
    <cfRule type="expression" dxfId="6782" priority="6790">
      <formula>$H85="non"</formula>
    </cfRule>
  </conditionalFormatting>
  <conditionalFormatting sqref="D83">
    <cfRule type="expression" dxfId="6781" priority="6781">
      <formula>$F83="Formation CCF"</formula>
    </cfRule>
    <cfRule type="expression" dxfId="6780" priority="6782">
      <formula>$F83="Direction"</formula>
    </cfRule>
    <cfRule type="expression" dxfId="6779" priority="6783">
      <formula>$F83="Ventes Sicli"</formula>
    </cfRule>
    <cfRule type="expression" dxfId="6778" priority="6784">
      <formula>$F83="Ventes Chubb"</formula>
    </cfRule>
    <cfRule type="expression" dxfId="6777" priority="6785">
      <formula>$F83="SAV Sicli"</formula>
    </cfRule>
    <cfRule type="expression" dxfId="6776" priority="6786">
      <formula>$F83="SAV Chubb"</formula>
    </cfRule>
    <cfRule type="expression" dxfId="6775" priority="6787">
      <formula>$F83="Réalisation"</formula>
    </cfRule>
    <cfRule type="expression" dxfId="6774" priority="6788">
      <formula>$F83="Désenfumage"</formula>
    </cfRule>
    <cfRule type="expression" dxfId="6773" priority="6789">
      <formula>$F83="Administratif"</formula>
    </cfRule>
  </conditionalFormatting>
  <conditionalFormatting sqref="D83">
    <cfRule type="expression" dxfId="6772" priority="6780">
      <formula>$H83="non"</formula>
    </cfRule>
  </conditionalFormatting>
  <conditionalFormatting sqref="D81">
    <cfRule type="expression" dxfId="6771" priority="6761">
      <formula>$F81="Formation CCF"</formula>
    </cfRule>
    <cfRule type="expression" dxfId="6770" priority="6762">
      <formula>$F81="Direction"</formula>
    </cfRule>
    <cfRule type="expression" dxfId="6769" priority="6763">
      <formula>$F81="Ventes Sicli"</formula>
    </cfRule>
    <cfRule type="expression" dxfId="6768" priority="6764">
      <formula>$F81="Ventes Chubb"</formula>
    </cfRule>
    <cfRule type="expression" dxfId="6767" priority="6765">
      <formula>$F81="SAV Sicli"</formula>
    </cfRule>
    <cfRule type="expression" dxfId="6766" priority="6766">
      <formula>$F81="SAV Chubb"</formula>
    </cfRule>
    <cfRule type="expression" dxfId="6765" priority="6767">
      <formula>$F81="Réalisation"</formula>
    </cfRule>
    <cfRule type="expression" dxfId="6764" priority="6768">
      <formula>$F81="Désenfumage"</formula>
    </cfRule>
    <cfRule type="expression" dxfId="6763" priority="6769">
      <formula>$F81="Administratif"</formula>
    </cfRule>
  </conditionalFormatting>
  <conditionalFormatting sqref="D81">
    <cfRule type="expression" dxfId="6762" priority="6760">
      <formula>$H81="non"</formula>
    </cfRule>
  </conditionalFormatting>
  <conditionalFormatting sqref="D80">
    <cfRule type="expression" dxfId="6761" priority="6751">
      <formula>$F80="Formation CCF"</formula>
    </cfRule>
    <cfRule type="expression" dxfId="6760" priority="6752">
      <formula>$F80="Direction"</formula>
    </cfRule>
    <cfRule type="expression" dxfId="6759" priority="6753">
      <formula>$F80="Ventes Sicli"</formula>
    </cfRule>
    <cfRule type="expression" dxfId="6758" priority="6754">
      <formula>$F80="Ventes Chubb"</formula>
    </cfRule>
    <cfRule type="expression" dxfId="6757" priority="6755">
      <formula>$F80="SAV Sicli"</formula>
    </cfRule>
    <cfRule type="expression" dxfId="6756" priority="6756">
      <formula>$F80="SAV Chubb"</formula>
    </cfRule>
    <cfRule type="expression" dxfId="6755" priority="6757">
      <formula>$F80="Réalisation"</formula>
    </cfRule>
    <cfRule type="expression" dxfId="6754" priority="6758">
      <formula>$F80="Désenfumage"</formula>
    </cfRule>
    <cfRule type="expression" dxfId="6753" priority="6759">
      <formula>$F80="Administratif"</formula>
    </cfRule>
  </conditionalFormatting>
  <conditionalFormatting sqref="D80">
    <cfRule type="expression" dxfId="6752" priority="6750">
      <formula>$H80="non"</formula>
    </cfRule>
  </conditionalFormatting>
  <conditionalFormatting sqref="D79">
    <cfRule type="expression" dxfId="6751" priority="6741">
      <formula>$F79="Formation CCF"</formula>
    </cfRule>
    <cfRule type="expression" dxfId="6750" priority="6742">
      <formula>$F79="Direction"</formula>
    </cfRule>
    <cfRule type="expression" dxfId="6749" priority="6743">
      <formula>$F79="Ventes Sicli"</formula>
    </cfRule>
    <cfRule type="expression" dxfId="6748" priority="6744">
      <formula>$F79="Ventes Chubb"</formula>
    </cfRule>
    <cfRule type="expression" dxfId="6747" priority="6745">
      <formula>$F79="SAV Sicli"</formula>
    </cfRule>
    <cfRule type="expression" dxfId="6746" priority="6746">
      <formula>$F79="SAV Chubb"</formula>
    </cfRule>
    <cfRule type="expression" dxfId="6745" priority="6747">
      <formula>$F79="Réalisation"</formula>
    </cfRule>
    <cfRule type="expression" dxfId="6744" priority="6748">
      <formula>$F79="Désenfumage"</formula>
    </cfRule>
    <cfRule type="expression" dxfId="6743" priority="6749">
      <formula>$F79="Administratif"</formula>
    </cfRule>
  </conditionalFormatting>
  <conditionalFormatting sqref="D79">
    <cfRule type="expression" dxfId="6742" priority="6740">
      <formula>$H79="non"</formula>
    </cfRule>
  </conditionalFormatting>
  <conditionalFormatting sqref="D78">
    <cfRule type="expression" dxfId="6741" priority="6731">
      <formula>$F78="Formation CCF"</formula>
    </cfRule>
    <cfRule type="expression" dxfId="6740" priority="6732">
      <formula>$F78="Direction"</formula>
    </cfRule>
    <cfRule type="expression" dxfId="6739" priority="6733">
      <formula>$F78="Ventes Sicli"</formula>
    </cfRule>
    <cfRule type="expression" dxfId="6738" priority="6734">
      <formula>$F78="Ventes Chubb"</formula>
    </cfRule>
    <cfRule type="expression" dxfId="6737" priority="6735">
      <formula>$F78="SAV Sicli"</formula>
    </cfRule>
    <cfRule type="expression" dxfId="6736" priority="6736">
      <formula>$F78="SAV Chubb"</formula>
    </cfRule>
    <cfRule type="expression" dxfId="6735" priority="6737">
      <formula>$F78="Réalisation"</formula>
    </cfRule>
    <cfRule type="expression" dxfId="6734" priority="6738">
      <formula>$F78="Désenfumage"</formula>
    </cfRule>
    <cfRule type="expression" dxfId="6733" priority="6739">
      <formula>$F78="Administratif"</formula>
    </cfRule>
  </conditionalFormatting>
  <conditionalFormatting sqref="D78">
    <cfRule type="expression" dxfId="6732" priority="6730">
      <formula>$H78="non"</formula>
    </cfRule>
  </conditionalFormatting>
  <conditionalFormatting sqref="D77">
    <cfRule type="expression" dxfId="6731" priority="6721">
      <formula>$F77="Formation CCF"</formula>
    </cfRule>
    <cfRule type="expression" dxfId="6730" priority="6722">
      <formula>$F77="Direction"</formula>
    </cfRule>
    <cfRule type="expression" dxfId="6729" priority="6723">
      <formula>$F77="Ventes Sicli"</formula>
    </cfRule>
    <cfRule type="expression" dxfId="6728" priority="6724">
      <formula>$F77="Ventes Chubb"</formula>
    </cfRule>
    <cfRule type="expression" dxfId="6727" priority="6725">
      <formula>$F77="SAV Sicli"</formula>
    </cfRule>
    <cfRule type="expression" dxfId="6726" priority="6726">
      <formula>$F77="SAV Chubb"</formula>
    </cfRule>
    <cfRule type="expression" dxfId="6725" priority="6727">
      <formula>$F77="Réalisation"</formula>
    </cfRule>
    <cfRule type="expression" dxfId="6724" priority="6728">
      <formula>$F77="Désenfumage"</formula>
    </cfRule>
    <cfRule type="expression" dxfId="6723" priority="6729">
      <formula>$F77="Administratif"</formula>
    </cfRule>
  </conditionalFormatting>
  <conditionalFormatting sqref="D77">
    <cfRule type="expression" dxfId="6722" priority="6720">
      <formula>$H77="non"</formula>
    </cfRule>
  </conditionalFormatting>
  <conditionalFormatting sqref="D76">
    <cfRule type="expression" dxfId="6721" priority="6711">
      <formula>$F76="Formation CCF"</formula>
    </cfRule>
    <cfRule type="expression" dxfId="6720" priority="6712">
      <formula>$F76="Direction"</formula>
    </cfRule>
    <cfRule type="expression" dxfId="6719" priority="6713">
      <formula>$F76="Ventes Sicli"</formula>
    </cfRule>
    <cfRule type="expression" dxfId="6718" priority="6714">
      <formula>$F76="Ventes Chubb"</formula>
    </cfRule>
    <cfRule type="expression" dxfId="6717" priority="6715">
      <formula>$F76="SAV Sicli"</formula>
    </cfRule>
    <cfRule type="expression" dxfId="6716" priority="6716">
      <formula>$F76="SAV Chubb"</formula>
    </cfRule>
    <cfRule type="expression" dxfId="6715" priority="6717">
      <formula>$F76="Réalisation"</formula>
    </cfRule>
    <cfRule type="expression" dxfId="6714" priority="6718">
      <formula>$F76="Désenfumage"</formula>
    </cfRule>
    <cfRule type="expression" dxfId="6713" priority="6719">
      <formula>$F76="Administratif"</formula>
    </cfRule>
  </conditionalFormatting>
  <conditionalFormatting sqref="D76">
    <cfRule type="expression" dxfId="6712" priority="6710">
      <formula>$H76="non"</formula>
    </cfRule>
  </conditionalFormatting>
  <conditionalFormatting sqref="D99">
    <cfRule type="expression" dxfId="6711" priority="6551">
      <formula>$F99="Formation CCF"</formula>
    </cfRule>
    <cfRule type="expression" dxfId="6710" priority="6552">
      <formula>$F99="Direction"</formula>
    </cfRule>
    <cfRule type="expression" dxfId="6709" priority="6553">
      <formula>$F99="Ventes Sicli"</formula>
    </cfRule>
    <cfRule type="expression" dxfId="6708" priority="6554">
      <formula>$F99="Ventes Chubb"</formula>
    </cfRule>
    <cfRule type="expression" dxfId="6707" priority="6555">
      <formula>$F99="SAV Sicli"</formula>
    </cfRule>
    <cfRule type="expression" dxfId="6706" priority="6556">
      <formula>$F99="SAV Chubb"</formula>
    </cfRule>
    <cfRule type="expression" dxfId="6705" priority="6557">
      <formula>$F99="Réalisation"</formula>
    </cfRule>
    <cfRule type="expression" dxfId="6704" priority="6558">
      <formula>$F99="Désenfumage"</formula>
    </cfRule>
    <cfRule type="expression" dxfId="6703" priority="6559">
      <formula>$F99="Administratif"</formula>
    </cfRule>
  </conditionalFormatting>
  <conditionalFormatting sqref="D99">
    <cfRule type="expression" dxfId="6702" priority="6550">
      <formula>$H99="non"</formula>
    </cfRule>
  </conditionalFormatting>
  <conditionalFormatting sqref="D82">
    <cfRule type="expression" dxfId="6701" priority="6691">
      <formula>$F82="Formation CCF"</formula>
    </cfRule>
    <cfRule type="expression" dxfId="6700" priority="6692">
      <formula>$F82="Direction"</formula>
    </cfRule>
    <cfRule type="expression" dxfId="6699" priority="6693">
      <formula>$F82="Ventes Sicli"</formula>
    </cfRule>
    <cfRule type="expression" dxfId="6698" priority="6694">
      <formula>$F82="Ventes Chubb"</formula>
    </cfRule>
    <cfRule type="expression" dxfId="6697" priority="6695">
      <formula>$F82="SAV Sicli"</formula>
    </cfRule>
    <cfRule type="expression" dxfId="6696" priority="6696">
      <formula>$F82="SAV Chubb"</formula>
    </cfRule>
    <cfRule type="expression" dxfId="6695" priority="6697">
      <formula>$F82="Réalisation"</formula>
    </cfRule>
    <cfRule type="expression" dxfId="6694" priority="6698">
      <formula>$F82="Désenfumage"</formula>
    </cfRule>
    <cfRule type="expression" dxfId="6693" priority="6699">
      <formula>$F82="Administratif"</formula>
    </cfRule>
  </conditionalFormatting>
  <conditionalFormatting sqref="D82">
    <cfRule type="expression" dxfId="6692" priority="6690">
      <formula>$H82="non"</formula>
    </cfRule>
  </conditionalFormatting>
  <conditionalFormatting sqref="D81">
    <cfRule type="expression" dxfId="6691" priority="6681">
      <formula>$F81="Formation CCF"</formula>
    </cfRule>
    <cfRule type="expression" dxfId="6690" priority="6682">
      <formula>$F81="Direction"</formula>
    </cfRule>
    <cfRule type="expression" dxfId="6689" priority="6683">
      <formula>$F81="Ventes Sicli"</formula>
    </cfRule>
    <cfRule type="expression" dxfId="6688" priority="6684">
      <formula>$F81="Ventes Chubb"</formula>
    </cfRule>
    <cfRule type="expression" dxfId="6687" priority="6685">
      <formula>$F81="SAV Sicli"</formula>
    </cfRule>
    <cfRule type="expression" dxfId="6686" priority="6686">
      <formula>$F81="SAV Chubb"</formula>
    </cfRule>
    <cfRule type="expression" dxfId="6685" priority="6687">
      <formula>$F81="Réalisation"</formula>
    </cfRule>
    <cfRule type="expression" dxfId="6684" priority="6688">
      <formula>$F81="Désenfumage"</formula>
    </cfRule>
    <cfRule type="expression" dxfId="6683" priority="6689">
      <formula>$F81="Administratif"</formula>
    </cfRule>
  </conditionalFormatting>
  <conditionalFormatting sqref="D81">
    <cfRule type="expression" dxfId="6682" priority="6680">
      <formula>$H81="non"</formula>
    </cfRule>
  </conditionalFormatting>
  <conditionalFormatting sqref="D80">
    <cfRule type="expression" dxfId="6681" priority="6671">
      <formula>$F80="Formation CCF"</formula>
    </cfRule>
    <cfRule type="expression" dxfId="6680" priority="6672">
      <formula>$F80="Direction"</formula>
    </cfRule>
    <cfRule type="expression" dxfId="6679" priority="6673">
      <formula>$F80="Ventes Sicli"</formula>
    </cfRule>
    <cfRule type="expression" dxfId="6678" priority="6674">
      <formula>$F80="Ventes Chubb"</formula>
    </cfRule>
    <cfRule type="expression" dxfId="6677" priority="6675">
      <formula>$F80="SAV Sicli"</formula>
    </cfRule>
    <cfRule type="expression" dxfId="6676" priority="6676">
      <formula>$F80="SAV Chubb"</formula>
    </cfRule>
    <cfRule type="expression" dxfId="6675" priority="6677">
      <formula>$F80="Réalisation"</formula>
    </cfRule>
    <cfRule type="expression" dxfId="6674" priority="6678">
      <formula>$F80="Désenfumage"</formula>
    </cfRule>
    <cfRule type="expression" dxfId="6673" priority="6679">
      <formula>$F80="Administratif"</formula>
    </cfRule>
  </conditionalFormatting>
  <conditionalFormatting sqref="D80">
    <cfRule type="expression" dxfId="6672" priority="6670">
      <formula>$H80="non"</formula>
    </cfRule>
  </conditionalFormatting>
  <conditionalFormatting sqref="D79">
    <cfRule type="expression" dxfId="6671" priority="6661">
      <formula>$F79="Formation CCF"</formula>
    </cfRule>
    <cfRule type="expression" dxfId="6670" priority="6662">
      <formula>$F79="Direction"</formula>
    </cfRule>
    <cfRule type="expression" dxfId="6669" priority="6663">
      <formula>$F79="Ventes Sicli"</formula>
    </cfRule>
    <cfRule type="expression" dxfId="6668" priority="6664">
      <formula>$F79="Ventes Chubb"</formula>
    </cfRule>
    <cfRule type="expression" dxfId="6667" priority="6665">
      <formula>$F79="SAV Sicli"</formula>
    </cfRule>
    <cfRule type="expression" dxfId="6666" priority="6666">
      <formula>$F79="SAV Chubb"</formula>
    </cfRule>
    <cfRule type="expression" dxfId="6665" priority="6667">
      <formula>$F79="Réalisation"</formula>
    </cfRule>
    <cfRule type="expression" dxfId="6664" priority="6668">
      <formula>$F79="Désenfumage"</formula>
    </cfRule>
    <cfRule type="expression" dxfId="6663" priority="6669">
      <formula>$F79="Administratif"</formula>
    </cfRule>
  </conditionalFormatting>
  <conditionalFormatting sqref="D79">
    <cfRule type="expression" dxfId="6662" priority="6660">
      <formula>$H79="non"</formula>
    </cfRule>
  </conditionalFormatting>
  <conditionalFormatting sqref="D78">
    <cfRule type="expression" dxfId="6661" priority="6651">
      <formula>$F78="Formation CCF"</formula>
    </cfRule>
    <cfRule type="expression" dxfId="6660" priority="6652">
      <formula>$F78="Direction"</formula>
    </cfRule>
    <cfRule type="expression" dxfId="6659" priority="6653">
      <formula>$F78="Ventes Sicli"</formula>
    </cfRule>
    <cfRule type="expression" dxfId="6658" priority="6654">
      <formula>$F78="Ventes Chubb"</formula>
    </cfRule>
    <cfRule type="expression" dxfId="6657" priority="6655">
      <formula>$F78="SAV Sicli"</formula>
    </cfRule>
    <cfRule type="expression" dxfId="6656" priority="6656">
      <formula>$F78="SAV Chubb"</formula>
    </cfRule>
    <cfRule type="expression" dxfId="6655" priority="6657">
      <formula>$F78="Réalisation"</formula>
    </cfRule>
    <cfRule type="expression" dxfId="6654" priority="6658">
      <formula>$F78="Désenfumage"</formula>
    </cfRule>
    <cfRule type="expression" dxfId="6653" priority="6659">
      <formula>$F78="Administratif"</formula>
    </cfRule>
  </conditionalFormatting>
  <conditionalFormatting sqref="D78">
    <cfRule type="expression" dxfId="6652" priority="6650">
      <formula>$H78="non"</formula>
    </cfRule>
  </conditionalFormatting>
  <conditionalFormatting sqref="D77">
    <cfRule type="expression" dxfId="6651" priority="6641">
      <formula>$F77="Formation CCF"</formula>
    </cfRule>
    <cfRule type="expression" dxfId="6650" priority="6642">
      <formula>$F77="Direction"</formula>
    </cfRule>
    <cfRule type="expression" dxfId="6649" priority="6643">
      <formula>$F77="Ventes Sicli"</formula>
    </cfRule>
    <cfRule type="expression" dxfId="6648" priority="6644">
      <formula>$F77="Ventes Chubb"</formula>
    </cfRule>
    <cfRule type="expression" dxfId="6647" priority="6645">
      <formula>$F77="SAV Sicli"</formula>
    </cfRule>
    <cfRule type="expression" dxfId="6646" priority="6646">
      <formula>$F77="SAV Chubb"</formula>
    </cfRule>
    <cfRule type="expression" dxfId="6645" priority="6647">
      <formula>$F77="Réalisation"</formula>
    </cfRule>
    <cfRule type="expression" dxfId="6644" priority="6648">
      <formula>$F77="Désenfumage"</formula>
    </cfRule>
    <cfRule type="expression" dxfId="6643" priority="6649">
      <formula>$F77="Administratif"</formula>
    </cfRule>
  </conditionalFormatting>
  <conditionalFormatting sqref="D77">
    <cfRule type="expression" dxfId="6642" priority="6640">
      <formula>$H77="non"</formula>
    </cfRule>
  </conditionalFormatting>
  <conditionalFormatting sqref="D76">
    <cfRule type="expression" dxfId="6641" priority="6631">
      <formula>$F76="Formation CCF"</formula>
    </cfRule>
    <cfRule type="expression" dxfId="6640" priority="6632">
      <formula>$F76="Direction"</formula>
    </cfRule>
    <cfRule type="expression" dxfId="6639" priority="6633">
      <formula>$F76="Ventes Sicli"</formula>
    </cfRule>
    <cfRule type="expression" dxfId="6638" priority="6634">
      <formula>$F76="Ventes Chubb"</formula>
    </cfRule>
    <cfRule type="expression" dxfId="6637" priority="6635">
      <formula>$F76="SAV Sicli"</formula>
    </cfRule>
    <cfRule type="expression" dxfId="6636" priority="6636">
      <formula>$F76="SAV Chubb"</formula>
    </cfRule>
    <cfRule type="expression" dxfId="6635" priority="6637">
      <formula>$F76="Réalisation"</formula>
    </cfRule>
    <cfRule type="expression" dxfId="6634" priority="6638">
      <formula>$F76="Désenfumage"</formula>
    </cfRule>
    <cfRule type="expression" dxfId="6633" priority="6639">
      <formula>$F76="Administratif"</formula>
    </cfRule>
  </conditionalFormatting>
  <conditionalFormatting sqref="D76">
    <cfRule type="expression" dxfId="6632" priority="6630">
      <formula>$H76="non"</formula>
    </cfRule>
  </conditionalFormatting>
  <conditionalFormatting sqref="D98">
    <cfRule type="expression" dxfId="6631" priority="6471">
      <formula>$F98="Formation CCF"</formula>
    </cfRule>
    <cfRule type="expression" dxfId="6630" priority="6472">
      <formula>$F98="Direction"</formula>
    </cfRule>
    <cfRule type="expression" dxfId="6629" priority="6473">
      <formula>$F98="Ventes Sicli"</formula>
    </cfRule>
    <cfRule type="expression" dxfId="6628" priority="6474">
      <formula>$F98="Ventes Chubb"</formula>
    </cfRule>
    <cfRule type="expression" dxfId="6627" priority="6475">
      <formula>$F98="SAV Sicli"</formula>
    </cfRule>
    <cfRule type="expression" dxfId="6626" priority="6476">
      <formula>$F98="SAV Chubb"</formula>
    </cfRule>
    <cfRule type="expression" dxfId="6625" priority="6477">
      <formula>$F98="Réalisation"</formula>
    </cfRule>
    <cfRule type="expression" dxfId="6624" priority="6478">
      <formula>$F98="Désenfumage"</formula>
    </cfRule>
    <cfRule type="expression" dxfId="6623" priority="6479">
      <formula>$F98="Administratif"</formula>
    </cfRule>
  </conditionalFormatting>
  <conditionalFormatting sqref="D98">
    <cfRule type="expression" dxfId="6622" priority="6470">
      <formula>$H98="non"</formula>
    </cfRule>
  </conditionalFormatting>
  <conditionalFormatting sqref="C106:D106">
    <cfRule type="expression" dxfId="6621" priority="6611">
      <formula>$F106="Formation CCF"</formula>
    </cfRule>
    <cfRule type="expression" dxfId="6620" priority="6612">
      <formula>$F106="Direction"</formula>
    </cfRule>
    <cfRule type="expression" dxfId="6619" priority="6613">
      <formula>$F106="Ventes Sicli"</formula>
    </cfRule>
    <cfRule type="expression" dxfId="6618" priority="6614">
      <formula>$F106="Ventes Chubb"</formula>
    </cfRule>
    <cfRule type="expression" dxfId="6617" priority="6615">
      <formula>$F106="SAV Sicli"</formula>
    </cfRule>
    <cfRule type="expression" dxfId="6616" priority="6616">
      <formula>$F106="SAV Chubb"</formula>
    </cfRule>
    <cfRule type="expression" dxfId="6615" priority="6617">
      <formula>$F106="Réalisation"</formula>
    </cfRule>
    <cfRule type="expression" dxfId="6614" priority="6618">
      <formula>$F106="Désenfumage"</formula>
    </cfRule>
    <cfRule type="expression" dxfId="6613" priority="6619">
      <formula>$F106="Administratif"</formula>
    </cfRule>
  </conditionalFormatting>
  <conditionalFormatting sqref="C106:D106">
    <cfRule type="expression" dxfId="6612" priority="6610">
      <formula>$H106="non"</formula>
    </cfRule>
  </conditionalFormatting>
  <conditionalFormatting sqref="C105:D105">
    <cfRule type="expression" dxfId="6611" priority="6601">
      <formula>$F105="Formation CCF"</formula>
    </cfRule>
    <cfRule type="expression" dxfId="6610" priority="6602">
      <formula>$F105="Direction"</formula>
    </cfRule>
    <cfRule type="expression" dxfId="6609" priority="6603">
      <formula>$F105="Ventes Sicli"</formula>
    </cfRule>
    <cfRule type="expression" dxfId="6608" priority="6604">
      <formula>$F105="Ventes Chubb"</formula>
    </cfRule>
    <cfRule type="expression" dxfId="6607" priority="6605">
      <formula>$F105="SAV Sicli"</formula>
    </cfRule>
    <cfRule type="expression" dxfId="6606" priority="6606">
      <formula>$F105="SAV Chubb"</formula>
    </cfRule>
    <cfRule type="expression" dxfId="6605" priority="6607">
      <formula>$F105="Réalisation"</formula>
    </cfRule>
    <cfRule type="expression" dxfId="6604" priority="6608">
      <formula>$F105="Désenfumage"</formula>
    </cfRule>
    <cfRule type="expression" dxfId="6603" priority="6609">
      <formula>$F105="Administratif"</formula>
    </cfRule>
  </conditionalFormatting>
  <conditionalFormatting sqref="C105:D105">
    <cfRule type="expression" dxfId="6602" priority="6600">
      <formula>$H105="non"</formula>
    </cfRule>
  </conditionalFormatting>
  <conditionalFormatting sqref="C104:D104">
    <cfRule type="expression" dxfId="6601" priority="6591">
      <formula>$F104="Formation CCF"</formula>
    </cfRule>
    <cfRule type="expression" dxfId="6600" priority="6592">
      <formula>$F104="Direction"</formula>
    </cfRule>
    <cfRule type="expression" dxfId="6599" priority="6593">
      <formula>$F104="Ventes Sicli"</formula>
    </cfRule>
    <cfRule type="expression" dxfId="6598" priority="6594">
      <formula>$F104="Ventes Chubb"</formula>
    </cfRule>
    <cfRule type="expression" dxfId="6597" priority="6595">
      <formula>$F104="SAV Sicli"</formula>
    </cfRule>
    <cfRule type="expression" dxfId="6596" priority="6596">
      <formula>$F104="SAV Chubb"</formula>
    </cfRule>
    <cfRule type="expression" dxfId="6595" priority="6597">
      <formula>$F104="Réalisation"</formula>
    </cfRule>
    <cfRule type="expression" dxfId="6594" priority="6598">
      <formula>$F104="Désenfumage"</formula>
    </cfRule>
    <cfRule type="expression" dxfId="6593" priority="6599">
      <formula>$F104="Administratif"</formula>
    </cfRule>
  </conditionalFormatting>
  <conditionalFormatting sqref="C104:D104">
    <cfRule type="expression" dxfId="6592" priority="6590">
      <formula>$H104="non"</formula>
    </cfRule>
  </conditionalFormatting>
  <conditionalFormatting sqref="C103:D103">
    <cfRule type="expression" dxfId="6591" priority="6581">
      <formula>$F103="Formation CCF"</formula>
    </cfRule>
    <cfRule type="expression" dxfId="6590" priority="6582">
      <formula>$F103="Direction"</formula>
    </cfRule>
    <cfRule type="expression" dxfId="6589" priority="6583">
      <formula>$F103="Ventes Sicli"</formula>
    </cfRule>
    <cfRule type="expression" dxfId="6588" priority="6584">
      <formula>$F103="Ventes Chubb"</formula>
    </cfRule>
    <cfRule type="expression" dxfId="6587" priority="6585">
      <formula>$F103="SAV Sicli"</formula>
    </cfRule>
    <cfRule type="expression" dxfId="6586" priority="6586">
      <formula>$F103="SAV Chubb"</formula>
    </cfRule>
    <cfRule type="expression" dxfId="6585" priority="6587">
      <formula>$F103="Réalisation"</formula>
    </cfRule>
    <cfRule type="expression" dxfId="6584" priority="6588">
      <formula>$F103="Désenfumage"</formula>
    </cfRule>
    <cfRule type="expression" dxfId="6583" priority="6589">
      <formula>$F103="Administratif"</formula>
    </cfRule>
  </conditionalFormatting>
  <conditionalFormatting sqref="C103:D103">
    <cfRule type="expression" dxfId="6582" priority="6580">
      <formula>$H103="non"</formula>
    </cfRule>
  </conditionalFormatting>
  <conditionalFormatting sqref="C102:D102">
    <cfRule type="expression" dxfId="6581" priority="6571">
      <formula>$F102="Formation CCF"</formula>
    </cfRule>
    <cfRule type="expression" dxfId="6580" priority="6572">
      <formula>$F102="Direction"</formula>
    </cfRule>
    <cfRule type="expression" dxfId="6579" priority="6573">
      <formula>$F102="Ventes Sicli"</formula>
    </cfRule>
    <cfRule type="expression" dxfId="6578" priority="6574">
      <formula>$F102="Ventes Chubb"</formula>
    </cfRule>
    <cfRule type="expression" dxfId="6577" priority="6575">
      <formula>$F102="SAV Sicli"</formula>
    </cfRule>
    <cfRule type="expression" dxfId="6576" priority="6576">
      <formula>$F102="SAV Chubb"</formula>
    </cfRule>
    <cfRule type="expression" dxfId="6575" priority="6577">
      <formula>$F102="Réalisation"</formula>
    </cfRule>
    <cfRule type="expression" dxfId="6574" priority="6578">
      <formula>$F102="Désenfumage"</formula>
    </cfRule>
    <cfRule type="expression" dxfId="6573" priority="6579">
      <formula>$F102="Administratif"</formula>
    </cfRule>
  </conditionalFormatting>
  <conditionalFormatting sqref="C102:D102">
    <cfRule type="expression" dxfId="6572" priority="6570">
      <formula>$H102="non"</formula>
    </cfRule>
  </conditionalFormatting>
  <conditionalFormatting sqref="C101:D101">
    <cfRule type="expression" dxfId="6571" priority="6561">
      <formula>$F101="Formation CCF"</formula>
    </cfRule>
    <cfRule type="expression" dxfId="6570" priority="6562">
      <formula>$F101="Direction"</formula>
    </cfRule>
    <cfRule type="expression" dxfId="6569" priority="6563">
      <formula>$F101="Ventes Sicli"</formula>
    </cfRule>
    <cfRule type="expression" dxfId="6568" priority="6564">
      <formula>$F101="Ventes Chubb"</formula>
    </cfRule>
    <cfRule type="expression" dxfId="6567" priority="6565">
      <formula>$F101="SAV Sicli"</formula>
    </cfRule>
    <cfRule type="expression" dxfId="6566" priority="6566">
      <formula>$F101="SAV Chubb"</formula>
    </cfRule>
    <cfRule type="expression" dxfId="6565" priority="6567">
      <formula>$F101="Réalisation"</formula>
    </cfRule>
    <cfRule type="expression" dxfId="6564" priority="6568">
      <formula>$F101="Désenfumage"</formula>
    </cfRule>
    <cfRule type="expression" dxfId="6563" priority="6569">
      <formula>$F101="Administratif"</formula>
    </cfRule>
  </conditionalFormatting>
  <conditionalFormatting sqref="C101:D101">
    <cfRule type="expression" dxfId="6562" priority="6560">
      <formula>$H101="non"</formula>
    </cfRule>
  </conditionalFormatting>
  <conditionalFormatting sqref="D98">
    <cfRule type="expression" dxfId="6561" priority="6541">
      <formula>$F98="Formation CCF"</formula>
    </cfRule>
    <cfRule type="expression" dxfId="6560" priority="6542">
      <formula>$F98="Direction"</formula>
    </cfRule>
    <cfRule type="expression" dxfId="6559" priority="6543">
      <formula>$F98="Ventes Sicli"</formula>
    </cfRule>
    <cfRule type="expression" dxfId="6558" priority="6544">
      <formula>$F98="Ventes Chubb"</formula>
    </cfRule>
    <cfRule type="expression" dxfId="6557" priority="6545">
      <formula>$F98="SAV Sicli"</formula>
    </cfRule>
    <cfRule type="expression" dxfId="6556" priority="6546">
      <formula>$F98="SAV Chubb"</formula>
    </cfRule>
    <cfRule type="expression" dxfId="6555" priority="6547">
      <formula>$F98="Réalisation"</formula>
    </cfRule>
    <cfRule type="expression" dxfId="6554" priority="6548">
      <formula>$F98="Désenfumage"</formula>
    </cfRule>
    <cfRule type="expression" dxfId="6553" priority="6549">
      <formula>$F98="Administratif"</formula>
    </cfRule>
  </conditionalFormatting>
  <conditionalFormatting sqref="D98">
    <cfRule type="expression" dxfId="6552" priority="6540">
      <formula>$H98="non"</formula>
    </cfRule>
  </conditionalFormatting>
  <conditionalFormatting sqref="D98">
    <cfRule type="expression" dxfId="6551" priority="6531">
      <formula>$F98="Formation CCF"</formula>
    </cfRule>
    <cfRule type="expression" dxfId="6550" priority="6532">
      <formula>$F98="Direction"</formula>
    </cfRule>
    <cfRule type="expression" dxfId="6549" priority="6533">
      <formula>$F98="Ventes Sicli"</formula>
    </cfRule>
    <cfRule type="expression" dxfId="6548" priority="6534">
      <formula>$F98="Ventes Chubb"</formula>
    </cfRule>
    <cfRule type="expression" dxfId="6547" priority="6535">
      <formula>$F98="SAV Sicli"</formula>
    </cfRule>
    <cfRule type="expression" dxfId="6546" priority="6536">
      <formula>$F98="SAV Chubb"</formula>
    </cfRule>
    <cfRule type="expression" dxfId="6545" priority="6537">
      <formula>$F98="Réalisation"</formula>
    </cfRule>
    <cfRule type="expression" dxfId="6544" priority="6538">
      <formula>$F98="Désenfumage"</formula>
    </cfRule>
    <cfRule type="expression" dxfId="6543" priority="6539">
      <formula>$F98="Administratif"</formula>
    </cfRule>
  </conditionalFormatting>
  <conditionalFormatting sqref="D98">
    <cfRule type="expression" dxfId="6542" priority="6530">
      <formula>$H98="non"</formula>
    </cfRule>
  </conditionalFormatting>
  <conditionalFormatting sqref="C104:D104">
    <cfRule type="expression" dxfId="6541" priority="6521">
      <formula>$F104="Formation CCF"</formula>
    </cfRule>
    <cfRule type="expression" dxfId="6540" priority="6522">
      <formula>$F104="Direction"</formula>
    </cfRule>
    <cfRule type="expression" dxfId="6539" priority="6523">
      <formula>$F104="Ventes Sicli"</formula>
    </cfRule>
    <cfRule type="expression" dxfId="6538" priority="6524">
      <formula>$F104="Ventes Chubb"</formula>
    </cfRule>
    <cfRule type="expression" dxfId="6537" priority="6525">
      <formula>$F104="SAV Sicli"</formula>
    </cfRule>
    <cfRule type="expression" dxfId="6536" priority="6526">
      <formula>$F104="SAV Chubb"</formula>
    </cfRule>
    <cfRule type="expression" dxfId="6535" priority="6527">
      <formula>$F104="Réalisation"</formula>
    </cfRule>
    <cfRule type="expression" dxfId="6534" priority="6528">
      <formula>$F104="Désenfumage"</formula>
    </cfRule>
    <cfRule type="expression" dxfId="6533" priority="6529">
      <formula>$F104="Administratif"</formula>
    </cfRule>
  </conditionalFormatting>
  <conditionalFormatting sqref="C104:D104">
    <cfRule type="expression" dxfId="6532" priority="6520">
      <formula>$H104="non"</formula>
    </cfRule>
  </conditionalFormatting>
  <conditionalFormatting sqref="C103:D103">
    <cfRule type="expression" dxfId="6531" priority="6511">
      <formula>$F103="Formation CCF"</formula>
    </cfRule>
    <cfRule type="expression" dxfId="6530" priority="6512">
      <formula>$F103="Direction"</formula>
    </cfRule>
    <cfRule type="expression" dxfId="6529" priority="6513">
      <formula>$F103="Ventes Sicli"</formula>
    </cfRule>
    <cfRule type="expression" dxfId="6528" priority="6514">
      <formula>$F103="Ventes Chubb"</formula>
    </cfRule>
    <cfRule type="expression" dxfId="6527" priority="6515">
      <formula>$F103="SAV Sicli"</formula>
    </cfRule>
    <cfRule type="expression" dxfId="6526" priority="6516">
      <formula>$F103="SAV Chubb"</formula>
    </cfRule>
    <cfRule type="expression" dxfId="6525" priority="6517">
      <formula>$F103="Réalisation"</formula>
    </cfRule>
    <cfRule type="expression" dxfId="6524" priority="6518">
      <formula>$F103="Désenfumage"</formula>
    </cfRule>
    <cfRule type="expression" dxfId="6523" priority="6519">
      <formula>$F103="Administratif"</formula>
    </cfRule>
  </conditionalFormatting>
  <conditionalFormatting sqref="C103:D103">
    <cfRule type="expression" dxfId="6522" priority="6510">
      <formula>$H103="non"</formula>
    </cfRule>
  </conditionalFormatting>
  <conditionalFormatting sqref="C102:D102">
    <cfRule type="expression" dxfId="6521" priority="6501">
      <formula>$F102="Formation CCF"</formula>
    </cfRule>
    <cfRule type="expression" dxfId="6520" priority="6502">
      <formula>$F102="Direction"</formula>
    </cfRule>
    <cfRule type="expression" dxfId="6519" priority="6503">
      <formula>$F102="Ventes Sicli"</formula>
    </cfRule>
    <cfRule type="expression" dxfId="6518" priority="6504">
      <formula>$F102="Ventes Chubb"</formula>
    </cfRule>
    <cfRule type="expression" dxfId="6517" priority="6505">
      <formula>$F102="SAV Sicli"</formula>
    </cfRule>
    <cfRule type="expression" dxfId="6516" priority="6506">
      <formula>$F102="SAV Chubb"</formula>
    </cfRule>
    <cfRule type="expression" dxfId="6515" priority="6507">
      <formula>$F102="Réalisation"</formula>
    </cfRule>
    <cfRule type="expression" dxfId="6514" priority="6508">
      <formula>$F102="Désenfumage"</formula>
    </cfRule>
    <cfRule type="expression" dxfId="6513" priority="6509">
      <formula>$F102="Administratif"</formula>
    </cfRule>
  </conditionalFormatting>
  <conditionalFormatting sqref="C102:D102">
    <cfRule type="expression" dxfId="6512" priority="6500">
      <formula>$H102="non"</formula>
    </cfRule>
  </conditionalFormatting>
  <conditionalFormatting sqref="C101:D101">
    <cfRule type="expression" dxfId="6511" priority="6491">
      <formula>$F101="Formation CCF"</formula>
    </cfRule>
    <cfRule type="expression" dxfId="6510" priority="6492">
      <formula>$F101="Direction"</formula>
    </cfRule>
    <cfRule type="expression" dxfId="6509" priority="6493">
      <formula>$F101="Ventes Sicli"</formula>
    </cfRule>
    <cfRule type="expression" dxfId="6508" priority="6494">
      <formula>$F101="Ventes Chubb"</formula>
    </cfRule>
    <cfRule type="expression" dxfId="6507" priority="6495">
      <formula>$F101="SAV Sicli"</formula>
    </cfRule>
    <cfRule type="expression" dxfId="6506" priority="6496">
      <formula>$F101="SAV Chubb"</formula>
    </cfRule>
    <cfRule type="expression" dxfId="6505" priority="6497">
      <formula>$F101="Réalisation"</formula>
    </cfRule>
    <cfRule type="expression" dxfId="6504" priority="6498">
      <formula>$F101="Désenfumage"</formula>
    </cfRule>
    <cfRule type="expression" dxfId="6503" priority="6499">
      <formula>$F101="Administratif"</formula>
    </cfRule>
  </conditionalFormatting>
  <conditionalFormatting sqref="C101:D101">
    <cfRule type="expression" dxfId="6502" priority="6490">
      <formula>$H101="non"</formula>
    </cfRule>
  </conditionalFormatting>
  <conditionalFormatting sqref="C100:D100">
    <cfRule type="expression" dxfId="6501" priority="6481">
      <formula>$F100="Formation CCF"</formula>
    </cfRule>
    <cfRule type="expression" dxfId="6500" priority="6482">
      <formula>$F100="Direction"</formula>
    </cfRule>
    <cfRule type="expression" dxfId="6499" priority="6483">
      <formula>$F100="Ventes Sicli"</formula>
    </cfRule>
    <cfRule type="expression" dxfId="6498" priority="6484">
      <formula>$F100="Ventes Chubb"</formula>
    </cfRule>
    <cfRule type="expression" dxfId="6497" priority="6485">
      <formula>$F100="SAV Sicli"</formula>
    </cfRule>
    <cfRule type="expression" dxfId="6496" priority="6486">
      <formula>$F100="SAV Chubb"</formula>
    </cfRule>
    <cfRule type="expression" dxfId="6495" priority="6487">
      <formula>$F100="Réalisation"</formula>
    </cfRule>
    <cfRule type="expression" dxfId="6494" priority="6488">
      <formula>$F100="Désenfumage"</formula>
    </cfRule>
    <cfRule type="expression" dxfId="6493" priority="6489">
      <formula>$F100="Administratif"</formula>
    </cfRule>
  </conditionalFormatting>
  <conditionalFormatting sqref="C100:D100">
    <cfRule type="expression" dxfId="6492" priority="6480">
      <formula>$H100="non"</formula>
    </cfRule>
  </conditionalFormatting>
  <conditionalFormatting sqref="C104:D104">
    <cfRule type="expression" dxfId="6491" priority="6461">
      <formula>$F104="Formation CCF"</formula>
    </cfRule>
    <cfRule type="expression" dxfId="6490" priority="6462">
      <formula>$F104="Direction"</formula>
    </cfRule>
    <cfRule type="expression" dxfId="6489" priority="6463">
      <formula>$F104="Ventes Sicli"</formula>
    </cfRule>
    <cfRule type="expression" dxfId="6488" priority="6464">
      <formula>$F104="Ventes Chubb"</formula>
    </cfRule>
    <cfRule type="expression" dxfId="6487" priority="6465">
      <formula>$F104="SAV Sicli"</formula>
    </cfRule>
    <cfRule type="expression" dxfId="6486" priority="6466">
      <formula>$F104="SAV Chubb"</formula>
    </cfRule>
    <cfRule type="expression" dxfId="6485" priority="6467">
      <formula>$F104="Réalisation"</formula>
    </cfRule>
    <cfRule type="expression" dxfId="6484" priority="6468">
      <formula>$F104="Désenfumage"</formula>
    </cfRule>
    <cfRule type="expression" dxfId="6483" priority="6469">
      <formula>$F104="Administratif"</formula>
    </cfRule>
  </conditionalFormatting>
  <conditionalFormatting sqref="C104:D104">
    <cfRule type="expression" dxfId="6482" priority="6460">
      <formula>$H104="non"</formula>
    </cfRule>
  </conditionalFormatting>
  <conditionalFormatting sqref="C103:D103">
    <cfRule type="expression" dxfId="6481" priority="6451">
      <formula>$F103="Formation CCF"</formula>
    </cfRule>
    <cfRule type="expression" dxfId="6480" priority="6452">
      <formula>$F103="Direction"</formula>
    </cfRule>
    <cfRule type="expression" dxfId="6479" priority="6453">
      <formula>$F103="Ventes Sicli"</formula>
    </cfRule>
    <cfRule type="expression" dxfId="6478" priority="6454">
      <formula>$F103="Ventes Chubb"</formula>
    </cfRule>
    <cfRule type="expression" dxfId="6477" priority="6455">
      <formula>$F103="SAV Sicli"</formula>
    </cfRule>
    <cfRule type="expression" dxfId="6476" priority="6456">
      <formula>$F103="SAV Chubb"</formula>
    </cfRule>
    <cfRule type="expression" dxfId="6475" priority="6457">
      <formula>$F103="Réalisation"</formula>
    </cfRule>
    <cfRule type="expression" dxfId="6474" priority="6458">
      <formula>$F103="Désenfumage"</formula>
    </cfRule>
    <cfRule type="expression" dxfId="6473" priority="6459">
      <formula>$F103="Administratif"</formula>
    </cfRule>
  </conditionalFormatting>
  <conditionalFormatting sqref="C103:D103">
    <cfRule type="expression" dxfId="6472" priority="6450">
      <formula>$H103="non"</formula>
    </cfRule>
  </conditionalFormatting>
  <conditionalFormatting sqref="C102:D102">
    <cfRule type="expression" dxfId="6471" priority="6441">
      <formula>$F102="Formation CCF"</formula>
    </cfRule>
    <cfRule type="expression" dxfId="6470" priority="6442">
      <formula>$F102="Direction"</formula>
    </cfRule>
    <cfRule type="expression" dxfId="6469" priority="6443">
      <formula>$F102="Ventes Sicli"</formula>
    </cfRule>
    <cfRule type="expression" dxfId="6468" priority="6444">
      <formula>$F102="Ventes Chubb"</formula>
    </cfRule>
    <cfRule type="expression" dxfId="6467" priority="6445">
      <formula>$F102="SAV Sicli"</formula>
    </cfRule>
    <cfRule type="expression" dxfId="6466" priority="6446">
      <formula>$F102="SAV Chubb"</formula>
    </cfRule>
    <cfRule type="expression" dxfId="6465" priority="6447">
      <formula>$F102="Réalisation"</formula>
    </cfRule>
    <cfRule type="expression" dxfId="6464" priority="6448">
      <formula>$F102="Désenfumage"</formula>
    </cfRule>
    <cfRule type="expression" dxfId="6463" priority="6449">
      <formula>$F102="Administratif"</formula>
    </cfRule>
  </conditionalFormatting>
  <conditionalFormatting sqref="C102:D102">
    <cfRule type="expression" dxfId="6462" priority="6440">
      <formula>$H102="non"</formula>
    </cfRule>
  </conditionalFormatting>
  <conditionalFormatting sqref="C101:D101">
    <cfRule type="expression" dxfId="6461" priority="6431">
      <formula>$F101="Formation CCF"</formula>
    </cfRule>
    <cfRule type="expression" dxfId="6460" priority="6432">
      <formula>$F101="Direction"</formula>
    </cfRule>
    <cfRule type="expression" dxfId="6459" priority="6433">
      <formula>$F101="Ventes Sicli"</formula>
    </cfRule>
    <cfRule type="expression" dxfId="6458" priority="6434">
      <formula>$F101="Ventes Chubb"</formula>
    </cfRule>
    <cfRule type="expression" dxfId="6457" priority="6435">
      <formula>$F101="SAV Sicli"</formula>
    </cfRule>
    <cfRule type="expression" dxfId="6456" priority="6436">
      <formula>$F101="SAV Chubb"</formula>
    </cfRule>
    <cfRule type="expression" dxfId="6455" priority="6437">
      <formula>$F101="Réalisation"</formula>
    </cfRule>
    <cfRule type="expression" dxfId="6454" priority="6438">
      <formula>$F101="Désenfumage"</formula>
    </cfRule>
    <cfRule type="expression" dxfId="6453" priority="6439">
      <formula>$F101="Administratif"</formula>
    </cfRule>
  </conditionalFormatting>
  <conditionalFormatting sqref="C101:D101">
    <cfRule type="expression" dxfId="6452" priority="6430">
      <formula>$H101="non"</formula>
    </cfRule>
  </conditionalFormatting>
  <conditionalFormatting sqref="C100:D100">
    <cfRule type="expression" dxfId="6451" priority="6421">
      <formula>$F100="Formation CCF"</formula>
    </cfRule>
    <cfRule type="expression" dxfId="6450" priority="6422">
      <formula>$F100="Direction"</formula>
    </cfRule>
    <cfRule type="expression" dxfId="6449" priority="6423">
      <formula>$F100="Ventes Sicli"</formula>
    </cfRule>
    <cfRule type="expression" dxfId="6448" priority="6424">
      <formula>$F100="Ventes Chubb"</formula>
    </cfRule>
    <cfRule type="expression" dxfId="6447" priority="6425">
      <formula>$F100="SAV Sicli"</formula>
    </cfRule>
    <cfRule type="expression" dxfId="6446" priority="6426">
      <formula>$F100="SAV Chubb"</formula>
    </cfRule>
    <cfRule type="expression" dxfId="6445" priority="6427">
      <formula>$F100="Réalisation"</formula>
    </cfRule>
    <cfRule type="expression" dxfId="6444" priority="6428">
      <formula>$F100="Désenfumage"</formula>
    </cfRule>
    <cfRule type="expression" dxfId="6443" priority="6429">
      <formula>$F100="Administratif"</formula>
    </cfRule>
  </conditionalFormatting>
  <conditionalFormatting sqref="C100:D100">
    <cfRule type="expression" dxfId="6442" priority="6420">
      <formula>$H100="non"</formula>
    </cfRule>
  </conditionalFormatting>
  <conditionalFormatting sqref="D98">
    <cfRule type="expression" dxfId="6441" priority="6411">
      <formula>$F98="Formation CCF"</formula>
    </cfRule>
    <cfRule type="expression" dxfId="6440" priority="6412">
      <formula>$F98="Direction"</formula>
    </cfRule>
    <cfRule type="expression" dxfId="6439" priority="6413">
      <formula>$F98="Ventes Sicli"</formula>
    </cfRule>
    <cfRule type="expression" dxfId="6438" priority="6414">
      <formula>$F98="Ventes Chubb"</formula>
    </cfRule>
    <cfRule type="expression" dxfId="6437" priority="6415">
      <formula>$F98="SAV Sicli"</formula>
    </cfRule>
    <cfRule type="expression" dxfId="6436" priority="6416">
      <formula>$F98="SAV Chubb"</formula>
    </cfRule>
    <cfRule type="expression" dxfId="6435" priority="6417">
      <formula>$F98="Réalisation"</formula>
    </cfRule>
    <cfRule type="expression" dxfId="6434" priority="6418">
      <formula>$F98="Désenfumage"</formula>
    </cfRule>
    <cfRule type="expression" dxfId="6433" priority="6419">
      <formula>$F98="Administratif"</formula>
    </cfRule>
  </conditionalFormatting>
  <conditionalFormatting sqref="D98">
    <cfRule type="expression" dxfId="6432" priority="6410">
      <formula>$H98="non"</formula>
    </cfRule>
  </conditionalFormatting>
  <conditionalFormatting sqref="C103:D103">
    <cfRule type="expression" dxfId="6431" priority="6401">
      <formula>$F103="Formation CCF"</formula>
    </cfRule>
    <cfRule type="expression" dxfId="6430" priority="6402">
      <formula>$F103="Direction"</formula>
    </cfRule>
    <cfRule type="expression" dxfId="6429" priority="6403">
      <formula>$F103="Ventes Sicli"</formula>
    </cfRule>
    <cfRule type="expression" dxfId="6428" priority="6404">
      <formula>$F103="Ventes Chubb"</formula>
    </cfRule>
    <cfRule type="expression" dxfId="6427" priority="6405">
      <formula>$F103="SAV Sicli"</formula>
    </cfRule>
    <cfRule type="expression" dxfId="6426" priority="6406">
      <formula>$F103="SAV Chubb"</formula>
    </cfRule>
    <cfRule type="expression" dxfId="6425" priority="6407">
      <formula>$F103="Réalisation"</formula>
    </cfRule>
    <cfRule type="expression" dxfId="6424" priority="6408">
      <formula>$F103="Désenfumage"</formula>
    </cfRule>
    <cfRule type="expression" dxfId="6423" priority="6409">
      <formula>$F103="Administratif"</formula>
    </cfRule>
  </conditionalFormatting>
  <conditionalFormatting sqref="C103:D103">
    <cfRule type="expression" dxfId="6422" priority="6400">
      <formula>$H103="non"</formula>
    </cfRule>
  </conditionalFormatting>
  <conditionalFormatting sqref="C102:D102">
    <cfRule type="expression" dxfId="6421" priority="6391">
      <formula>$F102="Formation CCF"</formula>
    </cfRule>
    <cfRule type="expression" dxfId="6420" priority="6392">
      <formula>$F102="Direction"</formula>
    </cfRule>
    <cfRule type="expression" dxfId="6419" priority="6393">
      <formula>$F102="Ventes Sicli"</formula>
    </cfRule>
    <cfRule type="expression" dxfId="6418" priority="6394">
      <formula>$F102="Ventes Chubb"</formula>
    </cfRule>
    <cfRule type="expression" dxfId="6417" priority="6395">
      <formula>$F102="SAV Sicli"</formula>
    </cfRule>
    <cfRule type="expression" dxfId="6416" priority="6396">
      <formula>$F102="SAV Chubb"</formula>
    </cfRule>
    <cfRule type="expression" dxfId="6415" priority="6397">
      <formula>$F102="Réalisation"</formula>
    </cfRule>
    <cfRule type="expression" dxfId="6414" priority="6398">
      <formula>$F102="Désenfumage"</formula>
    </cfRule>
    <cfRule type="expression" dxfId="6413" priority="6399">
      <formula>$F102="Administratif"</formula>
    </cfRule>
  </conditionalFormatting>
  <conditionalFormatting sqref="C102:D102">
    <cfRule type="expression" dxfId="6412" priority="6390">
      <formula>$H102="non"</formula>
    </cfRule>
  </conditionalFormatting>
  <conditionalFormatting sqref="C101:D101">
    <cfRule type="expression" dxfId="6411" priority="6381">
      <formula>$F101="Formation CCF"</formula>
    </cfRule>
    <cfRule type="expression" dxfId="6410" priority="6382">
      <formula>$F101="Direction"</formula>
    </cfRule>
    <cfRule type="expression" dxfId="6409" priority="6383">
      <formula>$F101="Ventes Sicli"</formula>
    </cfRule>
    <cfRule type="expression" dxfId="6408" priority="6384">
      <formula>$F101="Ventes Chubb"</formula>
    </cfRule>
    <cfRule type="expression" dxfId="6407" priority="6385">
      <formula>$F101="SAV Sicli"</formula>
    </cfRule>
    <cfRule type="expression" dxfId="6406" priority="6386">
      <formula>$F101="SAV Chubb"</formula>
    </cfRule>
    <cfRule type="expression" dxfId="6405" priority="6387">
      <formula>$F101="Réalisation"</formula>
    </cfRule>
    <cfRule type="expression" dxfId="6404" priority="6388">
      <formula>$F101="Désenfumage"</formula>
    </cfRule>
    <cfRule type="expression" dxfId="6403" priority="6389">
      <formula>$F101="Administratif"</formula>
    </cfRule>
  </conditionalFormatting>
  <conditionalFormatting sqref="C101:D101">
    <cfRule type="expression" dxfId="6402" priority="6380">
      <formula>$H101="non"</formula>
    </cfRule>
  </conditionalFormatting>
  <conditionalFormatting sqref="C100:D100">
    <cfRule type="expression" dxfId="6401" priority="6371">
      <formula>$F100="Formation CCF"</formula>
    </cfRule>
    <cfRule type="expression" dxfId="6400" priority="6372">
      <formula>$F100="Direction"</formula>
    </cfRule>
    <cfRule type="expression" dxfId="6399" priority="6373">
      <formula>$F100="Ventes Sicli"</formula>
    </cfRule>
    <cfRule type="expression" dxfId="6398" priority="6374">
      <formula>$F100="Ventes Chubb"</formula>
    </cfRule>
    <cfRule type="expression" dxfId="6397" priority="6375">
      <formula>$F100="SAV Sicli"</formula>
    </cfRule>
    <cfRule type="expression" dxfId="6396" priority="6376">
      <formula>$F100="SAV Chubb"</formula>
    </cfRule>
    <cfRule type="expression" dxfId="6395" priority="6377">
      <formula>$F100="Réalisation"</formula>
    </cfRule>
    <cfRule type="expression" dxfId="6394" priority="6378">
      <formula>$F100="Désenfumage"</formula>
    </cfRule>
    <cfRule type="expression" dxfId="6393" priority="6379">
      <formula>$F100="Administratif"</formula>
    </cfRule>
  </conditionalFormatting>
  <conditionalFormatting sqref="C100:D100">
    <cfRule type="expression" dxfId="6392" priority="6370">
      <formula>$H100="non"</formula>
    </cfRule>
  </conditionalFormatting>
  <conditionalFormatting sqref="C99:D99">
    <cfRule type="expression" dxfId="6391" priority="6361">
      <formula>$F99="Formation CCF"</formula>
    </cfRule>
    <cfRule type="expression" dxfId="6390" priority="6362">
      <formula>$F99="Direction"</formula>
    </cfRule>
    <cfRule type="expression" dxfId="6389" priority="6363">
      <formula>$F99="Ventes Sicli"</formula>
    </cfRule>
    <cfRule type="expression" dxfId="6388" priority="6364">
      <formula>$F99="Ventes Chubb"</formula>
    </cfRule>
    <cfRule type="expression" dxfId="6387" priority="6365">
      <formula>$F99="SAV Sicli"</formula>
    </cfRule>
    <cfRule type="expression" dxfId="6386" priority="6366">
      <formula>$F99="SAV Chubb"</formula>
    </cfRule>
    <cfRule type="expression" dxfId="6385" priority="6367">
      <formula>$F99="Réalisation"</formula>
    </cfRule>
    <cfRule type="expression" dxfId="6384" priority="6368">
      <formula>$F99="Désenfumage"</formula>
    </cfRule>
    <cfRule type="expression" dxfId="6383" priority="6369">
      <formula>$F99="Administratif"</formula>
    </cfRule>
  </conditionalFormatting>
  <conditionalFormatting sqref="C99:D99">
    <cfRule type="expression" dxfId="6382" priority="6360">
      <formula>$H99="non"</formula>
    </cfRule>
  </conditionalFormatting>
  <conditionalFormatting sqref="C92:D92">
    <cfRule type="expression" dxfId="6381" priority="6351">
      <formula>$F92="Formation CCF"</formula>
    </cfRule>
    <cfRule type="expression" dxfId="6380" priority="6352">
      <formula>$F92="Direction"</formula>
    </cfRule>
    <cfRule type="expression" dxfId="6379" priority="6353">
      <formula>$F92="Ventes Sicli"</formula>
    </cfRule>
    <cfRule type="expression" dxfId="6378" priority="6354">
      <formula>$F92="Ventes Chubb"</formula>
    </cfRule>
    <cfRule type="expression" dxfId="6377" priority="6355">
      <formula>$F92="SAV Sicli"</formula>
    </cfRule>
    <cfRule type="expression" dxfId="6376" priority="6356">
      <formula>$F92="SAV Chubb"</formula>
    </cfRule>
    <cfRule type="expression" dxfId="6375" priority="6357">
      <formula>$F92="Réalisation"</formula>
    </cfRule>
    <cfRule type="expression" dxfId="6374" priority="6358">
      <formula>$F92="Désenfumage"</formula>
    </cfRule>
    <cfRule type="expression" dxfId="6373" priority="6359">
      <formula>$F92="Administratif"</formula>
    </cfRule>
  </conditionalFormatting>
  <conditionalFormatting sqref="C92:D92">
    <cfRule type="expression" dxfId="6372" priority="6350">
      <formula>$H92="non"</formula>
    </cfRule>
  </conditionalFormatting>
  <conditionalFormatting sqref="C91:D91">
    <cfRule type="expression" dxfId="6371" priority="6341">
      <formula>$F91="Formation CCF"</formula>
    </cfRule>
    <cfRule type="expression" dxfId="6370" priority="6342">
      <formula>$F91="Direction"</formula>
    </cfRule>
    <cfRule type="expression" dxfId="6369" priority="6343">
      <formula>$F91="Ventes Sicli"</formula>
    </cfRule>
    <cfRule type="expression" dxfId="6368" priority="6344">
      <formula>$F91="Ventes Chubb"</formula>
    </cfRule>
    <cfRule type="expression" dxfId="6367" priority="6345">
      <formula>$F91="SAV Sicli"</formula>
    </cfRule>
    <cfRule type="expression" dxfId="6366" priority="6346">
      <formula>$F91="SAV Chubb"</formula>
    </cfRule>
    <cfRule type="expression" dxfId="6365" priority="6347">
      <formula>$F91="Réalisation"</formula>
    </cfRule>
    <cfRule type="expression" dxfId="6364" priority="6348">
      <formula>$F91="Désenfumage"</formula>
    </cfRule>
    <cfRule type="expression" dxfId="6363" priority="6349">
      <formula>$F91="Administratif"</formula>
    </cfRule>
  </conditionalFormatting>
  <conditionalFormatting sqref="C91:D91">
    <cfRule type="expression" dxfId="6362" priority="6340">
      <formula>$H91="non"</formula>
    </cfRule>
  </conditionalFormatting>
  <conditionalFormatting sqref="C90:D90">
    <cfRule type="expression" dxfId="6361" priority="6331">
      <formula>$F90="Formation CCF"</formula>
    </cfRule>
    <cfRule type="expression" dxfId="6360" priority="6332">
      <formula>$F90="Direction"</formula>
    </cfRule>
    <cfRule type="expression" dxfId="6359" priority="6333">
      <formula>$F90="Ventes Sicli"</formula>
    </cfRule>
    <cfRule type="expression" dxfId="6358" priority="6334">
      <formula>$F90="Ventes Chubb"</formula>
    </cfRule>
    <cfRule type="expression" dxfId="6357" priority="6335">
      <formula>$F90="SAV Sicli"</formula>
    </cfRule>
    <cfRule type="expression" dxfId="6356" priority="6336">
      <formula>$F90="SAV Chubb"</formula>
    </cfRule>
    <cfRule type="expression" dxfId="6355" priority="6337">
      <formula>$F90="Réalisation"</formula>
    </cfRule>
    <cfRule type="expression" dxfId="6354" priority="6338">
      <formula>$F90="Désenfumage"</formula>
    </cfRule>
    <cfRule type="expression" dxfId="6353" priority="6339">
      <formula>$F90="Administratif"</formula>
    </cfRule>
  </conditionalFormatting>
  <conditionalFormatting sqref="C90:D90">
    <cfRule type="expression" dxfId="6352" priority="6330">
      <formula>$H90="non"</formula>
    </cfRule>
  </conditionalFormatting>
  <conditionalFormatting sqref="C89:D89">
    <cfRule type="expression" dxfId="6351" priority="6321">
      <formula>$F89="Formation CCF"</formula>
    </cfRule>
    <cfRule type="expression" dxfId="6350" priority="6322">
      <formula>$F89="Direction"</formula>
    </cfRule>
    <cfRule type="expression" dxfId="6349" priority="6323">
      <formula>$F89="Ventes Sicli"</formula>
    </cfRule>
    <cfRule type="expression" dxfId="6348" priority="6324">
      <formula>$F89="Ventes Chubb"</formula>
    </cfRule>
    <cfRule type="expression" dxfId="6347" priority="6325">
      <formula>$F89="SAV Sicli"</formula>
    </cfRule>
    <cfRule type="expression" dxfId="6346" priority="6326">
      <formula>$F89="SAV Chubb"</formula>
    </cfRule>
    <cfRule type="expression" dxfId="6345" priority="6327">
      <formula>$F89="Réalisation"</formula>
    </cfRule>
    <cfRule type="expression" dxfId="6344" priority="6328">
      <formula>$F89="Désenfumage"</formula>
    </cfRule>
    <cfRule type="expression" dxfId="6343" priority="6329">
      <formula>$F89="Administratif"</formula>
    </cfRule>
  </conditionalFormatting>
  <conditionalFormatting sqref="C89:D89">
    <cfRule type="expression" dxfId="6342" priority="6320">
      <formula>$H89="non"</formula>
    </cfRule>
  </conditionalFormatting>
  <conditionalFormatting sqref="C88:D88">
    <cfRule type="expression" dxfId="6341" priority="6311">
      <formula>$F88="Formation CCF"</formula>
    </cfRule>
    <cfRule type="expression" dxfId="6340" priority="6312">
      <formula>$F88="Direction"</formula>
    </cfRule>
    <cfRule type="expression" dxfId="6339" priority="6313">
      <formula>$F88="Ventes Sicli"</formula>
    </cfRule>
    <cfRule type="expression" dxfId="6338" priority="6314">
      <formula>$F88="Ventes Chubb"</formula>
    </cfRule>
    <cfRule type="expression" dxfId="6337" priority="6315">
      <formula>$F88="SAV Sicli"</formula>
    </cfRule>
    <cfRule type="expression" dxfId="6336" priority="6316">
      <formula>$F88="SAV Chubb"</formula>
    </cfRule>
    <cfRule type="expression" dxfId="6335" priority="6317">
      <formula>$F88="Réalisation"</formula>
    </cfRule>
    <cfRule type="expression" dxfId="6334" priority="6318">
      <formula>$F88="Désenfumage"</formula>
    </cfRule>
    <cfRule type="expression" dxfId="6333" priority="6319">
      <formula>$F88="Administratif"</formula>
    </cfRule>
  </conditionalFormatting>
  <conditionalFormatting sqref="C88:D88">
    <cfRule type="expression" dxfId="6332" priority="6310">
      <formula>$H88="non"</formula>
    </cfRule>
  </conditionalFormatting>
  <conditionalFormatting sqref="D94">
    <cfRule type="expression" dxfId="6331" priority="6301">
      <formula>$F94="Formation CCF"</formula>
    </cfRule>
    <cfRule type="expression" dxfId="6330" priority="6302">
      <formula>$F94="Direction"</formula>
    </cfRule>
    <cfRule type="expression" dxfId="6329" priority="6303">
      <formula>$F94="Ventes Sicli"</formula>
    </cfRule>
    <cfRule type="expression" dxfId="6328" priority="6304">
      <formula>$F94="Ventes Chubb"</formula>
    </cfRule>
    <cfRule type="expression" dxfId="6327" priority="6305">
      <formula>$F94="SAV Sicli"</formula>
    </cfRule>
    <cfRule type="expression" dxfId="6326" priority="6306">
      <formula>$F94="SAV Chubb"</formula>
    </cfRule>
    <cfRule type="expression" dxfId="6325" priority="6307">
      <formula>$F94="Réalisation"</formula>
    </cfRule>
    <cfRule type="expression" dxfId="6324" priority="6308">
      <formula>$F94="Désenfumage"</formula>
    </cfRule>
    <cfRule type="expression" dxfId="6323" priority="6309">
      <formula>$F94="Administratif"</formula>
    </cfRule>
  </conditionalFormatting>
  <conditionalFormatting sqref="D94">
    <cfRule type="expression" dxfId="6322" priority="6300">
      <formula>$H94="non"</formula>
    </cfRule>
  </conditionalFormatting>
  <conditionalFormatting sqref="C88:D88">
    <cfRule type="expression" dxfId="6321" priority="6291">
      <formula>$F88="Formation CCF"</formula>
    </cfRule>
    <cfRule type="expression" dxfId="6320" priority="6292">
      <formula>$F88="Direction"</formula>
    </cfRule>
    <cfRule type="expression" dxfId="6319" priority="6293">
      <formula>$F88="Ventes Sicli"</formula>
    </cfRule>
    <cfRule type="expression" dxfId="6318" priority="6294">
      <formula>$F88="Ventes Chubb"</formula>
    </cfRule>
    <cfRule type="expression" dxfId="6317" priority="6295">
      <formula>$F88="SAV Sicli"</formula>
    </cfRule>
    <cfRule type="expression" dxfId="6316" priority="6296">
      <formula>$F88="SAV Chubb"</formula>
    </cfRule>
    <cfRule type="expression" dxfId="6315" priority="6297">
      <formula>$F88="Réalisation"</formula>
    </cfRule>
    <cfRule type="expression" dxfId="6314" priority="6298">
      <formula>$F88="Désenfumage"</formula>
    </cfRule>
    <cfRule type="expression" dxfId="6313" priority="6299">
      <formula>$F88="Administratif"</formula>
    </cfRule>
  </conditionalFormatting>
  <conditionalFormatting sqref="C88:D88">
    <cfRule type="expression" dxfId="6312" priority="6290">
      <formula>$H88="non"</formula>
    </cfRule>
  </conditionalFormatting>
  <conditionalFormatting sqref="C88:D88">
    <cfRule type="expression" dxfId="6311" priority="6281">
      <formula>$F88="Formation CCF"</formula>
    </cfRule>
    <cfRule type="expression" dxfId="6310" priority="6282">
      <formula>$F88="Direction"</formula>
    </cfRule>
    <cfRule type="expression" dxfId="6309" priority="6283">
      <formula>$F88="Ventes Sicli"</formula>
    </cfRule>
    <cfRule type="expression" dxfId="6308" priority="6284">
      <formula>$F88="Ventes Chubb"</formula>
    </cfRule>
    <cfRule type="expression" dxfId="6307" priority="6285">
      <formula>$F88="SAV Sicli"</formula>
    </cfRule>
    <cfRule type="expression" dxfId="6306" priority="6286">
      <formula>$F88="SAV Chubb"</formula>
    </cfRule>
    <cfRule type="expression" dxfId="6305" priority="6287">
      <formula>$F88="Réalisation"</formula>
    </cfRule>
    <cfRule type="expression" dxfId="6304" priority="6288">
      <formula>$F88="Désenfumage"</formula>
    </cfRule>
    <cfRule type="expression" dxfId="6303" priority="6289">
      <formula>$F88="Administratif"</formula>
    </cfRule>
  </conditionalFormatting>
  <conditionalFormatting sqref="C88:D88">
    <cfRule type="expression" dxfId="6302" priority="6280">
      <formula>$H88="non"</formula>
    </cfRule>
  </conditionalFormatting>
  <conditionalFormatting sqref="D92">
    <cfRule type="expression" dxfId="6301" priority="6271">
      <formula>$F92="Formation CCF"</formula>
    </cfRule>
    <cfRule type="expression" dxfId="6300" priority="6272">
      <formula>$F92="Direction"</formula>
    </cfRule>
    <cfRule type="expression" dxfId="6299" priority="6273">
      <formula>$F92="Ventes Sicli"</formula>
    </cfRule>
    <cfRule type="expression" dxfId="6298" priority="6274">
      <formula>$F92="Ventes Chubb"</formula>
    </cfRule>
    <cfRule type="expression" dxfId="6297" priority="6275">
      <formula>$F92="SAV Sicli"</formula>
    </cfRule>
    <cfRule type="expression" dxfId="6296" priority="6276">
      <formula>$F92="SAV Chubb"</formula>
    </cfRule>
    <cfRule type="expression" dxfId="6295" priority="6277">
      <formula>$F92="Réalisation"</formula>
    </cfRule>
    <cfRule type="expression" dxfId="6294" priority="6278">
      <formula>$F92="Désenfumage"</formula>
    </cfRule>
    <cfRule type="expression" dxfId="6293" priority="6279">
      <formula>$F92="Administratif"</formula>
    </cfRule>
  </conditionalFormatting>
  <conditionalFormatting sqref="D92">
    <cfRule type="expression" dxfId="6292" priority="6270">
      <formula>$H92="non"</formula>
    </cfRule>
  </conditionalFormatting>
  <conditionalFormatting sqref="D97">
    <cfRule type="expression" dxfId="6291" priority="6261">
      <formula>$F97="Formation CCF"</formula>
    </cfRule>
    <cfRule type="expression" dxfId="6290" priority="6262">
      <formula>$F97="Direction"</formula>
    </cfRule>
    <cfRule type="expression" dxfId="6289" priority="6263">
      <formula>$F97="Ventes Sicli"</formula>
    </cfRule>
    <cfRule type="expression" dxfId="6288" priority="6264">
      <formula>$F97="Ventes Chubb"</formula>
    </cfRule>
    <cfRule type="expression" dxfId="6287" priority="6265">
      <formula>$F97="SAV Sicli"</formula>
    </cfRule>
    <cfRule type="expression" dxfId="6286" priority="6266">
      <formula>$F97="SAV Chubb"</formula>
    </cfRule>
    <cfRule type="expression" dxfId="6285" priority="6267">
      <formula>$F97="Réalisation"</formula>
    </cfRule>
    <cfRule type="expression" dxfId="6284" priority="6268">
      <formula>$F97="Désenfumage"</formula>
    </cfRule>
    <cfRule type="expression" dxfId="6283" priority="6269">
      <formula>$F97="Administratif"</formula>
    </cfRule>
  </conditionalFormatting>
  <conditionalFormatting sqref="D97">
    <cfRule type="expression" dxfId="6282" priority="6260">
      <formula>$H97="non"</formula>
    </cfRule>
  </conditionalFormatting>
  <conditionalFormatting sqref="D96">
    <cfRule type="expression" dxfId="6281" priority="6251">
      <formula>$F96="Formation CCF"</formula>
    </cfRule>
    <cfRule type="expression" dxfId="6280" priority="6252">
      <formula>$F96="Direction"</formula>
    </cfRule>
    <cfRule type="expression" dxfId="6279" priority="6253">
      <formula>$F96="Ventes Sicli"</formula>
    </cfRule>
    <cfRule type="expression" dxfId="6278" priority="6254">
      <formula>$F96="Ventes Chubb"</formula>
    </cfRule>
    <cfRule type="expression" dxfId="6277" priority="6255">
      <formula>$F96="SAV Sicli"</formula>
    </cfRule>
    <cfRule type="expression" dxfId="6276" priority="6256">
      <formula>$F96="SAV Chubb"</formula>
    </cfRule>
    <cfRule type="expression" dxfId="6275" priority="6257">
      <formula>$F96="Réalisation"</formula>
    </cfRule>
    <cfRule type="expression" dxfId="6274" priority="6258">
      <formula>$F96="Désenfumage"</formula>
    </cfRule>
    <cfRule type="expression" dxfId="6273" priority="6259">
      <formula>$F96="Administratif"</formula>
    </cfRule>
  </conditionalFormatting>
  <conditionalFormatting sqref="D96">
    <cfRule type="expression" dxfId="6272" priority="6250">
      <formula>$H96="non"</formula>
    </cfRule>
  </conditionalFormatting>
  <conditionalFormatting sqref="D95">
    <cfRule type="expression" dxfId="6271" priority="6241">
      <formula>$F95="Formation CCF"</formula>
    </cfRule>
    <cfRule type="expression" dxfId="6270" priority="6242">
      <formula>$F95="Direction"</formula>
    </cfRule>
    <cfRule type="expression" dxfId="6269" priority="6243">
      <formula>$F95="Ventes Sicli"</formula>
    </cfRule>
    <cfRule type="expression" dxfId="6268" priority="6244">
      <formula>$F95="Ventes Chubb"</formula>
    </cfRule>
    <cfRule type="expression" dxfId="6267" priority="6245">
      <formula>$F95="SAV Sicli"</formula>
    </cfRule>
    <cfRule type="expression" dxfId="6266" priority="6246">
      <formula>$F95="SAV Chubb"</formula>
    </cfRule>
    <cfRule type="expression" dxfId="6265" priority="6247">
      <formula>$F95="Réalisation"</formula>
    </cfRule>
    <cfRule type="expression" dxfId="6264" priority="6248">
      <formula>$F95="Désenfumage"</formula>
    </cfRule>
    <cfRule type="expression" dxfId="6263" priority="6249">
      <formula>$F95="Administratif"</formula>
    </cfRule>
  </conditionalFormatting>
  <conditionalFormatting sqref="D95">
    <cfRule type="expression" dxfId="6262" priority="6240">
      <formula>$H95="non"</formula>
    </cfRule>
  </conditionalFormatting>
  <conditionalFormatting sqref="D94">
    <cfRule type="expression" dxfId="6261" priority="6231">
      <formula>$F94="Formation CCF"</formula>
    </cfRule>
    <cfRule type="expression" dxfId="6260" priority="6232">
      <formula>$F94="Direction"</formula>
    </cfRule>
    <cfRule type="expression" dxfId="6259" priority="6233">
      <formula>$F94="Ventes Sicli"</formula>
    </cfRule>
    <cfRule type="expression" dxfId="6258" priority="6234">
      <formula>$F94="Ventes Chubb"</formula>
    </cfRule>
    <cfRule type="expression" dxfId="6257" priority="6235">
      <formula>$F94="SAV Sicli"</formula>
    </cfRule>
    <cfRule type="expression" dxfId="6256" priority="6236">
      <formula>$F94="SAV Chubb"</formula>
    </cfRule>
    <cfRule type="expression" dxfId="6255" priority="6237">
      <formula>$F94="Réalisation"</formula>
    </cfRule>
    <cfRule type="expression" dxfId="6254" priority="6238">
      <formula>$F94="Désenfumage"</formula>
    </cfRule>
    <cfRule type="expression" dxfId="6253" priority="6239">
      <formula>$F94="Administratif"</formula>
    </cfRule>
  </conditionalFormatting>
  <conditionalFormatting sqref="D94">
    <cfRule type="expression" dxfId="6252" priority="6230">
      <formula>$H94="non"</formula>
    </cfRule>
  </conditionalFormatting>
  <conditionalFormatting sqref="D93">
    <cfRule type="expression" dxfId="6251" priority="6221">
      <formula>$F93="Formation CCF"</formula>
    </cfRule>
    <cfRule type="expression" dxfId="6250" priority="6222">
      <formula>$F93="Direction"</formula>
    </cfRule>
    <cfRule type="expression" dxfId="6249" priority="6223">
      <formula>$F93="Ventes Sicli"</formula>
    </cfRule>
    <cfRule type="expression" dxfId="6248" priority="6224">
      <formula>$F93="Ventes Chubb"</formula>
    </cfRule>
    <cfRule type="expression" dxfId="6247" priority="6225">
      <formula>$F93="SAV Sicli"</formula>
    </cfRule>
    <cfRule type="expression" dxfId="6246" priority="6226">
      <formula>$F93="SAV Chubb"</formula>
    </cfRule>
    <cfRule type="expression" dxfId="6245" priority="6227">
      <formula>$F93="Réalisation"</formula>
    </cfRule>
    <cfRule type="expression" dxfId="6244" priority="6228">
      <formula>$F93="Désenfumage"</formula>
    </cfRule>
    <cfRule type="expression" dxfId="6243" priority="6229">
      <formula>$F93="Administratif"</formula>
    </cfRule>
  </conditionalFormatting>
  <conditionalFormatting sqref="D93">
    <cfRule type="expression" dxfId="6242" priority="6220">
      <formula>$H93="non"</formula>
    </cfRule>
  </conditionalFormatting>
  <conditionalFormatting sqref="D92">
    <cfRule type="expression" dxfId="6241" priority="6211">
      <formula>$F92="Formation CCF"</formula>
    </cfRule>
    <cfRule type="expression" dxfId="6240" priority="6212">
      <formula>$F92="Direction"</formula>
    </cfRule>
    <cfRule type="expression" dxfId="6239" priority="6213">
      <formula>$F92="Ventes Sicli"</formula>
    </cfRule>
    <cfRule type="expression" dxfId="6238" priority="6214">
      <formula>$F92="Ventes Chubb"</formula>
    </cfRule>
    <cfRule type="expression" dxfId="6237" priority="6215">
      <formula>$F92="SAV Sicli"</formula>
    </cfRule>
    <cfRule type="expression" dxfId="6236" priority="6216">
      <formula>$F92="SAV Chubb"</formula>
    </cfRule>
    <cfRule type="expression" dxfId="6235" priority="6217">
      <formula>$F92="Réalisation"</formula>
    </cfRule>
    <cfRule type="expression" dxfId="6234" priority="6218">
      <formula>$F92="Désenfumage"</formula>
    </cfRule>
    <cfRule type="expression" dxfId="6233" priority="6219">
      <formula>$F92="Administratif"</formula>
    </cfRule>
  </conditionalFormatting>
  <conditionalFormatting sqref="D92">
    <cfRule type="expression" dxfId="6232" priority="6210">
      <formula>$H92="non"</formula>
    </cfRule>
  </conditionalFormatting>
  <conditionalFormatting sqref="D91">
    <cfRule type="expression" dxfId="6231" priority="6201">
      <formula>$F91="Formation CCF"</formula>
    </cfRule>
    <cfRule type="expression" dxfId="6230" priority="6202">
      <formula>$F91="Direction"</formula>
    </cfRule>
    <cfRule type="expression" dxfId="6229" priority="6203">
      <formula>$F91="Ventes Sicli"</formula>
    </cfRule>
    <cfRule type="expression" dxfId="6228" priority="6204">
      <formula>$F91="Ventes Chubb"</formula>
    </cfRule>
    <cfRule type="expression" dxfId="6227" priority="6205">
      <formula>$F91="SAV Sicli"</formula>
    </cfRule>
    <cfRule type="expression" dxfId="6226" priority="6206">
      <formula>$F91="SAV Chubb"</formula>
    </cfRule>
    <cfRule type="expression" dxfId="6225" priority="6207">
      <formula>$F91="Réalisation"</formula>
    </cfRule>
    <cfRule type="expression" dxfId="6224" priority="6208">
      <formula>$F91="Désenfumage"</formula>
    </cfRule>
    <cfRule type="expression" dxfId="6223" priority="6209">
      <formula>$F91="Administratif"</formula>
    </cfRule>
  </conditionalFormatting>
  <conditionalFormatting sqref="D91">
    <cfRule type="expression" dxfId="6222" priority="6200">
      <formula>$H91="non"</formula>
    </cfRule>
  </conditionalFormatting>
  <conditionalFormatting sqref="D90">
    <cfRule type="expression" dxfId="6221" priority="6191">
      <formula>$F90="Formation CCF"</formula>
    </cfRule>
    <cfRule type="expression" dxfId="6220" priority="6192">
      <formula>$F90="Direction"</formula>
    </cfRule>
    <cfRule type="expression" dxfId="6219" priority="6193">
      <formula>$F90="Ventes Sicli"</formula>
    </cfRule>
    <cfRule type="expression" dxfId="6218" priority="6194">
      <formula>$F90="Ventes Chubb"</formula>
    </cfRule>
    <cfRule type="expression" dxfId="6217" priority="6195">
      <formula>$F90="SAV Sicli"</formula>
    </cfRule>
    <cfRule type="expression" dxfId="6216" priority="6196">
      <formula>$F90="SAV Chubb"</formula>
    </cfRule>
    <cfRule type="expression" dxfId="6215" priority="6197">
      <formula>$F90="Réalisation"</formula>
    </cfRule>
    <cfRule type="expression" dxfId="6214" priority="6198">
      <formula>$F90="Désenfumage"</formula>
    </cfRule>
    <cfRule type="expression" dxfId="6213" priority="6199">
      <formula>$F90="Administratif"</formula>
    </cfRule>
  </conditionalFormatting>
  <conditionalFormatting sqref="D90">
    <cfRule type="expression" dxfId="6212" priority="6190">
      <formula>$H90="non"</formula>
    </cfRule>
  </conditionalFormatting>
  <conditionalFormatting sqref="D89">
    <cfRule type="expression" dxfId="6211" priority="6181">
      <formula>$F89="Formation CCF"</formula>
    </cfRule>
    <cfRule type="expression" dxfId="6210" priority="6182">
      <formula>$F89="Direction"</formula>
    </cfRule>
    <cfRule type="expression" dxfId="6209" priority="6183">
      <formula>$F89="Ventes Sicli"</formula>
    </cfRule>
    <cfRule type="expression" dxfId="6208" priority="6184">
      <formula>$F89="Ventes Chubb"</formula>
    </cfRule>
    <cfRule type="expression" dxfId="6207" priority="6185">
      <formula>$F89="SAV Sicli"</formula>
    </cfRule>
    <cfRule type="expression" dxfId="6206" priority="6186">
      <formula>$F89="SAV Chubb"</formula>
    </cfRule>
    <cfRule type="expression" dxfId="6205" priority="6187">
      <formula>$F89="Réalisation"</formula>
    </cfRule>
    <cfRule type="expression" dxfId="6204" priority="6188">
      <formula>$F89="Désenfumage"</formula>
    </cfRule>
    <cfRule type="expression" dxfId="6203" priority="6189">
      <formula>$F89="Administratif"</formula>
    </cfRule>
  </conditionalFormatting>
  <conditionalFormatting sqref="D89">
    <cfRule type="expression" dxfId="6202" priority="6180">
      <formula>$H89="non"</formula>
    </cfRule>
  </conditionalFormatting>
  <conditionalFormatting sqref="D88">
    <cfRule type="expression" dxfId="6201" priority="6171">
      <formula>$F88="Formation CCF"</formula>
    </cfRule>
    <cfRule type="expression" dxfId="6200" priority="6172">
      <formula>$F88="Direction"</formula>
    </cfRule>
    <cfRule type="expression" dxfId="6199" priority="6173">
      <formula>$F88="Ventes Sicli"</formula>
    </cfRule>
    <cfRule type="expression" dxfId="6198" priority="6174">
      <formula>$F88="Ventes Chubb"</formula>
    </cfRule>
    <cfRule type="expression" dxfId="6197" priority="6175">
      <formula>$F88="SAV Sicli"</formula>
    </cfRule>
    <cfRule type="expression" dxfId="6196" priority="6176">
      <formula>$F88="SAV Chubb"</formula>
    </cfRule>
    <cfRule type="expression" dxfId="6195" priority="6177">
      <formula>$F88="Réalisation"</formula>
    </cfRule>
    <cfRule type="expression" dxfId="6194" priority="6178">
      <formula>$F88="Désenfumage"</formula>
    </cfRule>
    <cfRule type="expression" dxfId="6193" priority="6179">
      <formula>$F88="Administratif"</formula>
    </cfRule>
  </conditionalFormatting>
  <conditionalFormatting sqref="D88">
    <cfRule type="expression" dxfId="6192" priority="6170">
      <formula>$H88="non"</formula>
    </cfRule>
  </conditionalFormatting>
  <conditionalFormatting sqref="D97">
    <cfRule type="expression" dxfId="6191" priority="6161">
      <formula>$F97="Formation CCF"</formula>
    </cfRule>
    <cfRule type="expression" dxfId="6190" priority="6162">
      <formula>$F97="Direction"</formula>
    </cfRule>
    <cfRule type="expression" dxfId="6189" priority="6163">
      <formula>$F97="Ventes Sicli"</formula>
    </cfRule>
    <cfRule type="expression" dxfId="6188" priority="6164">
      <formula>$F97="Ventes Chubb"</formula>
    </cfRule>
    <cfRule type="expression" dxfId="6187" priority="6165">
      <formula>$F97="SAV Sicli"</formula>
    </cfRule>
    <cfRule type="expression" dxfId="6186" priority="6166">
      <formula>$F97="SAV Chubb"</formula>
    </cfRule>
    <cfRule type="expression" dxfId="6185" priority="6167">
      <formula>$F97="Réalisation"</formula>
    </cfRule>
    <cfRule type="expression" dxfId="6184" priority="6168">
      <formula>$F97="Désenfumage"</formula>
    </cfRule>
    <cfRule type="expression" dxfId="6183" priority="6169">
      <formula>$F97="Administratif"</formula>
    </cfRule>
  </conditionalFormatting>
  <conditionalFormatting sqref="D97">
    <cfRule type="expression" dxfId="6182" priority="6160">
      <formula>$H97="non"</formula>
    </cfRule>
  </conditionalFormatting>
  <conditionalFormatting sqref="D96">
    <cfRule type="expression" dxfId="6181" priority="6151">
      <formula>$F96="Formation CCF"</formula>
    </cfRule>
    <cfRule type="expression" dxfId="6180" priority="6152">
      <formula>$F96="Direction"</formula>
    </cfRule>
    <cfRule type="expression" dxfId="6179" priority="6153">
      <formula>$F96="Ventes Sicli"</formula>
    </cfRule>
    <cfRule type="expression" dxfId="6178" priority="6154">
      <formula>$F96="Ventes Chubb"</formula>
    </cfRule>
    <cfRule type="expression" dxfId="6177" priority="6155">
      <formula>$F96="SAV Sicli"</formula>
    </cfRule>
    <cfRule type="expression" dxfId="6176" priority="6156">
      <formula>$F96="SAV Chubb"</formula>
    </cfRule>
    <cfRule type="expression" dxfId="6175" priority="6157">
      <formula>$F96="Réalisation"</formula>
    </cfRule>
    <cfRule type="expression" dxfId="6174" priority="6158">
      <formula>$F96="Désenfumage"</formula>
    </cfRule>
    <cfRule type="expression" dxfId="6173" priority="6159">
      <formula>$F96="Administratif"</formula>
    </cfRule>
  </conditionalFormatting>
  <conditionalFormatting sqref="D96">
    <cfRule type="expression" dxfId="6172" priority="6150">
      <formula>$H96="non"</formula>
    </cfRule>
  </conditionalFormatting>
  <conditionalFormatting sqref="D95">
    <cfRule type="expression" dxfId="6171" priority="6141">
      <formula>$F95="Formation CCF"</formula>
    </cfRule>
    <cfRule type="expression" dxfId="6170" priority="6142">
      <formula>$F95="Direction"</formula>
    </cfRule>
    <cfRule type="expression" dxfId="6169" priority="6143">
      <formula>$F95="Ventes Sicli"</formula>
    </cfRule>
    <cfRule type="expression" dxfId="6168" priority="6144">
      <formula>$F95="Ventes Chubb"</formula>
    </cfRule>
    <cfRule type="expression" dxfId="6167" priority="6145">
      <formula>$F95="SAV Sicli"</formula>
    </cfRule>
    <cfRule type="expression" dxfId="6166" priority="6146">
      <formula>$F95="SAV Chubb"</formula>
    </cfRule>
    <cfRule type="expression" dxfId="6165" priority="6147">
      <formula>$F95="Réalisation"</formula>
    </cfRule>
    <cfRule type="expression" dxfId="6164" priority="6148">
      <formula>$F95="Désenfumage"</formula>
    </cfRule>
    <cfRule type="expression" dxfId="6163" priority="6149">
      <formula>$F95="Administratif"</formula>
    </cfRule>
  </conditionalFormatting>
  <conditionalFormatting sqref="D95">
    <cfRule type="expression" dxfId="6162" priority="6140">
      <formula>$H95="non"</formula>
    </cfRule>
  </conditionalFormatting>
  <conditionalFormatting sqref="D94">
    <cfRule type="expression" dxfId="6161" priority="6131">
      <formula>$F94="Formation CCF"</formula>
    </cfRule>
    <cfRule type="expression" dxfId="6160" priority="6132">
      <formula>$F94="Direction"</formula>
    </cfRule>
    <cfRule type="expression" dxfId="6159" priority="6133">
      <formula>$F94="Ventes Sicli"</formula>
    </cfRule>
    <cfRule type="expression" dxfId="6158" priority="6134">
      <formula>$F94="Ventes Chubb"</formula>
    </cfRule>
    <cfRule type="expression" dxfId="6157" priority="6135">
      <formula>$F94="SAV Sicli"</formula>
    </cfRule>
    <cfRule type="expression" dxfId="6156" priority="6136">
      <formula>$F94="SAV Chubb"</formula>
    </cfRule>
    <cfRule type="expression" dxfId="6155" priority="6137">
      <formula>$F94="Réalisation"</formula>
    </cfRule>
    <cfRule type="expression" dxfId="6154" priority="6138">
      <formula>$F94="Désenfumage"</formula>
    </cfRule>
    <cfRule type="expression" dxfId="6153" priority="6139">
      <formula>$F94="Administratif"</formula>
    </cfRule>
  </conditionalFormatting>
  <conditionalFormatting sqref="D94">
    <cfRule type="expression" dxfId="6152" priority="6130">
      <formula>$H94="non"</formula>
    </cfRule>
  </conditionalFormatting>
  <conditionalFormatting sqref="D93">
    <cfRule type="expression" dxfId="6151" priority="6121">
      <formula>$F93="Formation CCF"</formula>
    </cfRule>
    <cfRule type="expression" dxfId="6150" priority="6122">
      <formula>$F93="Direction"</formula>
    </cfRule>
    <cfRule type="expression" dxfId="6149" priority="6123">
      <formula>$F93="Ventes Sicli"</formula>
    </cfRule>
    <cfRule type="expression" dxfId="6148" priority="6124">
      <formula>$F93="Ventes Chubb"</formula>
    </cfRule>
    <cfRule type="expression" dxfId="6147" priority="6125">
      <formula>$F93="SAV Sicli"</formula>
    </cfRule>
    <cfRule type="expression" dxfId="6146" priority="6126">
      <formula>$F93="SAV Chubb"</formula>
    </cfRule>
    <cfRule type="expression" dxfId="6145" priority="6127">
      <formula>$F93="Réalisation"</formula>
    </cfRule>
    <cfRule type="expression" dxfId="6144" priority="6128">
      <formula>$F93="Désenfumage"</formula>
    </cfRule>
    <cfRule type="expression" dxfId="6143" priority="6129">
      <formula>$F93="Administratif"</formula>
    </cfRule>
  </conditionalFormatting>
  <conditionalFormatting sqref="D93">
    <cfRule type="expression" dxfId="6142" priority="6120">
      <formula>$H93="non"</formula>
    </cfRule>
  </conditionalFormatting>
  <conditionalFormatting sqref="D92">
    <cfRule type="expression" dxfId="6141" priority="6111">
      <formula>$F92="Formation CCF"</formula>
    </cfRule>
    <cfRule type="expression" dxfId="6140" priority="6112">
      <formula>$F92="Direction"</formula>
    </cfRule>
    <cfRule type="expression" dxfId="6139" priority="6113">
      <formula>$F92="Ventes Sicli"</formula>
    </cfRule>
    <cfRule type="expression" dxfId="6138" priority="6114">
      <formula>$F92="Ventes Chubb"</formula>
    </cfRule>
    <cfRule type="expression" dxfId="6137" priority="6115">
      <formula>$F92="SAV Sicli"</formula>
    </cfRule>
    <cfRule type="expression" dxfId="6136" priority="6116">
      <formula>$F92="SAV Chubb"</formula>
    </cfRule>
    <cfRule type="expression" dxfId="6135" priority="6117">
      <formula>$F92="Réalisation"</formula>
    </cfRule>
    <cfRule type="expression" dxfId="6134" priority="6118">
      <formula>$F92="Désenfumage"</formula>
    </cfRule>
    <cfRule type="expression" dxfId="6133" priority="6119">
      <formula>$F92="Administratif"</formula>
    </cfRule>
  </conditionalFormatting>
  <conditionalFormatting sqref="D92">
    <cfRule type="expression" dxfId="6132" priority="6110">
      <formula>$H92="non"</formula>
    </cfRule>
  </conditionalFormatting>
  <conditionalFormatting sqref="D91">
    <cfRule type="expression" dxfId="6131" priority="6101">
      <formula>$F91="Formation CCF"</formula>
    </cfRule>
    <cfRule type="expression" dxfId="6130" priority="6102">
      <formula>$F91="Direction"</formula>
    </cfRule>
    <cfRule type="expression" dxfId="6129" priority="6103">
      <formula>$F91="Ventes Sicli"</formula>
    </cfRule>
    <cfRule type="expression" dxfId="6128" priority="6104">
      <formula>$F91="Ventes Chubb"</formula>
    </cfRule>
    <cfRule type="expression" dxfId="6127" priority="6105">
      <formula>$F91="SAV Sicli"</formula>
    </cfRule>
    <cfRule type="expression" dxfId="6126" priority="6106">
      <formula>$F91="SAV Chubb"</formula>
    </cfRule>
    <cfRule type="expression" dxfId="6125" priority="6107">
      <formula>$F91="Réalisation"</formula>
    </cfRule>
    <cfRule type="expression" dxfId="6124" priority="6108">
      <formula>$F91="Désenfumage"</formula>
    </cfRule>
    <cfRule type="expression" dxfId="6123" priority="6109">
      <formula>$F91="Administratif"</formula>
    </cfRule>
  </conditionalFormatting>
  <conditionalFormatting sqref="D91">
    <cfRule type="expression" dxfId="6122" priority="6100">
      <formula>$H91="non"</formula>
    </cfRule>
  </conditionalFormatting>
  <conditionalFormatting sqref="D97">
    <cfRule type="expression" dxfId="6121" priority="6091">
      <formula>$F97="Formation CCF"</formula>
    </cfRule>
    <cfRule type="expression" dxfId="6120" priority="6092">
      <formula>$F97="Direction"</formula>
    </cfRule>
    <cfRule type="expression" dxfId="6119" priority="6093">
      <formula>$F97="Ventes Sicli"</formula>
    </cfRule>
    <cfRule type="expression" dxfId="6118" priority="6094">
      <formula>$F97="Ventes Chubb"</formula>
    </cfRule>
    <cfRule type="expression" dxfId="6117" priority="6095">
      <formula>$F97="SAV Sicli"</formula>
    </cfRule>
    <cfRule type="expression" dxfId="6116" priority="6096">
      <formula>$F97="SAV Chubb"</formula>
    </cfRule>
    <cfRule type="expression" dxfId="6115" priority="6097">
      <formula>$F97="Réalisation"</formula>
    </cfRule>
    <cfRule type="expression" dxfId="6114" priority="6098">
      <formula>$F97="Désenfumage"</formula>
    </cfRule>
    <cfRule type="expression" dxfId="6113" priority="6099">
      <formula>$F97="Administratif"</formula>
    </cfRule>
  </conditionalFormatting>
  <conditionalFormatting sqref="D97">
    <cfRule type="expression" dxfId="6112" priority="6090">
      <formula>$H97="non"</formula>
    </cfRule>
  </conditionalFormatting>
  <conditionalFormatting sqref="D96">
    <cfRule type="expression" dxfId="6111" priority="6081">
      <formula>$F96="Formation CCF"</formula>
    </cfRule>
    <cfRule type="expression" dxfId="6110" priority="6082">
      <formula>$F96="Direction"</formula>
    </cfRule>
    <cfRule type="expression" dxfId="6109" priority="6083">
      <formula>$F96="Ventes Sicli"</formula>
    </cfRule>
    <cfRule type="expression" dxfId="6108" priority="6084">
      <formula>$F96="Ventes Chubb"</formula>
    </cfRule>
    <cfRule type="expression" dxfId="6107" priority="6085">
      <formula>$F96="SAV Sicli"</formula>
    </cfRule>
    <cfRule type="expression" dxfId="6106" priority="6086">
      <formula>$F96="SAV Chubb"</formula>
    </cfRule>
    <cfRule type="expression" dxfId="6105" priority="6087">
      <formula>$F96="Réalisation"</formula>
    </cfRule>
    <cfRule type="expression" dxfId="6104" priority="6088">
      <formula>$F96="Désenfumage"</formula>
    </cfRule>
    <cfRule type="expression" dxfId="6103" priority="6089">
      <formula>$F96="Administratif"</formula>
    </cfRule>
  </conditionalFormatting>
  <conditionalFormatting sqref="D96">
    <cfRule type="expression" dxfId="6102" priority="6080">
      <formula>$H96="non"</formula>
    </cfRule>
  </conditionalFormatting>
  <conditionalFormatting sqref="D95">
    <cfRule type="expression" dxfId="6101" priority="6071">
      <formula>$F95="Formation CCF"</formula>
    </cfRule>
    <cfRule type="expression" dxfId="6100" priority="6072">
      <formula>$F95="Direction"</formula>
    </cfRule>
    <cfRule type="expression" dxfId="6099" priority="6073">
      <formula>$F95="Ventes Sicli"</formula>
    </cfRule>
    <cfRule type="expression" dxfId="6098" priority="6074">
      <formula>$F95="Ventes Chubb"</formula>
    </cfRule>
    <cfRule type="expression" dxfId="6097" priority="6075">
      <formula>$F95="SAV Sicli"</formula>
    </cfRule>
    <cfRule type="expression" dxfId="6096" priority="6076">
      <formula>$F95="SAV Chubb"</formula>
    </cfRule>
    <cfRule type="expression" dxfId="6095" priority="6077">
      <formula>$F95="Réalisation"</formula>
    </cfRule>
    <cfRule type="expression" dxfId="6094" priority="6078">
      <formula>$F95="Désenfumage"</formula>
    </cfRule>
    <cfRule type="expression" dxfId="6093" priority="6079">
      <formula>$F95="Administratif"</formula>
    </cfRule>
  </conditionalFormatting>
  <conditionalFormatting sqref="D95">
    <cfRule type="expression" dxfId="6092" priority="6070">
      <formula>$H95="non"</formula>
    </cfRule>
  </conditionalFormatting>
  <conditionalFormatting sqref="D94">
    <cfRule type="expression" dxfId="6091" priority="6061">
      <formula>$F94="Formation CCF"</formula>
    </cfRule>
    <cfRule type="expression" dxfId="6090" priority="6062">
      <formula>$F94="Direction"</formula>
    </cfRule>
    <cfRule type="expression" dxfId="6089" priority="6063">
      <formula>$F94="Ventes Sicli"</formula>
    </cfRule>
    <cfRule type="expression" dxfId="6088" priority="6064">
      <formula>$F94="Ventes Chubb"</formula>
    </cfRule>
    <cfRule type="expression" dxfId="6087" priority="6065">
      <formula>$F94="SAV Sicli"</formula>
    </cfRule>
    <cfRule type="expression" dxfId="6086" priority="6066">
      <formula>$F94="SAV Chubb"</formula>
    </cfRule>
    <cfRule type="expression" dxfId="6085" priority="6067">
      <formula>$F94="Réalisation"</formula>
    </cfRule>
    <cfRule type="expression" dxfId="6084" priority="6068">
      <formula>$F94="Désenfumage"</formula>
    </cfRule>
    <cfRule type="expression" dxfId="6083" priority="6069">
      <formula>$F94="Administratif"</formula>
    </cfRule>
  </conditionalFormatting>
  <conditionalFormatting sqref="D94">
    <cfRule type="expression" dxfId="6082" priority="6060">
      <formula>$H94="non"</formula>
    </cfRule>
  </conditionalFormatting>
  <conditionalFormatting sqref="D93">
    <cfRule type="expression" dxfId="6081" priority="6051">
      <formula>$F93="Formation CCF"</formula>
    </cfRule>
    <cfRule type="expression" dxfId="6080" priority="6052">
      <formula>$F93="Direction"</formula>
    </cfRule>
    <cfRule type="expression" dxfId="6079" priority="6053">
      <formula>$F93="Ventes Sicli"</formula>
    </cfRule>
    <cfRule type="expression" dxfId="6078" priority="6054">
      <formula>$F93="Ventes Chubb"</formula>
    </cfRule>
    <cfRule type="expression" dxfId="6077" priority="6055">
      <formula>$F93="SAV Sicli"</formula>
    </cfRule>
    <cfRule type="expression" dxfId="6076" priority="6056">
      <formula>$F93="SAV Chubb"</formula>
    </cfRule>
    <cfRule type="expression" dxfId="6075" priority="6057">
      <formula>$F93="Réalisation"</formula>
    </cfRule>
    <cfRule type="expression" dxfId="6074" priority="6058">
      <formula>$F93="Désenfumage"</formula>
    </cfRule>
    <cfRule type="expression" dxfId="6073" priority="6059">
      <formula>$F93="Administratif"</formula>
    </cfRule>
  </conditionalFormatting>
  <conditionalFormatting sqref="D93">
    <cfRule type="expression" dxfId="6072" priority="6050">
      <formula>$H93="non"</formula>
    </cfRule>
  </conditionalFormatting>
  <conditionalFormatting sqref="D92">
    <cfRule type="expression" dxfId="6071" priority="6041">
      <formula>$F92="Formation CCF"</formula>
    </cfRule>
    <cfRule type="expression" dxfId="6070" priority="6042">
      <formula>$F92="Direction"</formula>
    </cfRule>
    <cfRule type="expression" dxfId="6069" priority="6043">
      <formula>$F92="Ventes Sicli"</formula>
    </cfRule>
    <cfRule type="expression" dxfId="6068" priority="6044">
      <formula>$F92="Ventes Chubb"</formula>
    </cfRule>
    <cfRule type="expression" dxfId="6067" priority="6045">
      <formula>$F92="SAV Sicli"</formula>
    </cfRule>
    <cfRule type="expression" dxfId="6066" priority="6046">
      <formula>$F92="SAV Chubb"</formula>
    </cfRule>
    <cfRule type="expression" dxfId="6065" priority="6047">
      <formula>$F92="Réalisation"</formula>
    </cfRule>
    <cfRule type="expression" dxfId="6064" priority="6048">
      <formula>$F92="Désenfumage"</formula>
    </cfRule>
    <cfRule type="expression" dxfId="6063" priority="6049">
      <formula>$F92="Administratif"</formula>
    </cfRule>
  </conditionalFormatting>
  <conditionalFormatting sqref="D92">
    <cfRule type="expression" dxfId="6062" priority="6040">
      <formula>$H92="non"</formula>
    </cfRule>
  </conditionalFormatting>
  <conditionalFormatting sqref="D91">
    <cfRule type="expression" dxfId="6061" priority="6031">
      <formula>$F91="Formation CCF"</formula>
    </cfRule>
    <cfRule type="expression" dxfId="6060" priority="6032">
      <formula>$F91="Direction"</formula>
    </cfRule>
    <cfRule type="expression" dxfId="6059" priority="6033">
      <formula>$F91="Ventes Sicli"</formula>
    </cfRule>
    <cfRule type="expression" dxfId="6058" priority="6034">
      <formula>$F91="Ventes Chubb"</formula>
    </cfRule>
    <cfRule type="expression" dxfId="6057" priority="6035">
      <formula>$F91="SAV Sicli"</formula>
    </cfRule>
    <cfRule type="expression" dxfId="6056" priority="6036">
      <formula>$F91="SAV Chubb"</formula>
    </cfRule>
    <cfRule type="expression" dxfId="6055" priority="6037">
      <formula>$F91="Réalisation"</formula>
    </cfRule>
    <cfRule type="expression" dxfId="6054" priority="6038">
      <formula>$F91="Désenfumage"</formula>
    </cfRule>
    <cfRule type="expression" dxfId="6053" priority="6039">
      <formula>$F91="Administratif"</formula>
    </cfRule>
  </conditionalFormatting>
  <conditionalFormatting sqref="D91">
    <cfRule type="expression" dxfId="6052" priority="6030">
      <formula>$H91="non"</formula>
    </cfRule>
  </conditionalFormatting>
  <conditionalFormatting sqref="D90">
    <cfRule type="expression" dxfId="6051" priority="6021">
      <formula>$F90="Formation CCF"</formula>
    </cfRule>
    <cfRule type="expression" dxfId="6050" priority="6022">
      <formula>$F90="Direction"</formula>
    </cfRule>
    <cfRule type="expression" dxfId="6049" priority="6023">
      <formula>$F90="Ventes Sicli"</formula>
    </cfRule>
    <cfRule type="expression" dxfId="6048" priority="6024">
      <formula>$F90="Ventes Chubb"</formula>
    </cfRule>
    <cfRule type="expression" dxfId="6047" priority="6025">
      <formula>$F90="SAV Sicli"</formula>
    </cfRule>
    <cfRule type="expression" dxfId="6046" priority="6026">
      <formula>$F90="SAV Chubb"</formula>
    </cfRule>
    <cfRule type="expression" dxfId="6045" priority="6027">
      <formula>$F90="Réalisation"</formula>
    </cfRule>
    <cfRule type="expression" dxfId="6044" priority="6028">
      <formula>$F90="Désenfumage"</formula>
    </cfRule>
    <cfRule type="expression" dxfId="6043" priority="6029">
      <formula>$F90="Administratif"</formula>
    </cfRule>
  </conditionalFormatting>
  <conditionalFormatting sqref="D90">
    <cfRule type="expression" dxfId="6042" priority="6020">
      <formula>$H90="non"</formula>
    </cfRule>
  </conditionalFormatting>
  <conditionalFormatting sqref="D89">
    <cfRule type="expression" dxfId="6041" priority="6011">
      <formula>$F89="Formation CCF"</formula>
    </cfRule>
    <cfRule type="expression" dxfId="6040" priority="6012">
      <formula>$F89="Direction"</formula>
    </cfRule>
    <cfRule type="expression" dxfId="6039" priority="6013">
      <formula>$F89="Ventes Sicli"</formula>
    </cfRule>
    <cfRule type="expression" dxfId="6038" priority="6014">
      <formula>$F89="Ventes Chubb"</formula>
    </cfRule>
    <cfRule type="expression" dxfId="6037" priority="6015">
      <formula>$F89="SAV Sicli"</formula>
    </cfRule>
    <cfRule type="expression" dxfId="6036" priority="6016">
      <formula>$F89="SAV Chubb"</formula>
    </cfRule>
    <cfRule type="expression" dxfId="6035" priority="6017">
      <formula>$F89="Réalisation"</formula>
    </cfRule>
    <cfRule type="expression" dxfId="6034" priority="6018">
      <formula>$F89="Désenfumage"</formula>
    </cfRule>
    <cfRule type="expression" dxfId="6033" priority="6019">
      <formula>$F89="Administratif"</formula>
    </cfRule>
  </conditionalFormatting>
  <conditionalFormatting sqref="D89">
    <cfRule type="expression" dxfId="6032" priority="6010">
      <formula>$H89="non"</formula>
    </cfRule>
  </conditionalFormatting>
  <conditionalFormatting sqref="D88">
    <cfRule type="expression" dxfId="6031" priority="6001">
      <formula>$F88="Formation CCF"</formula>
    </cfRule>
    <cfRule type="expression" dxfId="6030" priority="6002">
      <formula>$F88="Direction"</formula>
    </cfRule>
    <cfRule type="expression" dxfId="6029" priority="6003">
      <formula>$F88="Ventes Sicli"</formula>
    </cfRule>
    <cfRule type="expression" dxfId="6028" priority="6004">
      <formula>$F88="Ventes Chubb"</formula>
    </cfRule>
    <cfRule type="expression" dxfId="6027" priority="6005">
      <formula>$F88="SAV Sicli"</formula>
    </cfRule>
    <cfRule type="expression" dxfId="6026" priority="6006">
      <formula>$F88="SAV Chubb"</formula>
    </cfRule>
    <cfRule type="expression" dxfId="6025" priority="6007">
      <formula>$F88="Réalisation"</formula>
    </cfRule>
    <cfRule type="expression" dxfId="6024" priority="6008">
      <formula>$F88="Désenfumage"</formula>
    </cfRule>
    <cfRule type="expression" dxfId="6023" priority="6009">
      <formula>$F88="Administratif"</formula>
    </cfRule>
  </conditionalFormatting>
  <conditionalFormatting sqref="D88">
    <cfRule type="expression" dxfId="6022" priority="6000">
      <formula>$H88="non"</formula>
    </cfRule>
  </conditionalFormatting>
  <conditionalFormatting sqref="D97">
    <cfRule type="expression" dxfId="6021" priority="5991">
      <formula>$F97="Formation CCF"</formula>
    </cfRule>
    <cfRule type="expression" dxfId="6020" priority="5992">
      <formula>$F97="Direction"</formula>
    </cfRule>
    <cfRule type="expression" dxfId="6019" priority="5993">
      <formula>$F97="Ventes Sicli"</formula>
    </cfRule>
    <cfRule type="expression" dxfId="6018" priority="5994">
      <formula>$F97="Ventes Chubb"</formula>
    </cfRule>
    <cfRule type="expression" dxfId="6017" priority="5995">
      <formula>$F97="SAV Sicli"</formula>
    </cfRule>
    <cfRule type="expression" dxfId="6016" priority="5996">
      <formula>$F97="SAV Chubb"</formula>
    </cfRule>
    <cfRule type="expression" dxfId="6015" priority="5997">
      <formula>$F97="Réalisation"</formula>
    </cfRule>
    <cfRule type="expression" dxfId="6014" priority="5998">
      <formula>$F97="Désenfumage"</formula>
    </cfRule>
    <cfRule type="expression" dxfId="6013" priority="5999">
      <formula>$F97="Administratif"</formula>
    </cfRule>
  </conditionalFormatting>
  <conditionalFormatting sqref="D97">
    <cfRule type="expression" dxfId="6012" priority="5990">
      <formula>$H97="non"</formula>
    </cfRule>
  </conditionalFormatting>
  <conditionalFormatting sqref="D96">
    <cfRule type="expression" dxfId="6011" priority="5981">
      <formula>$F96="Formation CCF"</formula>
    </cfRule>
    <cfRule type="expression" dxfId="6010" priority="5982">
      <formula>$F96="Direction"</formula>
    </cfRule>
    <cfRule type="expression" dxfId="6009" priority="5983">
      <formula>$F96="Ventes Sicli"</formula>
    </cfRule>
    <cfRule type="expression" dxfId="6008" priority="5984">
      <formula>$F96="Ventes Chubb"</formula>
    </cfRule>
    <cfRule type="expression" dxfId="6007" priority="5985">
      <formula>$F96="SAV Sicli"</formula>
    </cfRule>
    <cfRule type="expression" dxfId="6006" priority="5986">
      <formula>$F96="SAV Chubb"</formula>
    </cfRule>
    <cfRule type="expression" dxfId="6005" priority="5987">
      <formula>$F96="Réalisation"</formula>
    </cfRule>
    <cfRule type="expression" dxfId="6004" priority="5988">
      <formula>$F96="Désenfumage"</formula>
    </cfRule>
    <cfRule type="expression" dxfId="6003" priority="5989">
      <formula>$F96="Administratif"</formula>
    </cfRule>
  </conditionalFormatting>
  <conditionalFormatting sqref="D96">
    <cfRule type="expression" dxfId="6002" priority="5980">
      <formula>$H96="non"</formula>
    </cfRule>
  </conditionalFormatting>
  <conditionalFormatting sqref="D95">
    <cfRule type="expression" dxfId="6001" priority="5971">
      <formula>$F95="Formation CCF"</formula>
    </cfRule>
    <cfRule type="expression" dxfId="6000" priority="5972">
      <formula>$F95="Direction"</formula>
    </cfRule>
    <cfRule type="expression" dxfId="5999" priority="5973">
      <formula>$F95="Ventes Sicli"</formula>
    </cfRule>
    <cfRule type="expression" dxfId="5998" priority="5974">
      <formula>$F95="Ventes Chubb"</formula>
    </cfRule>
    <cfRule type="expression" dxfId="5997" priority="5975">
      <formula>$F95="SAV Sicli"</formula>
    </cfRule>
    <cfRule type="expression" dxfId="5996" priority="5976">
      <formula>$F95="SAV Chubb"</formula>
    </cfRule>
    <cfRule type="expression" dxfId="5995" priority="5977">
      <formula>$F95="Réalisation"</formula>
    </cfRule>
    <cfRule type="expression" dxfId="5994" priority="5978">
      <formula>$F95="Désenfumage"</formula>
    </cfRule>
    <cfRule type="expression" dxfId="5993" priority="5979">
      <formula>$F95="Administratif"</formula>
    </cfRule>
  </conditionalFormatting>
  <conditionalFormatting sqref="D95">
    <cfRule type="expression" dxfId="5992" priority="5970">
      <formula>$H95="non"</formula>
    </cfRule>
  </conditionalFormatting>
  <conditionalFormatting sqref="D93">
    <cfRule type="expression" dxfId="5991" priority="5961">
      <formula>$F93="Formation CCF"</formula>
    </cfRule>
    <cfRule type="expression" dxfId="5990" priority="5962">
      <formula>$F93="Direction"</formula>
    </cfRule>
    <cfRule type="expression" dxfId="5989" priority="5963">
      <formula>$F93="Ventes Sicli"</formula>
    </cfRule>
    <cfRule type="expression" dxfId="5988" priority="5964">
      <formula>$F93="Ventes Chubb"</formula>
    </cfRule>
    <cfRule type="expression" dxfId="5987" priority="5965">
      <formula>$F93="SAV Sicli"</formula>
    </cfRule>
    <cfRule type="expression" dxfId="5986" priority="5966">
      <formula>$F93="SAV Chubb"</formula>
    </cfRule>
    <cfRule type="expression" dxfId="5985" priority="5967">
      <formula>$F93="Réalisation"</formula>
    </cfRule>
    <cfRule type="expression" dxfId="5984" priority="5968">
      <formula>$F93="Désenfumage"</formula>
    </cfRule>
    <cfRule type="expression" dxfId="5983" priority="5969">
      <formula>$F93="Administratif"</formula>
    </cfRule>
  </conditionalFormatting>
  <conditionalFormatting sqref="D93">
    <cfRule type="expression" dxfId="5982" priority="5960">
      <formula>$H93="non"</formula>
    </cfRule>
  </conditionalFormatting>
  <conditionalFormatting sqref="D92">
    <cfRule type="expression" dxfId="5981" priority="5951">
      <formula>$F92="Formation CCF"</formula>
    </cfRule>
    <cfRule type="expression" dxfId="5980" priority="5952">
      <formula>$F92="Direction"</formula>
    </cfRule>
    <cfRule type="expression" dxfId="5979" priority="5953">
      <formula>$F92="Ventes Sicli"</formula>
    </cfRule>
    <cfRule type="expression" dxfId="5978" priority="5954">
      <formula>$F92="Ventes Chubb"</formula>
    </cfRule>
    <cfRule type="expression" dxfId="5977" priority="5955">
      <formula>$F92="SAV Sicli"</formula>
    </cfRule>
    <cfRule type="expression" dxfId="5976" priority="5956">
      <formula>$F92="SAV Chubb"</formula>
    </cfRule>
    <cfRule type="expression" dxfId="5975" priority="5957">
      <formula>$F92="Réalisation"</formula>
    </cfRule>
    <cfRule type="expression" dxfId="5974" priority="5958">
      <formula>$F92="Désenfumage"</formula>
    </cfRule>
    <cfRule type="expression" dxfId="5973" priority="5959">
      <formula>$F92="Administratif"</formula>
    </cfRule>
  </conditionalFormatting>
  <conditionalFormatting sqref="D92">
    <cfRule type="expression" dxfId="5972" priority="5950">
      <formula>$H92="non"</formula>
    </cfRule>
  </conditionalFormatting>
  <conditionalFormatting sqref="D91">
    <cfRule type="expression" dxfId="5971" priority="5941">
      <formula>$F91="Formation CCF"</formula>
    </cfRule>
    <cfRule type="expression" dxfId="5970" priority="5942">
      <formula>$F91="Direction"</formula>
    </cfRule>
    <cfRule type="expression" dxfId="5969" priority="5943">
      <formula>$F91="Ventes Sicli"</formula>
    </cfRule>
    <cfRule type="expression" dxfId="5968" priority="5944">
      <formula>$F91="Ventes Chubb"</formula>
    </cfRule>
    <cfRule type="expression" dxfId="5967" priority="5945">
      <formula>$F91="SAV Sicli"</formula>
    </cfRule>
    <cfRule type="expression" dxfId="5966" priority="5946">
      <formula>$F91="SAV Chubb"</formula>
    </cfRule>
    <cfRule type="expression" dxfId="5965" priority="5947">
      <formula>$F91="Réalisation"</formula>
    </cfRule>
    <cfRule type="expression" dxfId="5964" priority="5948">
      <formula>$F91="Désenfumage"</formula>
    </cfRule>
    <cfRule type="expression" dxfId="5963" priority="5949">
      <formula>$F91="Administratif"</formula>
    </cfRule>
  </conditionalFormatting>
  <conditionalFormatting sqref="D91">
    <cfRule type="expression" dxfId="5962" priority="5940">
      <formula>$H91="non"</formula>
    </cfRule>
  </conditionalFormatting>
  <conditionalFormatting sqref="D90">
    <cfRule type="expression" dxfId="5961" priority="5931">
      <formula>$F90="Formation CCF"</formula>
    </cfRule>
    <cfRule type="expression" dxfId="5960" priority="5932">
      <formula>$F90="Direction"</formula>
    </cfRule>
    <cfRule type="expression" dxfId="5959" priority="5933">
      <formula>$F90="Ventes Sicli"</formula>
    </cfRule>
    <cfRule type="expression" dxfId="5958" priority="5934">
      <formula>$F90="Ventes Chubb"</formula>
    </cfRule>
    <cfRule type="expression" dxfId="5957" priority="5935">
      <formula>$F90="SAV Sicli"</formula>
    </cfRule>
    <cfRule type="expression" dxfId="5956" priority="5936">
      <formula>$F90="SAV Chubb"</formula>
    </cfRule>
    <cfRule type="expression" dxfId="5955" priority="5937">
      <formula>$F90="Réalisation"</formula>
    </cfRule>
    <cfRule type="expression" dxfId="5954" priority="5938">
      <formula>$F90="Désenfumage"</formula>
    </cfRule>
    <cfRule type="expression" dxfId="5953" priority="5939">
      <formula>$F90="Administratif"</formula>
    </cfRule>
  </conditionalFormatting>
  <conditionalFormatting sqref="D90">
    <cfRule type="expression" dxfId="5952" priority="5930">
      <formula>$H90="non"</formula>
    </cfRule>
  </conditionalFormatting>
  <conditionalFormatting sqref="D97">
    <cfRule type="expression" dxfId="5951" priority="5921">
      <formula>$F97="Formation CCF"</formula>
    </cfRule>
    <cfRule type="expression" dxfId="5950" priority="5922">
      <formula>$F97="Direction"</formula>
    </cfRule>
    <cfRule type="expression" dxfId="5949" priority="5923">
      <formula>$F97="Ventes Sicli"</formula>
    </cfRule>
    <cfRule type="expression" dxfId="5948" priority="5924">
      <formula>$F97="Ventes Chubb"</formula>
    </cfRule>
    <cfRule type="expression" dxfId="5947" priority="5925">
      <formula>$F97="SAV Sicli"</formula>
    </cfRule>
    <cfRule type="expression" dxfId="5946" priority="5926">
      <formula>$F97="SAV Chubb"</formula>
    </cfRule>
    <cfRule type="expression" dxfId="5945" priority="5927">
      <formula>$F97="Réalisation"</formula>
    </cfRule>
    <cfRule type="expression" dxfId="5944" priority="5928">
      <formula>$F97="Désenfumage"</formula>
    </cfRule>
    <cfRule type="expression" dxfId="5943" priority="5929">
      <formula>$F97="Administratif"</formula>
    </cfRule>
  </conditionalFormatting>
  <conditionalFormatting sqref="D97">
    <cfRule type="expression" dxfId="5942" priority="5920">
      <formula>$H97="non"</formula>
    </cfRule>
  </conditionalFormatting>
  <conditionalFormatting sqref="D96">
    <cfRule type="expression" dxfId="5941" priority="5911">
      <formula>$F96="Formation CCF"</formula>
    </cfRule>
    <cfRule type="expression" dxfId="5940" priority="5912">
      <formula>$F96="Direction"</formula>
    </cfRule>
    <cfRule type="expression" dxfId="5939" priority="5913">
      <formula>$F96="Ventes Sicli"</formula>
    </cfRule>
    <cfRule type="expression" dxfId="5938" priority="5914">
      <formula>$F96="Ventes Chubb"</formula>
    </cfRule>
    <cfRule type="expression" dxfId="5937" priority="5915">
      <formula>$F96="SAV Sicli"</formula>
    </cfRule>
    <cfRule type="expression" dxfId="5936" priority="5916">
      <formula>$F96="SAV Chubb"</formula>
    </cfRule>
    <cfRule type="expression" dxfId="5935" priority="5917">
      <formula>$F96="Réalisation"</formula>
    </cfRule>
    <cfRule type="expression" dxfId="5934" priority="5918">
      <formula>$F96="Désenfumage"</formula>
    </cfRule>
    <cfRule type="expression" dxfId="5933" priority="5919">
      <formula>$F96="Administratif"</formula>
    </cfRule>
  </conditionalFormatting>
  <conditionalFormatting sqref="D96">
    <cfRule type="expression" dxfId="5932" priority="5910">
      <formula>$H96="non"</formula>
    </cfRule>
  </conditionalFormatting>
  <conditionalFormatting sqref="D95">
    <cfRule type="expression" dxfId="5931" priority="5901">
      <formula>$F95="Formation CCF"</formula>
    </cfRule>
    <cfRule type="expression" dxfId="5930" priority="5902">
      <formula>$F95="Direction"</formula>
    </cfRule>
    <cfRule type="expression" dxfId="5929" priority="5903">
      <formula>$F95="Ventes Sicli"</formula>
    </cfRule>
    <cfRule type="expression" dxfId="5928" priority="5904">
      <formula>$F95="Ventes Chubb"</formula>
    </cfRule>
    <cfRule type="expression" dxfId="5927" priority="5905">
      <formula>$F95="SAV Sicli"</formula>
    </cfRule>
    <cfRule type="expression" dxfId="5926" priority="5906">
      <formula>$F95="SAV Chubb"</formula>
    </cfRule>
    <cfRule type="expression" dxfId="5925" priority="5907">
      <formula>$F95="Réalisation"</formula>
    </cfRule>
    <cfRule type="expression" dxfId="5924" priority="5908">
      <formula>$F95="Désenfumage"</formula>
    </cfRule>
    <cfRule type="expression" dxfId="5923" priority="5909">
      <formula>$F95="Administratif"</formula>
    </cfRule>
  </conditionalFormatting>
  <conditionalFormatting sqref="D95">
    <cfRule type="expression" dxfId="5922" priority="5900">
      <formula>$H95="non"</formula>
    </cfRule>
  </conditionalFormatting>
  <conditionalFormatting sqref="D94">
    <cfRule type="expression" dxfId="5921" priority="5891">
      <formula>$F94="Formation CCF"</formula>
    </cfRule>
    <cfRule type="expression" dxfId="5920" priority="5892">
      <formula>$F94="Direction"</formula>
    </cfRule>
    <cfRule type="expression" dxfId="5919" priority="5893">
      <formula>$F94="Ventes Sicli"</formula>
    </cfRule>
    <cfRule type="expression" dxfId="5918" priority="5894">
      <formula>$F94="Ventes Chubb"</formula>
    </cfRule>
    <cfRule type="expression" dxfId="5917" priority="5895">
      <formula>$F94="SAV Sicli"</formula>
    </cfRule>
    <cfRule type="expression" dxfId="5916" priority="5896">
      <formula>$F94="SAV Chubb"</formula>
    </cfRule>
    <cfRule type="expression" dxfId="5915" priority="5897">
      <formula>$F94="Réalisation"</formula>
    </cfRule>
    <cfRule type="expression" dxfId="5914" priority="5898">
      <formula>$F94="Désenfumage"</formula>
    </cfRule>
    <cfRule type="expression" dxfId="5913" priority="5899">
      <formula>$F94="Administratif"</formula>
    </cfRule>
  </conditionalFormatting>
  <conditionalFormatting sqref="D94">
    <cfRule type="expression" dxfId="5912" priority="5890">
      <formula>$H94="non"</formula>
    </cfRule>
  </conditionalFormatting>
  <conditionalFormatting sqref="D93">
    <cfRule type="expression" dxfId="5911" priority="5881">
      <formula>$F93="Formation CCF"</formula>
    </cfRule>
    <cfRule type="expression" dxfId="5910" priority="5882">
      <formula>$F93="Direction"</formula>
    </cfRule>
    <cfRule type="expression" dxfId="5909" priority="5883">
      <formula>$F93="Ventes Sicli"</formula>
    </cfRule>
    <cfRule type="expression" dxfId="5908" priority="5884">
      <formula>$F93="Ventes Chubb"</formula>
    </cfRule>
    <cfRule type="expression" dxfId="5907" priority="5885">
      <formula>$F93="SAV Sicli"</formula>
    </cfRule>
    <cfRule type="expression" dxfId="5906" priority="5886">
      <formula>$F93="SAV Chubb"</formula>
    </cfRule>
    <cfRule type="expression" dxfId="5905" priority="5887">
      <formula>$F93="Réalisation"</formula>
    </cfRule>
    <cfRule type="expression" dxfId="5904" priority="5888">
      <formula>$F93="Désenfumage"</formula>
    </cfRule>
    <cfRule type="expression" dxfId="5903" priority="5889">
      <formula>$F93="Administratif"</formula>
    </cfRule>
  </conditionalFormatting>
  <conditionalFormatting sqref="D93">
    <cfRule type="expression" dxfId="5902" priority="5880">
      <formula>$H93="non"</formula>
    </cfRule>
  </conditionalFormatting>
  <conditionalFormatting sqref="D92">
    <cfRule type="expression" dxfId="5901" priority="5871">
      <formula>$F92="Formation CCF"</formula>
    </cfRule>
    <cfRule type="expression" dxfId="5900" priority="5872">
      <formula>$F92="Direction"</formula>
    </cfRule>
    <cfRule type="expression" dxfId="5899" priority="5873">
      <formula>$F92="Ventes Sicli"</formula>
    </cfRule>
    <cfRule type="expression" dxfId="5898" priority="5874">
      <formula>$F92="Ventes Chubb"</formula>
    </cfRule>
    <cfRule type="expression" dxfId="5897" priority="5875">
      <formula>$F92="SAV Sicli"</formula>
    </cfRule>
    <cfRule type="expression" dxfId="5896" priority="5876">
      <formula>$F92="SAV Chubb"</formula>
    </cfRule>
    <cfRule type="expression" dxfId="5895" priority="5877">
      <formula>$F92="Réalisation"</formula>
    </cfRule>
    <cfRule type="expression" dxfId="5894" priority="5878">
      <formula>$F92="Désenfumage"</formula>
    </cfRule>
    <cfRule type="expression" dxfId="5893" priority="5879">
      <formula>$F92="Administratif"</formula>
    </cfRule>
  </conditionalFormatting>
  <conditionalFormatting sqref="D92">
    <cfRule type="expression" dxfId="5892" priority="5870">
      <formula>$H92="non"</formula>
    </cfRule>
  </conditionalFormatting>
  <conditionalFormatting sqref="D91">
    <cfRule type="expression" dxfId="5891" priority="5861">
      <formula>$F91="Formation CCF"</formula>
    </cfRule>
    <cfRule type="expression" dxfId="5890" priority="5862">
      <formula>$F91="Direction"</formula>
    </cfRule>
    <cfRule type="expression" dxfId="5889" priority="5863">
      <formula>$F91="Ventes Sicli"</formula>
    </cfRule>
    <cfRule type="expression" dxfId="5888" priority="5864">
      <formula>$F91="Ventes Chubb"</formula>
    </cfRule>
    <cfRule type="expression" dxfId="5887" priority="5865">
      <formula>$F91="SAV Sicli"</formula>
    </cfRule>
    <cfRule type="expression" dxfId="5886" priority="5866">
      <formula>$F91="SAV Chubb"</formula>
    </cfRule>
    <cfRule type="expression" dxfId="5885" priority="5867">
      <formula>$F91="Réalisation"</formula>
    </cfRule>
    <cfRule type="expression" dxfId="5884" priority="5868">
      <formula>$F91="Désenfumage"</formula>
    </cfRule>
    <cfRule type="expression" dxfId="5883" priority="5869">
      <formula>$F91="Administratif"</formula>
    </cfRule>
  </conditionalFormatting>
  <conditionalFormatting sqref="D91">
    <cfRule type="expression" dxfId="5882" priority="5860">
      <formula>$H91="non"</formula>
    </cfRule>
  </conditionalFormatting>
  <conditionalFormatting sqref="D90">
    <cfRule type="expression" dxfId="5881" priority="5851">
      <formula>$F90="Formation CCF"</formula>
    </cfRule>
    <cfRule type="expression" dxfId="5880" priority="5852">
      <formula>$F90="Direction"</formula>
    </cfRule>
    <cfRule type="expression" dxfId="5879" priority="5853">
      <formula>$F90="Ventes Sicli"</formula>
    </cfRule>
    <cfRule type="expression" dxfId="5878" priority="5854">
      <formula>$F90="Ventes Chubb"</formula>
    </cfRule>
    <cfRule type="expression" dxfId="5877" priority="5855">
      <formula>$F90="SAV Sicli"</formula>
    </cfRule>
    <cfRule type="expression" dxfId="5876" priority="5856">
      <formula>$F90="SAV Chubb"</formula>
    </cfRule>
    <cfRule type="expression" dxfId="5875" priority="5857">
      <formula>$F90="Réalisation"</formula>
    </cfRule>
    <cfRule type="expression" dxfId="5874" priority="5858">
      <formula>$F90="Désenfumage"</formula>
    </cfRule>
    <cfRule type="expression" dxfId="5873" priority="5859">
      <formula>$F90="Administratif"</formula>
    </cfRule>
  </conditionalFormatting>
  <conditionalFormatting sqref="D90">
    <cfRule type="expression" dxfId="5872" priority="5850">
      <formula>$H90="non"</formula>
    </cfRule>
  </conditionalFormatting>
  <conditionalFormatting sqref="D89">
    <cfRule type="expression" dxfId="5871" priority="5841">
      <formula>$F89="Formation CCF"</formula>
    </cfRule>
    <cfRule type="expression" dxfId="5870" priority="5842">
      <formula>$F89="Direction"</formula>
    </cfRule>
    <cfRule type="expression" dxfId="5869" priority="5843">
      <formula>$F89="Ventes Sicli"</formula>
    </cfRule>
    <cfRule type="expression" dxfId="5868" priority="5844">
      <formula>$F89="Ventes Chubb"</formula>
    </cfRule>
    <cfRule type="expression" dxfId="5867" priority="5845">
      <formula>$F89="SAV Sicli"</formula>
    </cfRule>
    <cfRule type="expression" dxfId="5866" priority="5846">
      <formula>$F89="SAV Chubb"</formula>
    </cfRule>
    <cfRule type="expression" dxfId="5865" priority="5847">
      <formula>$F89="Réalisation"</formula>
    </cfRule>
    <cfRule type="expression" dxfId="5864" priority="5848">
      <formula>$F89="Désenfumage"</formula>
    </cfRule>
    <cfRule type="expression" dxfId="5863" priority="5849">
      <formula>$F89="Administratif"</formula>
    </cfRule>
  </conditionalFormatting>
  <conditionalFormatting sqref="D89">
    <cfRule type="expression" dxfId="5862" priority="5840">
      <formula>$H89="non"</formula>
    </cfRule>
  </conditionalFormatting>
  <conditionalFormatting sqref="D88">
    <cfRule type="expression" dxfId="5861" priority="5831">
      <formula>$F88="Formation CCF"</formula>
    </cfRule>
    <cfRule type="expression" dxfId="5860" priority="5832">
      <formula>$F88="Direction"</formula>
    </cfRule>
    <cfRule type="expression" dxfId="5859" priority="5833">
      <formula>$F88="Ventes Sicli"</formula>
    </cfRule>
    <cfRule type="expression" dxfId="5858" priority="5834">
      <formula>$F88="Ventes Chubb"</formula>
    </cfRule>
    <cfRule type="expression" dxfId="5857" priority="5835">
      <formula>$F88="SAV Sicli"</formula>
    </cfRule>
    <cfRule type="expression" dxfId="5856" priority="5836">
      <formula>$F88="SAV Chubb"</formula>
    </cfRule>
    <cfRule type="expression" dxfId="5855" priority="5837">
      <formula>$F88="Réalisation"</formula>
    </cfRule>
    <cfRule type="expression" dxfId="5854" priority="5838">
      <formula>$F88="Désenfumage"</formula>
    </cfRule>
    <cfRule type="expression" dxfId="5853" priority="5839">
      <formula>$F88="Administratif"</formula>
    </cfRule>
  </conditionalFormatting>
  <conditionalFormatting sqref="D88">
    <cfRule type="expression" dxfId="5852" priority="5830">
      <formula>$H88="non"</formula>
    </cfRule>
  </conditionalFormatting>
  <conditionalFormatting sqref="D97">
    <cfRule type="expression" dxfId="5851" priority="5821">
      <formula>$F97="Formation CCF"</formula>
    </cfRule>
    <cfRule type="expression" dxfId="5850" priority="5822">
      <formula>$F97="Direction"</formula>
    </cfRule>
    <cfRule type="expression" dxfId="5849" priority="5823">
      <formula>$F97="Ventes Sicli"</formula>
    </cfRule>
    <cfRule type="expression" dxfId="5848" priority="5824">
      <formula>$F97="Ventes Chubb"</formula>
    </cfRule>
    <cfRule type="expression" dxfId="5847" priority="5825">
      <formula>$F97="SAV Sicli"</formula>
    </cfRule>
    <cfRule type="expression" dxfId="5846" priority="5826">
      <formula>$F97="SAV Chubb"</formula>
    </cfRule>
    <cfRule type="expression" dxfId="5845" priority="5827">
      <formula>$F97="Réalisation"</formula>
    </cfRule>
    <cfRule type="expression" dxfId="5844" priority="5828">
      <formula>$F97="Désenfumage"</formula>
    </cfRule>
    <cfRule type="expression" dxfId="5843" priority="5829">
      <formula>$F97="Administratif"</formula>
    </cfRule>
  </conditionalFormatting>
  <conditionalFormatting sqref="D97">
    <cfRule type="expression" dxfId="5842" priority="5820">
      <formula>$H97="non"</formula>
    </cfRule>
  </conditionalFormatting>
  <conditionalFormatting sqref="D96">
    <cfRule type="expression" dxfId="5841" priority="5811">
      <formula>$F96="Formation CCF"</formula>
    </cfRule>
    <cfRule type="expression" dxfId="5840" priority="5812">
      <formula>$F96="Direction"</formula>
    </cfRule>
    <cfRule type="expression" dxfId="5839" priority="5813">
      <formula>$F96="Ventes Sicli"</formula>
    </cfRule>
    <cfRule type="expression" dxfId="5838" priority="5814">
      <formula>$F96="Ventes Chubb"</formula>
    </cfRule>
    <cfRule type="expression" dxfId="5837" priority="5815">
      <formula>$F96="SAV Sicli"</formula>
    </cfRule>
    <cfRule type="expression" dxfId="5836" priority="5816">
      <formula>$F96="SAV Chubb"</formula>
    </cfRule>
    <cfRule type="expression" dxfId="5835" priority="5817">
      <formula>$F96="Réalisation"</formula>
    </cfRule>
    <cfRule type="expression" dxfId="5834" priority="5818">
      <formula>$F96="Désenfumage"</formula>
    </cfRule>
    <cfRule type="expression" dxfId="5833" priority="5819">
      <formula>$F96="Administratif"</formula>
    </cfRule>
  </conditionalFormatting>
  <conditionalFormatting sqref="D96">
    <cfRule type="expression" dxfId="5832" priority="5810">
      <formula>$H96="non"</formula>
    </cfRule>
  </conditionalFormatting>
  <conditionalFormatting sqref="D95">
    <cfRule type="expression" dxfId="5831" priority="5801">
      <formula>$F95="Formation CCF"</formula>
    </cfRule>
    <cfRule type="expression" dxfId="5830" priority="5802">
      <formula>$F95="Direction"</formula>
    </cfRule>
    <cfRule type="expression" dxfId="5829" priority="5803">
      <formula>$F95="Ventes Sicli"</formula>
    </cfRule>
    <cfRule type="expression" dxfId="5828" priority="5804">
      <formula>$F95="Ventes Chubb"</formula>
    </cfRule>
    <cfRule type="expression" dxfId="5827" priority="5805">
      <formula>$F95="SAV Sicli"</formula>
    </cfRule>
    <cfRule type="expression" dxfId="5826" priority="5806">
      <formula>$F95="SAV Chubb"</formula>
    </cfRule>
    <cfRule type="expression" dxfId="5825" priority="5807">
      <formula>$F95="Réalisation"</formula>
    </cfRule>
    <cfRule type="expression" dxfId="5824" priority="5808">
      <formula>$F95="Désenfumage"</formula>
    </cfRule>
    <cfRule type="expression" dxfId="5823" priority="5809">
      <formula>$F95="Administratif"</formula>
    </cfRule>
  </conditionalFormatting>
  <conditionalFormatting sqref="D95">
    <cfRule type="expression" dxfId="5822" priority="5800">
      <formula>$H95="non"</formula>
    </cfRule>
  </conditionalFormatting>
  <conditionalFormatting sqref="D94">
    <cfRule type="expression" dxfId="5821" priority="5791">
      <formula>$F94="Formation CCF"</formula>
    </cfRule>
    <cfRule type="expression" dxfId="5820" priority="5792">
      <formula>$F94="Direction"</formula>
    </cfRule>
    <cfRule type="expression" dxfId="5819" priority="5793">
      <formula>$F94="Ventes Sicli"</formula>
    </cfRule>
    <cfRule type="expression" dxfId="5818" priority="5794">
      <formula>$F94="Ventes Chubb"</formula>
    </cfRule>
    <cfRule type="expression" dxfId="5817" priority="5795">
      <formula>$F94="SAV Sicli"</formula>
    </cfRule>
    <cfRule type="expression" dxfId="5816" priority="5796">
      <formula>$F94="SAV Chubb"</formula>
    </cfRule>
    <cfRule type="expression" dxfId="5815" priority="5797">
      <formula>$F94="Réalisation"</formula>
    </cfRule>
    <cfRule type="expression" dxfId="5814" priority="5798">
      <formula>$F94="Désenfumage"</formula>
    </cfRule>
    <cfRule type="expression" dxfId="5813" priority="5799">
      <formula>$F94="Administratif"</formula>
    </cfRule>
  </conditionalFormatting>
  <conditionalFormatting sqref="D94">
    <cfRule type="expression" dxfId="5812" priority="5790">
      <formula>$H94="non"</formula>
    </cfRule>
  </conditionalFormatting>
  <conditionalFormatting sqref="D93">
    <cfRule type="expression" dxfId="5811" priority="5781">
      <formula>$F93="Formation CCF"</formula>
    </cfRule>
    <cfRule type="expression" dxfId="5810" priority="5782">
      <formula>$F93="Direction"</formula>
    </cfRule>
    <cfRule type="expression" dxfId="5809" priority="5783">
      <formula>$F93="Ventes Sicli"</formula>
    </cfRule>
    <cfRule type="expression" dxfId="5808" priority="5784">
      <formula>$F93="Ventes Chubb"</formula>
    </cfRule>
    <cfRule type="expression" dxfId="5807" priority="5785">
      <formula>$F93="SAV Sicli"</formula>
    </cfRule>
    <cfRule type="expression" dxfId="5806" priority="5786">
      <formula>$F93="SAV Chubb"</formula>
    </cfRule>
    <cfRule type="expression" dxfId="5805" priority="5787">
      <formula>$F93="Réalisation"</formula>
    </cfRule>
    <cfRule type="expression" dxfId="5804" priority="5788">
      <formula>$F93="Désenfumage"</formula>
    </cfRule>
    <cfRule type="expression" dxfId="5803" priority="5789">
      <formula>$F93="Administratif"</formula>
    </cfRule>
  </conditionalFormatting>
  <conditionalFormatting sqref="D93">
    <cfRule type="expression" dxfId="5802" priority="5780">
      <formula>$H93="non"</formula>
    </cfRule>
  </conditionalFormatting>
  <conditionalFormatting sqref="D92">
    <cfRule type="expression" dxfId="5801" priority="5771">
      <formula>$F92="Formation CCF"</formula>
    </cfRule>
    <cfRule type="expression" dxfId="5800" priority="5772">
      <formula>$F92="Direction"</formula>
    </cfRule>
    <cfRule type="expression" dxfId="5799" priority="5773">
      <formula>$F92="Ventes Sicli"</formula>
    </cfRule>
    <cfRule type="expression" dxfId="5798" priority="5774">
      <formula>$F92="Ventes Chubb"</formula>
    </cfRule>
    <cfRule type="expression" dxfId="5797" priority="5775">
      <formula>$F92="SAV Sicli"</formula>
    </cfRule>
    <cfRule type="expression" dxfId="5796" priority="5776">
      <formula>$F92="SAV Chubb"</formula>
    </cfRule>
    <cfRule type="expression" dxfId="5795" priority="5777">
      <formula>$F92="Réalisation"</formula>
    </cfRule>
    <cfRule type="expression" dxfId="5794" priority="5778">
      <formula>$F92="Désenfumage"</formula>
    </cfRule>
    <cfRule type="expression" dxfId="5793" priority="5779">
      <formula>$F92="Administratif"</formula>
    </cfRule>
  </conditionalFormatting>
  <conditionalFormatting sqref="D92">
    <cfRule type="expression" dxfId="5792" priority="5770">
      <formula>$H92="non"</formula>
    </cfRule>
  </conditionalFormatting>
  <conditionalFormatting sqref="D91">
    <cfRule type="expression" dxfId="5791" priority="5761">
      <formula>$F91="Formation CCF"</formula>
    </cfRule>
    <cfRule type="expression" dxfId="5790" priority="5762">
      <formula>$F91="Direction"</formula>
    </cfRule>
    <cfRule type="expression" dxfId="5789" priority="5763">
      <formula>$F91="Ventes Sicli"</formula>
    </cfRule>
    <cfRule type="expression" dxfId="5788" priority="5764">
      <formula>$F91="Ventes Chubb"</formula>
    </cfRule>
    <cfRule type="expression" dxfId="5787" priority="5765">
      <formula>$F91="SAV Sicli"</formula>
    </cfRule>
    <cfRule type="expression" dxfId="5786" priority="5766">
      <formula>$F91="SAV Chubb"</formula>
    </cfRule>
    <cfRule type="expression" dxfId="5785" priority="5767">
      <formula>$F91="Réalisation"</formula>
    </cfRule>
    <cfRule type="expression" dxfId="5784" priority="5768">
      <formula>$F91="Désenfumage"</formula>
    </cfRule>
    <cfRule type="expression" dxfId="5783" priority="5769">
      <formula>$F91="Administratif"</formula>
    </cfRule>
  </conditionalFormatting>
  <conditionalFormatting sqref="D91">
    <cfRule type="expression" dxfId="5782" priority="5760">
      <formula>$H91="non"</formula>
    </cfRule>
  </conditionalFormatting>
  <conditionalFormatting sqref="D90">
    <cfRule type="expression" dxfId="5781" priority="5751">
      <formula>$F90="Formation CCF"</formula>
    </cfRule>
    <cfRule type="expression" dxfId="5780" priority="5752">
      <formula>$F90="Direction"</formula>
    </cfRule>
    <cfRule type="expression" dxfId="5779" priority="5753">
      <formula>$F90="Ventes Sicli"</formula>
    </cfRule>
    <cfRule type="expression" dxfId="5778" priority="5754">
      <formula>$F90="Ventes Chubb"</formula>
    </cfRule>
    <cfRule type="expression" dxfId="5777" priority="5755">
      <formula>$F90="SAV Sicli"</formula>
    </cfRule>
    <cfRule type="expression" dxfId="5776" priority="5756">
      <formula>$F90="SAV Chubb"</formula>
    </cfRule>
    <cfRule type="expression" dxfId="5775" priority="5757">
      <formula>$F90="Réalisation"</formula>
    </cfRule>
    <cfRule type="expression" dxfId="5774" priority="5758">
      <formula>$F90="Désenfumage"</formula>
    </cfRule>
    <cfRule type="expression" dxfId="5773" priority="5759">
      <formula>$F90="Administratif"</formula>
    </cfRule>
  </conditionalFormatting>
  <conditionalFormatting sqref="D90">
    <cfRule type="expression" dxfId="5772" priority="5750">
      <formula>$H90="non"</formula>
    </cfRule>
  </conditionalFormatting>
  <conditionalFormatting sqref="D97">
    <cfRule type="expression" dxfId="5771" priority="5741">
      <formula>$F97="Formation CCF"</formula>
    </cfRule>
    <cfRule type="expression" dxfId="5770" priority="5742">
      <formula>$F97="Direction"</formula>
    </cfRule>
    <cfRule type="expression" dxfId="5769" priority="5743">
      <formula>$F97="Ventes Sicli"</formula>
    </cfRule>
    <cfRule type="expression" dxfId="5768" priority="5744">
      <formula>$F97="Ventes Chubb"</formula>
    </cfRule>
    <cfRule type="expression" dxfId="5767" priority="5745">
      <formula>$F97="SAV Sicli"</formula>
    </cfRule>
    <cfRule type="expression" dxfId="5766" priority="5746">
      <formula>$F97="SAV Chubb"</formula>
    </cfRule>
    <cfRule type="expression" dxfId="5765" priority="5747">
      <formula>$F97="Réalisation"</formula>
    </cfRule>
    <cfRule type="expression" dxfId="5764" priority="5748">
      <formula>$F97="Désenfumage"</formula>
    </cfRule>
    <cfRule type="expression" dxfId="5763" priority="5749">
      <formula>$F97="Administratif"</formula>
    </cfRule>
  </conditionalFormatting>
  <conditionalFormatting sqref="D97">
    <cfRule type="expression" dxfId="5762" priority="5740">
      <formula>$H97="non"</formula>
    </cfRule>
  </conditionalFormatting>
  <conditionalFormatting sqref="D96">
    <cfRule type="expression" dxfId="5761" priority="5731">
      <formula>$F96="Formation CCF"</formula>
    </cfRule>
    <cfRule type="expression" dxfId="5760" priority="5732">
      <formula>$F96="Direction"</formula>
    </cfRule>
    <cfRule type="expression" dxfId="5759" priority="5733">
      <formula>$F96="Ventes Sicli"</formula>
    </cfRule>
    <cfRule type="expression" dxfId="5758" priority="5734">
      <formula>$F96="Ventes Chubb"</formula>
    </cfRule>
    <cfRule type="expression" dxfId="5757" priority="5735">
      <formula>$F96="SAV Sicli"</formula>
    </cfRule>
    <cfRule type="expression" dxfId="5756" priority="5736">
      <formula>$F96="SAV Chubb"</formula>
    </cfRule>
    <cfRule type="expression" dxfId="5755" priority="5737">
      <formula>$F96="Réalisation"</formula>
    </cfRule>
    <cfRule type="expression" dxfId="5754" priority="5738">
      <formula>$F96="Désenfumage"</formula>
    </cfRule>
    <cfRule type="expression" dxfId="5753" priority="5739">
      <formula>$F96="Administratif"</formula>
    </cfRule>
  </conditionalFormatting>
  <conditionalFormatting sqref="D96">
    <cfRule type="expression" dxfId="5752" priority="5730">
      <formula>$H96="non"</formula>
    </cfRule>
  </conditionalFormatting>
  <conditionalFormatting sqref="D95">
    <cfRule type="expression" dxfId="5751" priority="5721">
      <formula>$F95="Formation CCF"</formula>
    </cfRule>
    <cfRule type="expression" dxfId="5750" priority="5722">
      <formula>$F95="Direction"</formula>
    </cfRule>
    <cfRule type="expression" dxfId="5749" priority="5723">
      <formula>$F95="Ventes Sicli"</formula>
    </cfRule>
    <cfRule type="expression" dxfId="5748" priority="5724">
      <formula>$F95="Ventes Chubb"</formula>
    </cfRule>
    <cfRule type="expression" dxfId="5747" priority="5725">
      <formula>$F95="SAV Sicli"</formula>
    </cfRule>
    <cfRule type="expression" dxfId="5746" priority="5726">
      <formula>$F95="SAV Chubb"</formula>
    </cfRule>
    <cfRule type="expression" dxfId="5745" priority="5727">
      <formula>$F95="Réalisation"</formula>
    </cfRule>
    <cfRule type="expression" dxfId="5744" priority="5728">
      <formula>$F95="Désenfumage"</formula>
    </cfRule>
    <cfRule type="expression" dxfId="5743" priority="5729">
      <formula>$F95="Administratif"</formula>
    </cfRule>
  </conditionalFormatting>
  <conditionalFormatting sqref="D95">
    <cfRule type="expression" dxfId="5742" priority="5720">
      <formula>$H95="non"</formula>
    </cfRule>
  </conditionalFormatting>
  <conditionalFormatting sqref="D94">
    <cfRule type="expression" dxfId="5741" priority="5711">
      <formula>$F94="Formation CCF"</formula>
    </cfRule>
    <cfRule type="expression" dxfId="5740" priority="5712">
      <formula>$F94="Direction"</formula>
    </cfRule>
    <cfRule type="expression" dxfId="5739" priority="5713">
      <formula>$F94="Ventes Sicli"</formula>
    </cfRule>
    <cfRule type="expression" dxfId="5738" priority="5714">
      <formula>$F94="Ventes Chubb"</formula>
    </cfRule>
    <cfRule type="expression" dxfId="5737" priority="5715">
      <formula>$F94="SAV Sicli"</formula>
    </cfRule>
    <cfRule type="expression" dxfId="5736" priority="5716">
      <formula>$F94="SAV Chubb"</formula>
    </cfRule>
    <cfRule type="expression" dxfId="5735" priority="5717">
      <formula>$F94="Réalisation"</formula>
    </cfRule>
    <cfRule type="expression" dxfId="5734" priority="5718">
      <formula>$F94="Désenfumage"</formula>
    </cfRule>
    <cfRule type="expression" dxfId="5733" priority="5719">
      <formula>$F94="Administratif"</formula>
    </cfRule>
  </conditionalFormatting>
  <conditionalFormatting sqref="D94">
    <cfRule type="expression" dxfId="5732" priority="5710">
      <formula>$H94="non"</formula>
    </cfRule>
  </conditionalFormatting>
  <conditionalFormatting sqref="D93">
    <cfRule type="expression" dxfId="5731" priority="5701">
      <formula>$F93="Formation CCF"</formula>
    </cfRule>
    <cfRule type="expression" dxfId="5730" priority="5702">
      <formula>$F93="Direction"</formula>
    </cfRule>
    <cfRule type="expression" dxfId="5729" priority="5703">
      <formula>$F93="Ventes Sicli"</formula>
    </cfRule>
    <cfRule type="expression" dxfId="5728" priority="5704">
      <formula>$F93="Ventes Chubb"</formula>
    </cfRule>
    <cfRule type="expression" dxfId="5727" priority="5705">
      <formula>$F93="SAV Sicli"</formula>
    </cfRule>
    <cfRule type="expression" dxfId="5726" priority="5706">
      <formula>$F93="SAV Chubb"</formula>
    </cfRule>
    <cfRule type="expression" dxfId="5725" priority="5707">
      <formula>$F93="Réalisation"</formula>
    </cfRule>
    <cfRule type="expression" dxfId="5724" priority="5708">
      <formula>$F93="Désenfumage"</formula>
    </cfRule>
    <cfRule type="expression" dxfId="5723" priority="5709">
      <formula>$F93="Administratif"</formula>
    </cfRule>
  </conditionalFormatting>
  <conditionalFormatting sqref="D93">
    <cfRule type="expression" dxfId="5722" priority="5700">
      <formula>$H93="non"</formula>
    </cfRule>
  </conditionalFormatting>
  <conditionalFormatting sqref="D92">
    <cfRule type="expression" dxfId="5721" priority="5691">
      <formula>$F92="Formation CCF"</formula>
    </cfRule>
    <cfRule type="expression" dxfId="5720" priority="5692">
      <formula>$F92="Direction"</formula>
    </cfRule>
    <cfRule type="expression" dxfId="5719" priority="5693">
      <formula>$F92="Ventes Sicli"</formula>
    </cfRule>
    <cfRule type="expression" dxfId="5718" priority="5694">
      <formula>$F92="Ventes Chubb"</formula>
    </cfRule>
    <cfRule type="expression" dxfId="5717" priority="5695">
      <formula>$F92="SAV Sicli"</formula>
    </cfRule>
    <cfRule type="expression" dxfId="5716" priority="5696">
      <formula>$F92="SAV Chubb"</formula>
    </cfRule>
    <cfRule type="expression" dxfId="5715" priority="5697">
      <formula>$F92="Réalisation"</formula>
    </cfRule>
    <cfRule type="expression" dxfId="5714" priority="5698">
      <formula>$F92="Désenfumage"</formula>
    </cfRule>
    <cfRule type="expression" dxfId="5713" priority="5699">
      <formula>$F92="Administratif"</formula>
    </cfRule>
  </conditionalFormatting>
  <conditionalFormatting sqref="D92">
    <cfRule type="expression" dxfId="5712" priority="5690">
      <formula>$H92="non"</formula>
    </cfRule>
  </conditionalFormatting>
  <conditionalFormatting sqref="D91">
    <cfRule type="expression" dxfId="5711" priority="5681">
      <formula>$F91="Formation CCF"</formula>
    </cfRule>
    <cfRule type="expression" dxfId="5710" priority="5682">
      <formula>$F91="Direction"</formula>
    </cfRule>
    <cfRule type="expression" dxfId="5709" priority="5683">
      <formula>$F91="Ventes Sicli"</formula>
    </cfRule>
    <cfRule type="expression" dxfId="5708" priority="5684">
      <formula>$F91="Ventes Chubb"</formula>
    </cfRule>
    <cfRule type="expression" dxfId="5707" priority="5685">
      <formula>$F91="SAV Sicli"</formula>
    </cfRule>
    <cfRule type="expression" dxfId="5706" priority="5686">
      <formula>$F91="SAV Chubb"</formula>
    </cfRule>
    <cfRule type="expression" dxfId="5705" priority="5687">
      <formula>$F91="Réalisation"</formula>
    </cfRule>
    <cfRule type="expression" dxfId="5704" priority="5688">
      <formula>$F91="Désenfumage"</formula>
    </cfRule>
    <cfRule type="expression" dxfId="5703" priority="5689">
      <formula>$F91="Administratif"</formula>
    </cfRule>
  </conditionalFormatting>
  <conditionalFormatting sqref="D91">
    <cfRule type="expression" dxfId="5702" priority="5680">
      <formula>$H91="non"</formula>
    </cfRule>
  </conditionalFormatting>
  <conditionalFormatting sqref="D90">
    <cfRule type="expression" dxfId="5701" priority="5671">
      <formula>$F90="Formation CCF"</formula>
    </cfRule>
    <cfRule type="expression" dxfId="5700" priority="5672">
      <formula>$F90="Direction"</formula>
    </cfRule>
    <cfRule type="expression" dxfId="5699" priority="5673">
      <formula>$F90="Ventes Sicli"</formula>
    </cfRule>
    <cfRule type="expression" dxfId="5698" priority="5674">
      <formula>$F90="Ventes Chubb"</formula>
    </cfRule>
    <cfRule type="expression" dxfId="5697" priority="5675">
      <formula>$F90="SAV Sicli"</formula>
    </cfRule>
    <cfRule type="expression" dxfId="5696" priority="5676">
      <formula>$F90="SAV Chubb"</formula>
    </cfRule>
    <cfRule type="expression" dxfId="5695" priority="5677">
      <formula>$F90="Réalisation"</formula>
    </cfRule>
    <cfRule type="expression" dxfId="5694" priority="5678">
      <formula>$F90="Désenfumage"</formula>
    </cfRule>
    <cfRule type="expression" dxfId="5693" priority="5679">
      <formula>$F90="Administratif"</formula>
    </cfRule>
  </conditionalFormatting>
  <conditionalFormatting sqref="D90">
    <cfRule type="expression" dxfId="5692" priority="5670">
      <formula>$H90="non"</formula>
    </cfRule>
  </conditionalFormatting>
  <conditionalFormatting sqref="D89">
    <cfRule type="expression" dxfId="5691" priority="5661">
      <formula>$F89="Formation CCF"</formula>
    </cfRule>
    <cfRule type="expression" dxfId="5690" priority="5662">
      <formula>$F89="Direction"</formula>
    </cfRule>
    <cfRule type="expression" dxfId="5689" priority="5663">
      <formula>$F89="Ventes Sicli"</formula>
    </cfRule>
    <cfRule type="expression" dxfId="5688" priority="5664">
      <formula>$F89="Ventes Chubb"</formula>
    </cfRule>
    <cfRule type="expression" dxfId="5687" priority="5665">
      <formula>$F89="SAV Sicli"</formula>
    </cfRule>
    <cfRule type="expression" dxfId="5686" priority="5666">
      <formula>$F89="SAV Chubb"</formula>
    </cfRule>
    <cfRule type="expression" dxfId="5685" priority="5667">
      <formula>$F89="Réalisation"</formula>
    </cfRule>
    <cfRule type="expression" dxfId="5684" priority="5668">
      <formula>$F89="Désenfumage"</formula>
    </cfRule>
    <cfRule type="expression" dxfId="5683" priority="5669">
      <formula>$F89="Administratif"</formula>
    </cfRule>
  </conditionalFormatting>
  <conditionalFormatting sqref="D89">
    <cfRule type="expression" dxfId="5682" priority="5660">
      <formula>$H89="non"</formula>
    </cfRule>
  </conditionalFormatting>
  <conditionalFormatting sqref="D88">
    <cfRule type="expression" dxfId="5681" priority="5651">
      <formula>$F88="Formation CCF"</formula>
    </cfRule>
    <cfRule type="expression" dxfId="5680" priority="5652">
      <formula>$F88="Direction"</formula>
    </cfRule>
    <cfRule type="expression" dxfId="5679" priority="5653">
      <formula>$F88="Ventes Sicli"</formula>
    </cfRule>
    <cfRule type="expression" dxfId="5678" priority="5654">
      <formula>$F88="Ventes Chubb"</formula>
    </cfRule>
    <cfRule type="expression" dxfId="5677" priority="5655">
      <formula>$F88="SAV Sicli"</formula>
    </cfRule>
    <cfRule type="expression" dxfId="5676" priority="5656">
      <formula>$F88="SAV Chubb"</formula>
    </cfRule>
    <cfRule type="expression" dxfId="5675" priority="5657">
      <formula>$F88="Réalisation"</formula>
    </cfRule>
    <cfRule type="expression" dxfId="5674" priority="5658">
      <formula>$F88="Désenfumage"</formula>
    </cfRule>
    <cfRule type="expression" dxfId="5673" priority="5659">
      <formula>$F88="Administratif"</formula>
    </cfRule>
  </conditionalFormatting>
  <conditionalFormatting sqref="D88">
    <cfRule type="expression" dxfId="5672" priority="5650">
      <formula>$H88="non"</formula>
    </cfRule>
  </conditionalFormatting>
  <conditionalFormatting sqref="D96">
    <cfRule type="expression" dxfId="5671" priority="5641">
      <formula>$F96="Formation CCF"</formula>
    </cfRule>
    <cfRule type="expression" dxfId="5670" priority="5642">
      <formula>$F96="Direction"</formula>
    </cfRule>
    <cfRule type="expression" dxfId="5669" priority="5643">
      <formula>$F96="Ventes Sicli"</formula>
    </cfRule>
    <cfRule type="expression" dxfId="5668" priority="5644">
      <formula>$F96="Ventes Chubb"</formula>
    </cfRule>
    <cfRule type="expression" dxfId="5667" priority="5645">
      <formula>$F96="SAV Sicli"</formula>
    </cfRule>
    <cfRule type="expression" dxfId="5666" priority="5646">
      <formula>$F96="SAV Chubb"</formula>
    </cfRule>
    <cfRule type="expression" dxfId="5665" priority="5647">
      <formula>$F96="Réalisation"</formula>
    </cfRule>
    <cfRule type="expression" dxfId="5664" priority="5648">
      <formula>$F96="Désenfumage"</formula>
    </cfRule>
    <cfRule type="expression" dxfId="5663" priority="5649">
      <formula>$F96="Administratif"</formula>
    </cfRule>
  </conditionalFormatting>
  <conditionalFormatting sqref="D96">
    <cfRule type="expression" dxfId="5662" priority="5640">
      <formula>$H96="non"</formula>
    </cfRule>
  </conditionalFormatting>
  <conditionalFormatting sqref="D95">
    <cfRule type="expression" dxfId="5661" priority="5631">
      <formula>$F95="Formation CCF"</formula>
    </cfRule>
    <cfRule type="expression" dxfId="5660" priority="5632">
      <formula>$F95="Direction"</formula>
    </cfRule>
    <cfRule type="expression" dxfId="5659" priority="5633">
      <formula>$F95="Ventes Sicli"</formula>
    </cfRule>
    <cfRule type="expression" dxfId="5658" priority="5634">
      <formula>$F95="Ventes Chubb"</formula>
    </cfRule>
    <cfRule type="expression" dxfId="5657" priority="5635">
      <formula>$F95="SAV Sicli"</formula>
    </cfRule>
    <cfRule type="expression" dxfId="5656" priority="5636">
      <formula>$F95="SAV Chubb"</formula>
    </cfRule>
    <cfRule type="expression" dxfId="5655" priority="5637">
      <formula>$F95="Réalisation"</formula>
    </cfRule>
    <cfRule type="expression" dxfId="5654" priority="5638">
      <formula>$F95="Désenfumage"</formula>
    </cfRule>
    <cfRule type="expression" dxfId="5653" priority="5639">
      <formula>$F95="Administratif"</formula>
    </cfRule>
  </conditionalFormatting>
  <conditionalFormatting sqref="D95">
    <cfRule type="expression" dxfId="5652" priority="5630">
      <formula>$H95="non"</formula>
    </cfRule>
  </conditionalFormatting>
  <conditionalFormatting sqref="D94">
    <cfRule type="expression" dxfId="5651" priority="5621">
      <formula>$F94="Formation CCF"</formula>
    </cfRule>
    <cfRule type="expression" dxfId="5650" priority="5622">
      <formula>$F94="Direction"</formula>
    </cfRule>
    <cfRule type="expression" dxfId="5649" priority="5623">
      <formula>$F94="Ventes Sicli"</formula>
    </cfRule>
    <cfRule type="expression" dxfId="5648" priority="5624">
      <formula>$F94="Ventes Chubb"</formula>
    </cfRule>
    <cfRule type="expression" dxfId="5647" priority="5625">
      <formula>$F94="SAV Sicli"</formula>
    </cfRule>
    <cfRule type="expression" dxfId="5646" priority="5626">
      <formula>$F94="SAV Chubb"</formula>
    </cfRule>
    <cfRule type="expression" dxfId="5645" priority="5627">
      <formula>$F94="Réalisation"</formula>
    </cfRule>
    <cfRule type="expression" dxfId="5644" priority="5628">
      <formula>$F94="Désenfumage"</formula>
    </cfRule>
    <cfRule type="expression" dxfId="5643" priority="5629">
      <formula>$F94="Administratif"</formula>
    </cfRule>
  </conditionalFormatting>
  <conditionalFormatting sqref="D94">
    <cfRule type="expression" dxfId="5642" priority="5620">
      <formula>$H94="non"</formula>
    </cfRule>
  </conditionalFormatting>
  <conditionalFormatting sqref="D93">
    <cfRule type="expression" dxfId="5641" priority="5611">
      <formula>$F93="Formation CCF"</formula>
    </cfRule>
    <cfRule type="expression" dxfId="5640" priority="5612">
      <formula>$F93="Direction"</formula>
    </cfRule>
    <cfRule type="expression" dxfId="5639" priority="5613">
      <formula>$F93="Ventes Sicli"</formula>
    </cfRule>
    <cfRule type="expression" dxfId="5638" priority="5614">
      <formula>$F93="Ventes Chubb"</formula>
    </cfRule>
    <cfRule type="expression" dxfId="5637" priority="5615">
      <formula>$F93="SAV Sicli"</formula>
    </cfRule>
    <cfRule type="expression" dxfId="5636" priority="5616">
      <formula>$F93="SAV Chubb"</formula>
    </cfRule>
    <cfRule type="expression" dxfId="5635" priority="5617">
      <formula>$F93="Réalisation"</formula>
    </cfRule>
    <cfRule type="expression" dxfId="5634" priority="5618">
      <formula>$F93="Désenfumage"</formula>
    </cfRule>
    <cfRule type="expression" dxfId="5633" priority="5619">
      <formula>$F93="Administratif"</formula>
    </cfRule>
  </conditionalFormatting>
  <conditionalFormatting sqref="D93">
    <cfRule type="expression" dxfId="5632" priority="5610">
      <formula>$H93="non"</formula>
    </cfRule>
  </conditionalFormatting>
  <conditionalFormatting sqref="D91">
    <cfRule type="expression" dxfId="5631" priority="5601">
      <formula>$F91="Formation CCF"</formula>
    </cfRule>
    <cfRule type="expression" dxfId="5630" priority="5602">
      <formula>$F91="Direction"</formula>
    </cfRule>
    <cfRule type="expression" dxfId="5629" priority="5603">
      <formula>$F91="Ventes Sicli"</formula>
    </cfRule>
    <cfRule type="expression" dxfId="5628" priority="5604">
      <formula>$F91="Ventes Chubb"</formula>
    </cfRule>
    <cfRule type="expression" dxfId="5627" priority="5605">
      <formula>$F91="SAV Sicli"</formula>
    </cfRule>
    <cfRule type="expression" dxfId="5626" priority="5606">
      <formula>$F91="SAV Chubb"</formula>
    </cfRule>
    <cfRule type="expression" dxfId="5625" priority="5607">
      <formula>$F91="Réalisation"</formula>
    </cfRule>
    <cfRule type="expression" dxfId="5624" priority="5608">
      <formula>$F91="Désenfumage"</formula>
    </cfRule>
    <cfRule type="expression" dxfId="5623" priority="5609">
      <formula>$F91="Administratif"</formula>
    </cfRule>
  </conditionalFormatting>
  <conditionalFormatting sqref="D91">
    <cfRule type="expression" dxfId="5622" priority="5600">
      <formula>$H91="non"</formula>
    </cfRule>
  </conditionalFormatting>
  <conditionalFormatting sqref="D90">
    <cfRule type="expression" dxfId="5621" priority="5591">
      <formula>$F90="Formation CCF"</formula>
    </cfRule>
    <cfRule type="expression" dxfId="5620" priority="5592">
      <formula>$F90="Direction"</formula>
    </cfRule>
    <cfRule type="expression" dxfId="5619" priority="5593">
      <formula>$F90="Ventes Sicli"</formula>
    </cfRule>
    <cfRule type="expression" dxfId="5618" priority="5594">
      <formula>$F90="Ventes Chubb"</formula>
    </cfRule>
    <cfRule type="expression" dxfId="5617" priority="5595">
      <formula>$F90="SAV Sicli"</formula>
    </cfRule>
    <cfRule type="expression" dxfId="5616" priority="5596">
      <formula>$F90="SAV Chubb"</formula>
    </cfRule>
    <cfRule type="expression" dxfId="5615" priority="5597">
      <formula>$F90="Réalisation"</formula>
    </cfRule>
    <cfRule type="expression" dxfId="5614" priority="5598">
      <formula>$F90="Désenfumage"</formula>
    </cfRule>
    <cfRule type="expression" dxfId="5613" priority="5599">
      <formula>$F90="Administratif"</formula>
    </cfRule>
  </conditionalFormatting>
  <conditionalFormatting sqref="D90">
    <cfRule type="expression" dxfId="5612" priority="5590">
      <formula>$H90="non"</formula>
    </cfRule>
  </conditionalFormatting>
  <conditionalFormatting sqref="D89">
    <cfRule type="expression" dxfId="5611" priority="5581">
      <formula>$F89="Formation CCF"</formula>
    </cfRule>
    <cfRule type="expression" dxfId="5610" priority="5582">
      <formula>$F89="Direction"</formula>
    </cfRule>
    <cfRule type="expression" dxfId="5609" priority="5583">
      <formula>$F89="Ventes Sicli"</formula>
    </cfRule>
    <cfRule type="expression" dxfId="5608" priority="5584">
      <formula>$F89="Ventes Chubb"</formula>
    </cfRule>
    <cfRule type="expression" dxfId="5607" priority="5585">
      <formula>$F89="SAV Sicli"</formula>
    </cfRule>
    <cfRule type="expression" dxfId="5606" priority="5586">
      <formula>$F89="SAV Chubb"</formula>
    </cfRule>
    <cfRule type="expression" dxfId="5605" priority="5587">
      <formula>$F89="Réalisation"</formula>
    </cfRule>
    <cfRule type="expression" dxfId="5604" priority="5588">
      <formula>$F89="Désenfumage"</formula>
    </cfRule>
    <cfRule type="expression" dxfId="5603" priority="5589">
      <formula>$F89="Administratif"</formula>
    </cfRule>
  </conditionalFormatting>
  <conditionalFormatting sqref="D89">
    <cfRule type="expression" dxfId="5602" priority="5580">
      <formula>$H89="non"</formula>
    </cfRule>
  </conditionalFormatting>
  <conditionalFormatting sqref="C95:D95">
    <cfRule type="expression" dxfId="5601" priority="5571">
      <formula>$F95="Formation CCF"</formula>
    </cfRule>
    <cfRule type="expression" dxfId="5600" priority="5572">
      <formula>$F95="Direction"</formula>
    </cfRule>
    <cfRule type="expression" dxfId="5599" priority="5573">
      <formula>$F95="Ventes Sicli"</formula>
    </cfRule>
    <cfRule type="expression" dxfId="5598" priority="5574">
      <formula>$F95="Ventes Chubb"</formula>
    </cfRule>
    <cfRule type="expression" dxfId="5597" priority="5575">
      <formula>$F95="SAV Sicli"</formula>
    </cfRule>
    <cfRule type="expression" dxfId="5596" priority="5576">
      <formula>$F95="SAV Chubb"</formula>
    </cfRule>
    <cfRule type="expression" dxfId="5595" priority="5577">
      <formula>$F95="Réalisation"</formula>
    </cfRule>
    <cfRule type="expression" dxfId="5594" priority="5578">
      <formula>$F95="Désenfumage"</formula>
    </cfRule>
    <cfRule type="expression" dxfId="5593" priority="5579">
      <formula>$F95="Administratif"</formula>
    </cfRule>
  </conditionalFormatting>
  <conditionalFormatting sqref="C95:D95">
    <cfRule type="expression" dxfId="5592" priority="5570">
      <formula>$H95="non"</formula>
    </cfRule>
  </conditionalFormatting>
  <conditionalFormatting sqref="C94:D94">
    <cfRule type="expression" dxfId="5591" priority="5561">
      <formula>$F94="Formation CCF"</formula>
    </cfRule>
    <cfRule type="expression" dxfId="5590" priority="5562">
      <formula>$F94="Direction"</formula>
    </cfRule>
    <cfRule type="expression" dxfId="5589" priority="5563">
      <formula>$F94="Ventes Sicli"</formula>
    </cfRule>
    <cfRule type="expression" dxfId="5588" priority="5564">
      <formula>$F94="Ventes Chubb"</formula>
    </cfRule>
    <cfRule type="expression" dxfId="5587" priority="5565">
      <formula>$F94="SAV Sicli"</formula>
    </cfRule>
    <cfRule type="expression" dxfId="5586" priority="5566">
      <formula>$F94="SAV Chubb"</formula>
    </cfRule>
    <cfRule type="expression" dxfId="5585" priority="5567">
      <formula>$F94="Réalisation"</formula>
    </cfRule>
    <cfRule type="expression" dxfId="5584" priority="5568">
      <formula>$F94="Désenfumage"</formula>
    </cfRule>
    <cfRule type="expression" dxfId="5583" priority="5569">
      <formula>$F94="Administratif"</formula>
    </cfRule>
  </conditionalFormatting>
  <conditionalFormatting sqref="C94:D94">
    <cfRule type="expression" dxfId="5582" priority="5560">
      <formula>$H94="non"</formula>
    </cfRule>
  </conditionalFormatting>
  <conditionalFormatting sqref="C93:D93">
    <cfRule type="expression" dxfId="5581" priority="5551">
      <formula>$F93="Formation CCF"</formula>
    </cfRule>
    <cfRule type="expression" dxfId="5580" priority="5552">
      <formula>$F93="Direction"</formula>
    </cfRule>
    <cfRule type="expression" dxfId="5579" priority="5553">
      <formula>$F93="Ventes Sicli"</formula>
    </cfRule>
    <cfRule type="expression" dxfId="5578" priority="5554">
      <formula>$F93="Ventes Chubb"</formula>
    </cfRule>
    <cfRule type="expression" dxfId="5577" priority="5555">
      <formula>$F93="SAV Sicli"</formula>
    </cfRule>
    <cfRule type="expression" dxfId="5576" priority="5556">
      <formula>$F93="SAV Chubb"</formula>
    </cfRule>
    <cfRule type="expression" dxfId="5575" priority="5557">
      <formula>$F93="Réalisation"</formula>
    </cfRule>
    <cfRule type="expression" dxfId="5574" priority="5558">
      <formula>$F93="Désenfumage"</formula>
    </cfRule>
    <cfRule type="expression" dxfId="5573" priority="5559">
      <formula>$F93="Administratif"</formula>
    </cfRule>
  </conditionalFormatting>
  <conditionalFormatting sqref="C93:D93">
    <cfRule type="expression" dxfId="5572" priority="5550">
      <formula>$H93="non"</formula>
    </cfRule>
  </conditionalFormatting>
  <conditionalFormatting sqref="C92:D92">
    <cfRule type="expression" dxfId="5571" priority="5541">
      <formula>$F92="Formation CCF"</formula>
    </cfRule>
    <cfRule type="expression" dxfId="5570" priority="5542">
      <formula>$F92="Direction"</formula>
    </cfRule>
    <cfRule type="expression" dxfId="5569" priority="5543">
      <formula>$F92="Ventes Sicli"</formula>
    </cfRule>
    <cfRule type="expression" dxfId="5568" priority="5544">
      <formula>$F92="Ventes Chubb"</formula>
    </cfRule>
    <cfRule type="expression" dxfId="5567" priority="5545">
      <formula>$F92="SAV Sicli"</formula>
    </cfRule>
    <cfRule type="expression" dxfId="5566" priority="5546">
      <formula>$F92="SAV Chubb"</formula>
    </cfRule>
    <cfRule type="expression" dxfId="5565" priority="5547">
      <formula>$F92="Réalisation"</formula>
    </cfRule>
    <cfRule type="expression" dxfId="5564" priority="5548">
      <formula>$F92="Désenfumage"</formula>
    </cfRule>
    <cfRule type="expression" dxfId="5563" priority="5549">
      <formula>$F92="Administratif"</formula>
    </cfRule>
  </conditionalFormatting>
  <conditionalFormatting sqref="C92:D92">
    <cfRule type="expression" dxfId="5562" priority="5540">
      <formula>$H92="non"</formula>
    </cfRule>
  </conditionalFormatting>
  <conditionalFormatting sqref="C91:D91">
    <cfRule type="expression" dxfId="5561" priority="5531">
      <formula>$F91="Formation CCF"</formula>
    </cfRule>
    <cfRule type="expression" dxfId="5560" priority="5532">
      <formula>$F91="Direction"</formula>
    </cfRule>
    <cfRule type="expression" dxfId="5559" priority="5533">
      <formula>$F91="Ventes Sicli"</formula>
    </cfRule>
    <cfRule type="expression" dxfId="5558" priority="5534">
      <formula>$F91="Ventes Chubb"</formula>
    </cfRule>
    <cfRule type="expression" dxfId="5557" priority="5535">
      <formula>$F91="SAV Sicli"</formula>
    </cfRule>
    <cfRule type="expression" dxfId="5556" priority="5536">
      <formula>$F91="SAV Chubb"</formula>
    </cfRule>
    <cfRule type="expression" dxfId="5555" priority="5537">
      <formula>$F91="Réalisation"</formula>
    </cfRule>
    <cfRule type="expression" dxfId="5554" priority="5538">
      <formula>$F91="Désenfumage"</formula>
    </cfRule>
    <cfRule type="expression" dxfId="5553" priority="5539">
      <formula>$F91="Administratif"</formula>
    </cfRule>
  </conditionalFormatting>
  <conditionalFormatting sqref="C91:D91">
    <cfRule type="expression" dxfId="5552" priority="5530">
      <formula>$H91="non"</formula>
    </cfRule>
  </conditionalFormatting>
  <conditionalFormatting sqref="C90:D90">
    <cfRule type="expression" dxfId="5551" priority="5521">
      <formula>$F90="Formation CCF"</formula>
    </cfRule>
    <cfRule type="expression" dxfId="5550" priority="5522">
      <formula>$F90="Direction"</formula>
    </cfRule>
    <cfRule type="expression" dxfId="5549" priority="5523">
      <formula>$F90="Ventes Sicli"</formula>
    </cfRule>
    <cfRule type="expression" dxfId="5548" priority="5524">
      <formula>$F90="Ventes Chubb"</formula>
    </cfRule>
    <cfRule type="expression" dxfId="5547" priority="5525">
      <formula>$F90="SAV Sicli"</formula>
    </cfRule>
    <cfRule type="expression" dxfId="5546" priority="5526">
      <formula>$F90="SAV Chubb"</formula>
    </cfRule>
    <cfRule type="expression" dxfId="5545" priority="5527">
      <formula>$F90="Réalisation"</formula>
    </cfRule>
    <cfRule type="expression" dxfId="5544" priority="5528">
      <formula>$F90="Désenfumage"</formula>
    </cfRule>
    <cfRule type="expression" dxfId="5543" priority="5529">
      <formula>$F90="Administratif"</formula>
    </cfRule>
  </conditionalFormatting>
  <conditionalFormatting sqref="C90:D90">
    <cfRule type="expression" dxfId="5542" priority="5520">
      <formula>$H90="non"</formula>
    </cfRule>
  </conditionalFormatting>
  <conditionalFormatting sqref="C89:D89">
    <cfRule type="expression" dxfId="5541" priority="5511">
      <formula>$F89="Formation CCF"</formula>
    </cfRule>
    <cfRule type="expression" dxfId="5540" priority="5512">
      <formula>$F89="Direction"</formula>
    </cfRule>
    <cfRule type="expression" dxfId="5539" priority="5513">
      <formula>$F89="Ventes Sicli"</formula>
    </cfRule>
    <cfRule type="expression" dxfId="5538" priority="5514">
      <formula>$F89="Ventes Chubb"</formula>
    </cfRule>
    <cfRule type="expression" dxfId="5537" priority="5515">
      <formula>$F89="SAV Sicli"</formula>
    </cfRule>
    <cfRule type="expression" dxfId="5536" priority="5516">
      <formula>$F89="SAV Chubb"</formula>
    </cfRule>
    <cfRule type="expression" dxfId="5535" priority="5517">
      <formula>$F89="Réalisation"</formula>
    </cfRule>
    <cfRule type="expression" dxfId="5534" priority="5518">
      <formula>$F89="Désenfumage"</formula>
    </cfRule>
    <cfRule type="expression" dxfId="5533" priority="5519">
      <formula>$F89="Administratif"</formula>
    </cfRule>
  </conditionalFormatting>
  <conditionalFormatting sqref="C89:D89">
    <cfRule type="expression" dxfId="5532" priority="5510">
      <formula>$H89="non"</formula>
    </cfRule>
  </conditionalFormatting>
  <conditionalFormatting sqref="C88:D88">
    <cfRule type="expression" dxfId="5531" priority="5501">
      <formula>$F88="Formation CCF"</formula>
    </cfRule>
    <cfRule type="expression" dxfId="5530" priority="5502">
      <formula>$F88="Direction"</formula>
    </cfRule>
    <cfRule type="expression" dxfId="5529" priority="5503">
      <formula>$F88="Ventes Sicli"</formula>
    </cfRule>
    <cfRule type="expression" dxfId="5528" priority="5504">
      <formula>$F88="Ventes Chubb"</formula>
    </cfRule>
    <cfRule type="expression" dxfId="5527" priority="5505">
      <formula>$F88="SAV Sicli"</formula>
    </cfRule>
    <cfRule type="expression" dxfId="5526" priority="5506">
      <formula>$F88="SAV Chubb"</formula>
    </cfRule>
    <cfRule type="expression" dxfId="5525" priority="5507">
      <formula>$F88="Réalisation"</formula>
    </cfRule>
    <cfRule type="expression" dxfId="5524" priority="5508">
      <formula>$F88="Désenfumage"</formula>
    </cfRule>
    <cfRule type="expression" dxfId="5523" priority="5509">
      <formula>$F88="Administratif"</formula>
    </cfRule>
  </conditionalFormatting>
  <conditionalFormatting sqref="C88:D88">
    <cfRule type="expression" dxfId="5522" priority="5500">
      <formula>$H88="non"</formula>
    </cfRule>
  </conditionalFormatting>
  <conditionalFormatting sqref="C91:D91">
    <cfRule type="expression" dxfId="5521" priority="5491">
      <formula>$F91="Formation CCF"</formula>
    </cfRule>
    <cfRule type="expression" dxfId="5520" priority="5492">
      <formula>$F91="Direction"</formula>
    </cfRule>
    <cfRule type="expression" dxfId="5519" priority="5493">
      <formula>$F91="Ventes Sicli"</formula>
    </cfRule>
    <cfRule type="expression" dxfId="5518" priority="5494">
      <formula>$F91="Ventes Chubb"</formula>
    </cfRule>
    <cfRule type="expression" dxfId="5517" priority="5495">
      <formula>$F91="SAV Sicli"</formula>
    </cfRule>
    <cfRule type="expression" dxfId="5516" priority="5496">
      <formula>$F91="SAV Chubb"</formula>
    </cfRule>
    <cfRule type="expression" dxfId="5515" priority="5497">
      <formula>$F91="Réalisation"</formula>
    </cfRule>
    <cfRule type="expression" dxfId="5514" priority="5498">
      <formula>$F91="Désenfumage"</formula>
    </cfRule>
    <cfRule type="expression" dxfId="5513" priority="5499">
      <formula>$F91="Administratif"</formula>
    </cfRule>
  </conditionalFormatting>
  <conditionalFormatting sqref="C91:D91">
    <cfRule type="expression" dxfId="5512" priority="5490">
      <formula>$H91="non"</formula>
    </cfRule>
  </conditionalFormatting>
  <conditionalFormatting sqref="C90:D90">
    <cfRule type="expression" dxfId="5511" priority="5481">
      <formula>$F90="Formation CCF"</formula>
    </cfRule>
    <cfRule type="expression" dxfId="5510" priority="5482">
      <formula>$F90="Direction"</formula>
    </cfRule>
    <cfRule type="expression" dxfId="5509" priority="5483">
      <formula>$F90="Ventes Sicli"</formula>
    </cfRule>
    <cfRule type="expression" dxfId="5508" priority="5484">
      <formula>$F90="Ventes Chubb"</formula>
    </cfRule>
    <cfRule type="expression" dxfId="5507" priority="5485">
      <formula>$F90="SAV Sicli"</formula>
    </cfRule>
    <cfRule type="expression" dxfId="5506" priority="5486">
      <formula>$F90="SAV Chubb"</formula>
    </cfRule>
    <cfRule type="expression" dxfId="5505" priority="5487">
      <formula>$F90="Réalisation"</formula>
    </cfRule>
    <cfRule type="expression" dxfId="5504" priority="5488">
      <formula>$F90="Désenfumage"</formula>
    </cfRule>
    <cfRule type="expression" dxfId="5503" priority="5489">
      <formula>$F90="Administratif"</formula>
    </cfRule>
  </conditionalFormatting>
  <conditionalFormatting sqref="C90:D90">
    <cfRule type="expression" dxfId="5502" priority="5480">
      <formula>$H90="non"</formula>
    </cfRule>
  </conditionalFormatting>
  <conditionalFormatting sqref="C89:D89">
    <cfRule type="expression" dxfId="5501" priority="5471">
      <formula>$F89="Formation CCF"</formula>
    </cfRule>
    <cfRule type="expression" dxfId="5500" priority="5472">
      <formula>$F89="Direction"</formula>
    </cfRule>
    <cfRule type="expression" dxfId="5499" priority="5473">
      <formula>$F89="Ventes Sicli"</formula>
    </cfRule>
    <cfRule type="expression" dxfId="5498" priority="5474">
      <formula>$F89="Ventes Chubb"</formula>
    </cfRule>
    <cfRule type="expression" dxfId="5497" priority="5475">
      <formula>$F89="SAV Sicli"</formula>
    </cfRule>
    <cfRule type="expression" dxfId="5496" priority="5476">
      <formula>$F89="SAV Chubb"</formula>
    </cfRule>
    <cfRule type="expression" dxfId="5495" priority="5477">
      <formula>$F89="Réalisation"</formula>
    </cfRule>
    <cfRule type="expression" dxfId="5494" priority="5478">
      <formula>$F89="Désenfumage"</formula>
    </cfRule>
    <cfRule type="expression" dxfId="5493" priority="5479">
      <formula>$F89="Administratif"</formula>
    </cfRule>
  </conditionalFormatting>
  <conditionalFormatting sqref="C89:D89">
    <cfRule type="expression" dxfId="5492" priority="5470">
      <formula>$H89="non"</formula>
    </cfRule>
  </conditionalFormatting>
  <conditionalFormatting sqref="C88:D88">
    <cfRule type="expression" dxfId="5491" priority="5461">
      <formula>$F88="Formation CCF"</formula>
    </cfRule>
    <cfRule type="expression" dxfId="5490" priority="5462">
      <formula>$F88="Direction"</formula>
    </cfRule>
    <cfRule type="expression" dxfId="5489" priority="5463">
      <formula>$F88="Ventes Sicli"</formula>
    </cfRule>
    <cfRule type="expression" dxfId="5488" priority="5464">
      <formula>$F88="Ventes Chubb"</formula>
    </cfRule>
    <cfRule type="expression" dxfId="5487" priority="5465">
      <formula>$F88="SAV Sicli"</formula>
    </cfRule>
    <cfRule type="expression" dxfId="5486" priority="5466">
      <formula>$F88="SAV Chubb"</formula>
    </cfRule>
    <cfRule type="expression" dxfId="5485" priority="5467">
      <formula>$F88="Réalisation"</formula>
    </cfRule>
    <cfRule type="expression" dxfId="5484" priority="5468">
      <formula>$F88="Désenfumage"</formula>
    </cfRule>
    <cfRule type="expression" dxfId="5483" priority="5469">
      <formula>$F88="Administratif"</formula>
    </cfRule>
  </conditionalFormatting>
  <conditionalFormatting sqref="C88:D88">
    <cfRule type="expression" dxfId="5482" priority="5460">
      <formula>$H88="non"</formula>
    </cfRule>
  </conditionalFormatting>
  <conditionalFormatting sqref="C91:D91">
    <cfRule type="expression" dxfId="5481" priority="5451">
      <formula>$F91="Formation CCF"</formula>
    </cfRule>
    <cfRule type="expression" dxfId="5480" priority="5452">
      <formula>$F91="Direction"</formula>
    </cfRule>
    <cfRule type="expression" dxfId="5479" priority="5453">
      <formula>$F91="Ventes Sicli"</formula>
    </cfRule>
    <cfRule type="expression" dxfId="5478" priority="5454">
      <formula>$F91="Ventes Chubb"</formula>
    </cfRule>
    <cfRule type="expression" dxfId="5477" priority="5455">
      <formula>$F91="SAV Sicli"</formula>
    </cfRule>
    <cfRule type="expression" dxfId="5476" priority="5456">
      <formula>$F91="SAV Chubb"</formula>
    </cfRule>
    <cfRule type="expression" dxfId="5475" priority="5457">
      <formula>$F91="Réalisation"</formula>
    </cfRule>
    <cfRule type="expression" dxfId="5474" priority="5458">
      <formula>$F91="Désenfumage"</formula>
    </cfRule>
    <cfRule type="expression" dxfId="5473" priority="5459">
      <formula>$F91="Administratif"</formula>
    </cfRule>
  </conditionalFormatting>
  <conditionalFormatting sqref="C91:D91">
    <cfRule type="expression" dxfId="5472" priority="5450">
      <formula>$H91="non"</formula>
    </cfRule>
  </conditionalFormatting>
  <conditionalFormatting sqref="C90:D90">
    <cfRule type="expression" dxfId="5471" priority="5441">
      <formula>$F90="Formation CCF"</formula>
    </cfRule>
    <cfRule type="expression" dxfId="5470" priority="5442">
      <formula>$F90="Direction"</formula>
    </cfRule>
    <cfRule type="expression" dxfId="5469" priority="5443">
      <formula>$F90="Ventes Sicli"</formula>
    </cfRule>
    <cfRule type="expression" dxfId="5468" priority="5444">
      <formula>$F90="Ventes Chubb"</formula>
    </cfRule>
    <cfRule type="expression" dxfId="5467" priority="5445">
      <formula>$F90="SAV Sicli"</formula>
    </cfRule>
    <cfRule type="expression" dxfId="5466" priority="5446">
      <formula>$F90="SAV Chubb"</formula>
    </cfRule>
    <cfRule type="expression" dxfId="5465" priority="5447">
      <formula>$F90="Réalisation"</formula>
    </cfRule>
    <cfRule type="expression" dxfId="5464" priority="5448">
      <formula>$F90="Désenfumage"</formula>
    </cfRule>
    <cfRule type="expression" dxfId="5463" priority="5449">
      <formula>$F90="Administratif"</formula>
    </cfRule>
  </conditionalFormatting>
  <conditionalFormatting sqref="C90:D90">
    <cfRule type="expression" dxfId="5462" priority="5440">
      <formula>$H90="non"</formula>
    </cfRule>
  </conditionalFormatting>
  <conditionalFormatting sqref="C89:D89">
    <cfRule type="expression" dxfId="5461" priority="5431">
      <formula>$F89="Formation CCF"</formula>
    </cfRule>
    <cfRule type="expression" dxfId="5460" priority="5432">
      <formula>$F89="Direction"</formula>
    </cfRule>
    <cfRule type="expression" dxfId="5459" priority="5433">
      <formula>$F89="Ventes Sicli"</formula>
    </cfRule>
    <cfRule type="expression" dxfId="5458" priority="5434">
      <formula>$F89="Ventes Chubb"</formula>
    </cfRule>
    <cfRule type="expression" dxfId="5457" priority="5435">
      <formula>$F89="SAV Sicli"</formula>
    </cfRule>
    <cfRule type="expression" dxfId="5456" priority="5436">
      <formula>$F89="SAV Chubb"</formula>
    </cfRule>
    <cfRule type="expression" dxfId="5455" priority="5437">
      <formula>$F89="Réalisation"</formula>
    </cfRule>
    <cfRule type="expression" dxfId="5454" priority="5438">
      <formula>$F89="Désenfumage"</formula>
    </cfRule>
    <cfRule type="expression" dxfId="5453" priority="5439">
      <formula>$F89="Administratif"</formula>
    </cfRule>
  </conditionalFormatting>
  <conditionalFormatting sqref="C89:D89">
    <cfRule type="expression" dxfId="5452" priority="5430">
      <formula>$H89="non"</formula>
    </cfRule>
  </conditionalFormatting>
  <conditionalFormatting sqref="C88:D88">
    <cfRule type="expression" dxfId="5451" priority="5421">
      <formula>$F88="Formation CCF"</formula>
    </cfRule>
    <cfRule type="expression" dxfId="5450" priority="5422">
      <formula>$F88="Direction"</formula>
    </cfRule>
    <cfRule type="expression" dxfId="5449" priority="5423">
      <formula>$F88="Ventes Sicli"</formula>
    </cfRule>
    <cfRule type="expression" dxfId="5448" priority="5424">
      <formula>$F88="Ventes Chubb"</formula>
    </cfRule>
    <cfRule type="expression" dxfId="5447" priority="5425">
      <formula>$F88="SAV Sicli"</formula>
    </cfRule>
    <cfRule type="expression" dxfId="5446" priority="5426">
      <formula>$F88="SAV Chubb"</formula>
    </cfRule>
    <cfRule type="expression" dxfId="5445" priority="5427">
      <formula>$F88="Réalisation"</formula>
    </cfRule>
    <cfRule type="expression" dxfId="5444" priority="5428">
      <formula>$F88="Désenfumage"</formula>
    </cfRule>
    <cfRule type="expression" dxfId="5443" priority="5429">
      <formula>$F88="Administratif"</formula>
    </cfRule>
  </conditionalFormatting>
  <conditionalFormatting sqref="C88:D88">
    <cfRule type="expression" dxfId="5442" priority="5420">
      <formula>$H88="non"</formula>
    </cfRule>
  </conditionalFormatting>
  <conditionalFormatting sqref="C90:D90">
    <cfRule type="expression" dxfId="5441" priority="5411">
      <formula>$F90="Formation CCF"</formula>
    </cfRule>
    <cfRule type="expression" dxfId="5440" priority="5412">
      <formula>$F90="Direction"</formula>
    </cfRule>
    <cfRule type="expression" dxfId="5439" priority="5413">
      <formula>$F90="Ventes Sicli"</formula>
    </cfRule>
    <cfRule type="expression" dxfId="5438" priority="5414">
      <formula>$F90="Ventes Chubb"</formula>
    </cfRule>
    <cfRule type="expression" dxfId="5437" priority="5415">
      <formula>$F90="SAV Sicli"</formula>
    </cfRule>
    <cfRule type="expression" dxfId="5436" priority="5416">
      <formula>$F90="SAV Chubb"</formula>
    </cfRule>
    <cfRule type="expression" dxfId="5435" priority="5417">
      <formula>$F90="Réalisation"</formula>
    </cfRule>
    <cfRule type="expression" dxfId="5434" priority="5418">
      <formula>$F90="Désenfumage"</formula>
    </cfRule>
    <cfRule type="expression" dxfId="5433" priority="5419">
      <formula>$F90="Administratif"</formula>
    </cfRule>
  </conditionalFormatting>
  <conditionalFormatting sqref="C90:D90">
    <cfRule type="expression" dxfId="5432" priority="5410">
      <formula>$H90="non"</formula>
    </cfRule>
  </conditionalFormatting>
  <conditionalFormatting sqref="C89:D89">
    <cfRule type="expression" dxfId="5431" priority="5401">
      <formula>$F89="Formation CCF"</formula>
    </cfRule>
    <cfRule type="expression" dxfId="5430" priority="5402">
      <formula>$F89="Direction"</formula>
    </cfRule>
    <cfRule type="expression" dxfId="5429" priority="5403">
      <formula>$F89="Ventes Sicli"</formula>
    </cfRule>
    <cfRule type="expression" dxfId="5428" priority="5404">
      <formula>$F89="Ventes Chubb"</formula>
    </cfRule>
    <cfRule type="expression" dxfId="5427" priority="5405">
      <formula>$F89="SAV Sicli"</formula>
    </cfRule>
    <cfRule type="expression" dxfId="5426" priority="5406">
      <formula>$F89="SAV Chubb"</formula>
    </cfRule>
    <cfRule type="expression" dxfId="5425" priority="5407">
      <formula>$F89="Réalisation"</formula>
    </cfRule>
    <cfRule type="expression" dxfId="5424" priority="5408">
      <formula>$F89="Désenfumage"</formula>
    </cfRule>
    <cfRule type="expression" dxfId="5423" priority="5409">
      <formula>$F89="Administratif"</formula>
    </cfRule>
  </conditionalFormatting>
  <conditionalFormatting sqref="C89:D89">
    <cfRule type="expression" dxfId="5422" priority="5400">
      <formula>$H89="non"</formula>
    </cfRule>
  </conditionalFormatting>
  <conditionalFormatting sqref="C88:D88">
    <cfRule type="expression" dxfId="5421" priority="5391">
      <formula>$F88="Formation CCF"</formula>
    </cfRule>
    <cfRule type="expression" dxfId="5420" priority="5392">
      <formula>$F88="Direction"</formula>
    </cfRule>
    <cfRule type="expression" dxfId="5419" priority="5393">
      <formula>$F88="Ventes Sicli"</formula>
    </cfRule>
    <cfRule type="expression" dxfId="5418" priority="5394">
      <formula>$F88="Ventes Chubb"</formula>
    </cfRule>
    <cfRule type="expression" dxfId="5417" priority="5395">
      <formula>$F88="SAV Sicli"</formula>
    </cfRule>
    <cfRule type="expression" dxfId="5416" priority="5396">
      <formula>$F88="SAV Chubb"</formula>
    </cfRule>
    <cfRule type="expression" dxfId="5415" priority="5397">
      <formula>$F88="Réalisation"</formula>
    </cfRule>
    <cfRule type="expression" dxfId="5414" priority="5398">
      <formula>$F88="Désenfumage"</formula>
    </cfRule>
    <cfRule type="expression" dxfId="5413" priority="5399">
      <formula>$F88="Administratif"</formula>
    </cfRule>
  </conditionalFormatting>
  <conditionalFormatting sqref="C88:D88">
    <cfRule type="expression" dxfId="5412" priority="5390">
      <formula>$H88="non"</formula>
    </cfRule>
  </conditionalFormatting>
  <conditionalFormatting sqref="C87:D87">
    <cfRule type="expression" dxfId="5411" priority="5381">
      <formula>$F87="Formation CCF"</formula>
    </cfRule>
    <cfRule type="expression" dxfId="5410" priority="5382">
      <formula>$F87="Direction"</formula>
    </cfRule>
    <cfRule type="expression" dxfId="5409" priority="5383">
      <formula>$F87="Ventes Sicli"</formula>
    </cfRule>
    <cfRule type="expression" dxfId="5408" priority="5384">
      <formula>$F87="Ventes Chubb"</formula>
    </cfRule>
    <cfRule type="expression" dxfId="5407" priority="5385">
      <formula>$F87="SAV Sicli"</formula>
    </cfRule>
    <cfRule type="expression" dxfId="5406" priority="5386">
      <formula>$F87="SAV Chubb"</formula>
    </cfRule>
    <cfRule type="expression" dxfId="5405" priority="5387">
      <formula>$F87="Réalisation"</formula>
    </cfRule>
    <cfRule type="expression" dxfId="5404" priority="5388">
      <formula>$F87="Désenfumage"</formula>
    </cfRule>
    <cfRule type="expression" dxfId="5403" priority="5389">
      <formula>$F87="Administratif"</formula>
    </cfRule>
  </conditionalFormatting>
  <conditionalFormatting sqref="C87:D87">
    <cfRule type="expression" dxfId="5402" priority="5380">
      <formula>$H87="non"</formula>
    </cfRule>
  </conditionalFormatting>
  <conditionalFormatting sqref="C86:D86">
    <cfRule type="expression" dxfId="5401" priority="5371">
      <formula>$F86="Formation CCF"</formula>
    </cfRule>
    <cfRule type="expression" dxfId="5400" priority="5372">
      <formula>$F86="Direction"</formula>
    </cfRule>
    <cfRule type="expression" dxfId="5399" priority="5373">
      <formula>$F86="Ventes Sicli"</formula>
    </cfRule>
    <cfRule type="expression" dxfId="5398" priority="5374">
      <formula>$F86="Ventes Chubb"</formula>
    </cfRule>
    <cfRule type="expression" dxfId="5397" priority="5375">
      <formula>$F86="SAV Sicli"</formula>
    </cfRule>
    <cfRule type="expression" dxfId="5396" priority="5376">
      <formula>$F86="SAV Chubb"</formula>
    </cfRule>
    <cfRule type="expression" dxfId="5395" priority="5377">
      <formula>$F86="Réalisation"</formula>
    </cfRule>
    <cfRule type="expression" dxfId="5394" priority="5378">
      <formula>$F86="Désenfumage"</formula>
    </cfRule>
    <cfRule type="expression" dxfId="5393" priority="5379">
      <formula>$F86="Administratif"</formula>
    </cfRule>
  </conditionalFormatting>
  <conditionalFormatting sqref="C86:D86">
    <cfRule type="expression" dxfId="5392" priority="5370">
      <formula>$H86="non"</formula>
    </cfRule>
  </conditionalFormatting>
  <conditionalFormatting sqref="C85:D85">
    <cfRule type="expression" dxfId="5391" priority="5361">
      <formula>$F85="Formation CCF"</formula>
    </cfRule>
    <cfRule type="expression" dxfId="5390" priority="5362">
      <formula>$F85="Direction"</formula>
    </cfRule>
    <cfRule type="expression" dxfId="5389" priority="5363">
      <formula>$F85="Ventes Sicli"</formula>
    </cfRule>
    <cfRule type="expression" dxfId="5388" priority="5364">
      <formula>$F85="Ventes Chubb"</formula>
    </cfRule>
    <cfRule type="expression" dxfId="5387" priority="5365">
      <formula>$F85="SAV Sicli"</formula>
    </cfRule>
    <cfRule type="expression" dxfId="5386" priority="5366">
      <formula>$F85="SAV Chubb"</formula>
    </cfRule>
    <cfRule type="expression" dxfId="5385" priority="5367">
      <formula>$F85="Réalisation"</formula>
    </cfRule>
    <cfRule type="expression" dxfId="5384" priority="5368">
      <formula>$F85="Désenfumage"</formula>
    </cfRule>
    <cfRule type="expression" dxfId="5383" priority="5369">
      <formula>$F85="Administratif"</formula>
    </cfRule>
  </conditionalFormatting>
  <conditionalFormatting sqref="C85:D85">
    <cfRule type="expression" dxfId="5382" priority="5360">
      <formula>$H85="non"</formula>
    </cfRule>
  </conditionalFormatting>
  <conditionalFormatting sqref="D83">
    <cfRule type="expression" dxfId="5381" priority="5351">
      <formula>$F83="Formation CCF"</formula>
    </cfRule>
    <cfRule type="expression" dxfId="5380" priority="5352">
      <formula>$F83="Direction"</formula>
    </cfRule>
    <cfRule type="expression" dxfId="5379" priority="5353">
      <formula>$F83="Ventes Sicli"</formula>
    </cfRule>
    <cfRule type="expression" dxfId="5378" priority="5354">
      <formula>$F83="Ventes Chubb"</formula>
    </cfRule>
    <cfRule type="expression" dxfId="5377" priority="5355">
      <formula>$F83="SAV Sicli"</formula>
    </cfRule>
    <cfRule type="expression" dxfId="5376" priority="5356">
      <formula>$F83="SAV Chubb"</formula>
    </cfRule>
    <cfRule type="expression" dxfId="5375" priority="5357">
      <formula>$F83="Réalisation"</formula>
    </cfRule>
    <cfRule type="expression" dxfId="5374" priority="5358">
      <formula>$F83="Désenfumage"</formula>
    </cfRule>
    <cfRule type="expression" dxfId="5373" priority="5359">
      <formula>$F83="Administratif"</formula>
    </cfRule>
  </conditionalFormatting>
  <conditionalFormatting sqref="D83">
    <cfRule type="expression" dxfId="5372" priority="5350">
      <formula>$H83="non"</formula>
    </cfRule>
  </conditionalFormatting>
  <conditionalFormatting sqref="D82">
    <cfRule type="expression" dxfId="5371" priority="5341">
      <formula>$F82="Formation CCF"</formula>
    </cfRule>
    <cfRule type="expression" dxfId="5370" priority="5342">
      <formula>$F82="Direction"</formula>
    </cfRule>
    <cfRule type="expression" dxfId="5369" priority="5343">
      <formula>$F82="Ventes Sicli"</formula>
    </cfRule>
    <cfRule type="expression" dxfId="5368" priority="5344">
      <formula>$F82="Ventes Chubb"</formula>
    </cfRule>
    <cfRule type="expression" dxfId="5367" priority="5345">
      <formula>$F82="SAV Sicli"</formula>
    </cfRule>
    <cfRule type="expression" dxfId="5366" priority="5346">
      <formula>$F82="SAV Chubb"</formula>
    </cfRule>
    <cfRule type="expression" dxfId="5365" priority="5347">
      <formula>$F82="Réalisation"</formula>
    </cfRule>
    <cfRule type="expression" dxfId="5364" priority="5348">
      <formula>$F82="Désenfumage"</formula>
    </cfRule>
    <cfRule type="expression" dxfId="5363" priority="5349">
      <formula>$F82="Administratif"</formula>
    </cfRule>
  </conditionalFormatting>
  <conditionalFormatting sqref="D82">
    <cfRule type="expression" dxfId="5362" priority="5340">
      <formula>$H82="non"</formula>
    </cfRule>
  </conditionalFormatting>
  <conditionalFormatting sqref="D81">
    <cfRule type="expression" dxfId="5361" priority="5331">
      <formula>$F81="Formation CCF"</formula>
    </cfRule>
    <cfRule type="expression" dxfId="5360" priority="5332">
      <formula>$F81="Direction"</formula>
    </cfRule>
    <cfRule type="expression" dxfId="5359" priority="5333">
      <formula>$F81="Ventes Sicli"</formula>
    </cfRule>
    <cfRule type="expression" dxfId="5358" priority="5334">
      <formula>$F81="Ventes Chubb"</formula>
    </cfRule>
    <cfRule type="expression" dxfId="5357" priority="5335">
      <formula>$F81="SAV Sicli"</formula>
    </cfRule>
    <cfRule type="expression" dxfId="5356" priority="5336">
      <formula>$F81="SAV Chubb"</formula>
    </cfRule>
    <cfRule type="expression" dxfId="5355" priority="5337">
      <formula>$F81="Réalisation"</formula>
    </cfRule>
    <cfRule type="expression" dxfId="5354" priority="5338">
      <formula>$F81="Désenfumage"</formula>
    </cfRule>
    <cfRule type="expression" dxfId="5353" priority="5339">
      <formula>$F81="Administratif"</formula>
    </cfRule>
  </conditionalFormatting>
  <conditionalFormatting sqref="D81">
    <cfRule type="expression" dxfId="5352" priority="5330">
      <formula>$H81="non"</formula>
    </cfRule>
  </conditionalFormatting>
  <conditionalFormatting sqref="D80">
    <cfRule type="expression" dxfId="5351" priority="5321">
      <formula>$F80="Formation CCF"</formula>
    </cfRule>
    <cfRule type="expression" dxfId="5350" priority="5322">
      <formula>$F80="Direction"</formula>
    </cfRule>
    <cfRule type="expression" dxfId="5349" priority="5323">
      <formula>$F80="Ventes Sicli"</formula>
    </cfRule>
    <cfRule type="expression" dxfId="5348" priority="5324">
      <formula>$F80="Ventes Chubb"</formula>
    </cfRule>
    <cfRule type="expression" dxfId="5347" priority="5325">
      <formula>$F80="SAV Sicli"</formula>
    </cfRule>
    <cfRule type="expression" dxfId="5346" priority="5326">
      <formula>$F80="SAV Chubb"</formula>
    </cfRule>
    <cfRule type="expression" dxfId="5345" priority="5327">
      <formula>$F80="Réalisation"</formula>
    </cfRule>
    <cfRule type="expression" dxfId="5344" priority="5328">
      <formula>$F80="Désenfumage"</formula>
    </cfRule>
    <cfRule type="expression" dxfId="5343" priority="5329">
      <formula>$F80="Administratif"</formula>
    </cfRule>
  </conditionalFormatting>
  <conditionalFormatting sqref="D80">
    <cfRule type="expression" dxfId="5342" priority="5320">
      <formula>$H80="non"</formula>
    </cfRule>
  </conditionalFormatting>
  <conditionalFormatting sqref="D79">
    <cfRule type="expression" dxfId="5341" priority="5311">
      <formula>$F79="Formation CCF"</formula>
    </cfRule>
    <cfRule type="expression" dxfId="5340" priority="5312">
      <formula>$F79="Direction"</formula>
    </cfRule>
    <cfRule type="expression" dxfId="5339" priority="5313">
      <formula>$F79="Ventes Sicli"</formula>
    </cfRule>
    <cfRule type="expression" dxfId="5338" priority="5314">
      <formula>$F79="Ventes Chubb"</formula>
    </cfRule>
    <cfRule type="expression" dxfId="5337" priority="5315">
      <formula>$F79="SAV Sicli"</formula>
    </cfRule>
    <cfRule type="expression" dxfId="5336" priority="5316">
      <formula>$F79="SAV Chubb"</formula>
    </cfRule>
    <cfRule type="expression" dxfId="5335" priority="5317">
      <formula>$F79="Réalisation"</formula>
    </cfRule>
    <cfRule type="expression" dxfId="5334" priority="5318">
      <formula>$F79="Désenfumage"</formula>
    </cfRule>
    <cfRule type="expression" dxfId="5333" priority="5319">
      <formula>$F79="Administratif"</formula>
    </cfRule>
  </conditionalFormatting>
  <conditionalFormatting sqref="D79">
    <cfRule type="expression" dxfId="5332" priority="5310">
      <formula>$H79="non"</formula>
    </cfRule>
  </conditionalFormatting>
  <conditionalFormatting sqref="D82">
    <cfRule type="expression" dxfId="5331" priority="5301">
      <formula>$F82="Formation CCF"</formula>
    </cfRule>
    <cfRule type="expression" dxfId="5330" priority="5302">
      <formula>$F82="Direction"</formula>
    </cfRule>
    <cfRule type="expression" dxfId="5329" priority="5303">
      <formula>$F82="Ventes Sicli"</formula>
    </cfRule>
    <cfRule type="expression" dxfId="5328" priority="5304">
      <formula>$F82="Ventes Chubb"</formula>
    </cfRule>
    <cfRule type="expression" dxfId="5327" priority="5305">
      <formula>$F82="SAV Sicli"</formula>
    </cfRule>
    <cfRule type="expression" dxfId="5326" priority="5306">
      <formula>$F82="SAV Chubb"</formula>
    </cfRule>
    <cfRule type="expression" dxfId="5325" priority="5307">
      <formula>$F82="Réalisation"</formula>
    </cfRule>
    <cfRule type="expression" dxfId="5324" priority="5308">
      <formula>$F82="Désenfumage"</formula>
    </cfRule>
    <cfRule type="expression" dxfId="5323" priority="5309">
      <formula>$F82="Administratif"</formula>
    </cfRule>
  </conditionalFormatting>
  <conditionalFormatting sqref="D82">
    <cfRule type="expression" dxfId="5322" priority="5300">
      <formula>$H82="non"</formula>
    </cfRule>
  </conditionalFormatting>
  <conditionalFormatting sqref="D81">
    <cfRule type="expression" dxfId="5321" priority="5291">
      <formula>$F81="Formation CCF"</formula>
    </cfRule>
    <cfRule type="expression" dxfId="5320" priority="5292">
      <formula>$F81="Direction"</formula>
    </cfRule>
    <cfRule type="expression" dxfId="5319" priority="5293">
      <formula>$F81="Ventes Sicli"</formula>
    </cfRule>
    <cfRule type="expression" dxfId="5318" priority="5294">
      <formula>$F81="Ventes Chubb"</formula>
    </cfRule>
    <cfRule type="expression" dxfId="5317" priority="5295">
      <formula>$F81="SAV Sicli"</formula>
    </cfRule>
    <cfRule type="expression" dxfId="5316" priority="5296">
      <formula>$F81="SAV Chubb"</formula>
    </cfRule>
    <cfRule type="expression" dxfId="5315" priority="5297">
      <formula>$F81="Réalisation"</formula>
    </cfRule>
    <cfRule type="expression" dxfId="5314" priority="5298">
      <formula>$F81="Désenfumage"</formula>
    </cfRule>
    <cfRule type="expression" dxfId="5313" priority="5299">
      <formula>$F81="Administratif"</formula>
    </cfRule>
  </conditionalFormatting>
  <conditionalFormatting sqref="D81">
    <cfRule type="expression" dxfId="5312" priority="5290">
      <formula>$H81="non"</formula>
    </cfRule>
  </conditionalFormatting>
  <conditionalFormatting sqref="D80">
    <cfRule type="expression" dxfId="5311" priority="5281">
      <formula>$F80="Formation CCF"</formula>
    </cfRule>
    <cfRule type="expression" dxfId="5310" priority="5282">
      <formula>$F80="Direction"</formula>
    </cfRule>
    <cfRule type="expression" dxfId="5309" priority="5283">
      <formula>$F80="Ventes Sicli"</formula>
    </cfRule>
    <cfRule type="expression" dxfId="5308" priority="5284">
      <formula>$F80="Ventes Chubb"</formula>
    </cfRule>
    <cfRule type="expression" dxfId="5307" priority="5285">
      <formula>$F80="SAV Sicli"</formula>
    </cfRule>
    <cfRule type="expression" dxfId="5306" priority="5286">
      <formula>$F80="SAV Chubb"</formula>
    </cfRule>
    <cfRule type="expression" dxfId="5305" priority="5287">
      <formula>$F80="Réalisation"</formula>
    </cfRule>
    <cfRule type="expression" dxfId="5304" priority="5288">
      <formula>$F80="Désenfumage"</formula>
    </cfRule>
    <cfRule type="expression" dxfId="5303" priority="5289">
      <formula>$F80="Administratif"</formula>
    </cfRule>
  </conditionalFormatting>
  <conditionalFormatting sqref="D80">
    <cfRule type="expression" dxfId="5302" priority="5280">
      <formula>$H80="non"</formula>
    </cfRule>
  </conditionalFormatting>
  <conditionalFormatting sqref="D79">
    <cfRule type="expression" dxfId="5301" priority="5271">
      <formula>$F79="Formation CCF"</formula>
    </cfRule>
    <cfRule type="expression" dxfId="5300" priority="5272">
      <formula>$F79="Direction"</formula>
    </cfRule>
    <cfRule type="expression" dxfId="5299" priority="5273">
      <formula>$F79="Ventes Sicli"</formula>
    </cfRule>
    <cfRule type="expression" dxfId="5298" priority="5274">
      <formula>$F79="Ventes Chubb"</formula>
    </cfRule>
    <cfRule type="expression" dxfId="5297" priority="5275">
      <formula>$F79="SAV Sicli"</formula>
    </cfRule>
    <cfRule type="expression" dxfId="5296" priority="5276">
      <formula>$F79="SAV Chubb"</formula>
    </cfRule>
    <cfRule type="expression" dxfId="5295" priority="5277">
      <formula>$F79="Réalisation"</formula>
    </cfRule>
    <cfRule type="expression" dxfId="5294" priority="5278">
      <formula>$F79="Désenfumage"</formula>
    </cfRule>
    <cfRule type="expression" dxfId="5293" priority="5279">
      <formula>$F79="Administratif"</formula>
    </cfRule>
  </conditionalFormatting>
  <conditionalFormatting sqref="D79">
    <cfRule type="expression" dxfId="5292" priority="5270">
      <formula>$H79="non"</formula>
    </cfRule>
  </conditionalFormatting>
  <conditionalFormatting sqref="C87:D87">
    <cfRule type="expression" dxfId="5291" priority="5261">
      <formula>$F87="Formation CCF"</formula>
    </cfRule>
    <cfRule type="expression" dxfId="5290" priority="5262">
      <formula>$F87="Direction"</formula>
    </cfRule>
    <cfRule type="expression" dxfId="5289" priority="5263">
      <formula>$F87="Ventes Sicli"</formula>
    </cfRule>
    <cfRule type="expression" dxfId="5288" priority="5264">
      <formula>$F87="Ventes Chubb"</formula>
    </cfRule>
    <cfRule type="expression" dxfId="5287" priority="5265">
      <formula>$F87="SAV Sicli"</formula>
    </cfRule>
    <cfRule type="expression" dxfId="5286" priority="5266">
      <formula>$F87="SAV Chubb"</formula>
    </cfRule>
    <cfRule type="expression" dxfId="5285" priority="5267">
      <formula>$F87="Réalisation"</formula>
    </cfRule>
    <cfRule type="expression" dxfId="5284" priority="5268">
      <formula>$F87="Désenfumage"</formula>
    </cfRule>
    <cfRule type="expression" dxfId="5283" priority="5269">
      <formula>$F87="Administratif"</formula>
    </cfRule>
  </conditionalFormatting>
  <conditionalFormatting sqref="C87:D87">
    <cfRule type="expression" dxfId="5282" priority="5260">
      <formula>$H87="non"</formula>
    </cfRule>
  </conditionalFormatting>
  <conditionalFormatting sqref="C86:D86">
    <cfRule type="expression" dxfId="5281" priority="5251">
      <formula>$F86="Formation CCF"</formula>
    </cfRule>
    <cfRule type="expression" dxfId="5280" priority="5252">
      <formula>$F86="Direction"</formula>
    </cfRule>
    <cfRule type="expression" dxfId="5279" priority="5253">
      <formula>$F86="Ventes Sicli"</formula>
    </cfRule>
    <cfRule type="expression" dxfId="5278" priority="5254">
      <formula>$F86="Ventes Chubb"</formula>
    </cfRule>
    <cfRule type="expression" dxfId="5277" priority="5255">
      <formula>$F86="SAV Sicli"</formula>
    </cfRule>
    <cfRule type="expression" dxfId="5276" priority="5256">
      <formula>$F86="SAV Chubb"</formula>
    </cfRule>
    <cfRule type="expression" dxfId="5275" priority="5257">
      <formula>$F86="Réalisation"</formula>
    </cfRule>
    <cfRule type="expression" dxfId="5274" priority="5258">
      <formula>$F86="Désenfumage"</formula>
    </cfRule>
    <cfRule type="expression" dxfId="5273" priority="5259">
      <formula>$F86="Administratif"</formula>
    </cfRule>
  </conditionalFormatting>
  <conditionalFormatting sqref="C86:D86">
    <cfRule type="expression" dxfId="5272" priority="5250">
      <formula>$H86="non"</formula>
    </cfRule>
  </conditionalFormatting>
  <conditionalFormatting sqref="C85:D85">
    <cfRule type="expression" dxfId="5271" priority="5241">
      <formula>$F85="Formation CCF"</formula>
    </cfRule>
    <cfRule type="expression" dxfId="5270" priority="5242">
      <formula>$F85="Direction"</formula>
    </cfRule>
    <cfRule type="expression" dxfId="5269" priority="5243">
      <formula>$F85="Ventes Sicli"</formula>
    </cfRule>
    <cfRule type="expression" dxfId="5268" priority="5244">
      <formula>$F85="Ventes Chubb"</formula>
    </cfRule>
    <cfRule type="expression" dxfId="5267" priority="5245">
      <formula>$F85="SAV Sicli"</formula>
    </cfRule>
    <cfRule type="expression" dxfId="5266" priority="5246">
      <formula>$F85="SAV Chubb"</formula>
    </cfRule>
    <cfRule type="expression" dxfId="5265" priority="5247">
      <formula>$F85="Réalisation"</formula>
    </cfRule>
    <cfRule type="expression" dxfId="5264" priority="5248">
      <formula>$F85="Désenfumage"</formula>
    </cfRule>
    <cfRule type="expression" dxfId="5263" priority="5249">
      <formula>$F85="Administratif"</formula>
    </cfRule>
  </conditionalFormatting>
  <conditionalFormatting sqref="C85:D85">
    <cfRule type="expression" dxfId="5262" priority="5240">
      <formula>$H85="non"</formula>
    </cfRule>
  </conditionalFormatting>
  <conditionalFormatting sqref="C84:D84">
    <cfRule type="expression" dxfId="5261" priority="5231">
      <formula>$F84="Formation CCF"</formula>
    </cfRule>
    <cfRule type="expression" dxfId="5260" priority="5232">
      <formula>$F84="Direction"</formula>
    </cfRule>
    <cfRule type="expression" dxfId="5259" priority="5233">
      <formula>$F84="Ventes Sicli"</formula>
    </cfRule>
    <cfRule type="expression" dxfId="5258" priority="5234">
      <formula>$F84="Ventes Chubb"</formula>
    </cfRule>
    <cfRule type="expression" dxfId="5257" priority="5235">
      <formula>$F84="SAV Sicli"</formula>
    </cfRule>
    <cfRule type="expression" dxfId="5256" priority="5236">
      <formula>$F84="SAV Chubb"</formula>
    </cfRule>
    <cfRule type="expression" dxfId="5255" priority="5237">
      <formula>$F84="Réalisation"</formula>
    </cfRule>
    <cfRule type="expression" dxfId="5254" priority="5238">
      <formula>$F84="Désenfumage"</formula>
    </cfRule>
    <cfRule type="expression" dxfId="5253" priority="5239">
      <formula>$F84="Administratif"</formula>
    </cfRule>
  </conditionalFormatting>
  <conditionalFormatting sqref="C84:D84">
    <cfRule type="expression" dxfId="5252" priority="5230">
      <formula>$H84="non"</formula>
    </cfRule>
  </conditionalFormatting>
  <conditionalFormatting sqref="D82">
    <cfRule type="expression" dxfId="5251" priority="5221">
      <formula>$F82="Formation CCF"</formula>
    </cfRule>
    <cfRule type="expression" dxfId="5250" priority="5222">
      <formula>$F82="Direction"</formula>
    </cfRule>
    <cfRule type="expression" dxfId="5249" priority="5223">
      <formula>$F82="Ventes Sicli"</formula>
    </cfRule>
    <cfRule type="expression" dxfId="5248" priority="5224">
      <formula>$F82="Ventes Chubb"</formula>
    </cfRule>
    <cfRule type="expression" dxfId="5247" priority="5225">
      <formula>$F82="SAV Sicli"</formula>
    </cfRule>
    <cfRule type="expression" dxfId="5246" priority="5226">
      <formula>$F82="SAV Chubb"</formula>
    </cfRule>
    <cfRule type="expression" dxfId="5245" priority="5227">
      <formula>$F82="Réalisation"</formula>
    </cfRule>
    <cfRule type="expression" dxfId="5244" priority="5228">
      <formula>$F82="Désenfumage"</formula>
    </cfRule>
    <cfRule type="expression" dxfId="5243" priority="5229">
      <formula>$F82="Administratif"</formula>
    </cfRule>
  </conditionalFormatting>
  <conditionalFormatting sqref="D82">
    <cfRule type="expression" dxfId="5242" priority="5220">
      <formula>$H82="non"</formula>
    </cfRule>
  </conditionalFormatting>
  <conditionalFormatting sqref="D81">
    <cfRule type="expression" dxfId="5241" priority="5211">
      <formula>$F81="Formation CCF"</formula>
    </cfRule>
    <cfRule type="expression" dxfId="5240" priority="5212">
      <formula>$F81="Direction"</formula>
    </cfRule>
    <cfRule type="expression" dxfId="5239" priority="5213">
      <formula>$F81="Ventes Sicli"</formula>
    </cfRule>
    <cfRule type="expression" dxfId="5238" priority="5214">
      <formula>$F81="Ventes Chubb"</formula>
    </cfRule>
    <cfRule type="expression" dxfId="5237" priority="5215">
      <formula>$F81="SAV Sicli"</formula>
    </cfRule>
    <cfRule type="expression" dxfId="5236" priority="5216">
      <formula>$F81="SAV Chubb"</formula>
    </cfRule>
    <cfRule type="expression" dxfId="5235" priority="5217">
      <formula>$F81="Réalisation"</formula>
    </cfRule>
    <cfRule type="expression" dxfId="5234" priority="5218">
      <formula>$F81="Désenfumage"</formula>
    </cfRule>
    <cfRule type="expression" dxfId="5233" priority="5219">
      <formula>$F81="Administratif"</formula>
    </cfRule>
  </conditionalFormatting>
  <conditionalFormatting sqref="D81">
    <cfRule type="expression" dxfId="5232" priority="5210">
      <formula>$H81="non"</formula>
    </cfRule>
  </conditionalFormatting>
  <conditionalFormatting sqref="D80">
    <cfRule type="expression" dxfId="5231" priority="5201">
      <formula>$F80="Formation CCF"</formula>
    </cfRule>
    <cfRule type="expression" dxfId="5230" priority="5202">
      <formula>$F80="Direction"</formula>
    </cfRule>
    <cfRule type="expression" dxfId="5229" priority="5203">
      <formula>$F80="Ventes Sicli"</formula>
    </cfRule>
    <cfRule type="expression" dxfId="5228" priority="5204">
      <formula>$F80="Ventes Chubb"</formula>
    </cfRule>
    <cfRule type="expression" dxfId="5227" priority="5205">
      <formula>$F80="SAV Sicli"</formula>
    </cfRule>
    <cfRule type="expression" dxfId="5226" priority="5206">
      <formula>$F80="SAV Chubb"</formula>
    </cfRule>
    <cfRule type="expression" dxfId="5225" priority="5207">
      <formula>$F80="Réalisation"</formula>
    </cfRule>
    <cfRule type="expression" dxfId="5224" priority="5208">
      <formula>$F80="Désenfumage"</formula>
    </cfRule>
    <cfRule type="expression" dxfId="5223" priority="5209">
      <formula>$F80="Administratif"</formula>
    </cfRule>
  </conditionalFormatting>
  <conditionalFormatting sqref="D80">
    <cfRule type="expression" dxfId="5222" priority="5200">
      <formula>$H80="non"</formula>
    </cfRule>
  </conditionalFormatting>
  <conditionalFormatting sqref="D79">
    <cfRule type="expression" dxfId="5221" priority="5191">
      <formula>$F79="Formation CCF"</formula>
    </cfRule>
    <cfRule type="expression" dxfId="5220" priority="5192">
      <formula>$F79="Direction"</formula>
    </cfRule>
    <cfRule type="expression" dxfId="5219" priority="5193">
      <formula>$F79="Ventes Sicli"</formula>
    </cfRule>
    <cfRule type="expression" dxfId="5218" priority="5194">
      <formula>$F79="Ventes Chubb"</formula>
    </cfRule>
    <cfRule type="expression" dxfId="5217" priority="5195">
      <formula>$F79="SAV Sicli"</formula>
    </cfRule>
    <cfRule type="expression" dxfId="5216" priority="5196">
      <formula>$F79="SAV Chubb"</formula>
    </cfRule>
    <cfRule type="expression" dxfId="5215" priority="5197">
      <formula>$F79="Réalisation"</formula>
    </cfRule>
    <cfRule type="expression" dxfId="5214" priority="5198">
      <formula>$F79="Désenfumage"</formula>
    </cfRule>
    <cfRule type="expression" dxfId="5213" priority="5199">
      <formula>$F79="Administratif"</formula>
    </cfRule>
  </conditionalFormatting>
  <conditionalFormatting sqref="D79">
    <cfRule type="expression" dxfId="5212" priority="5190">
      <formula>$H79="non"</formula>
    </cfRule>
  </conditionalFormatting>
  <conditionalFormatting sqref="D81">
    <cfRule type="expression" dxfId="5211" priority="5181">
      <formula>$F81="Formation CCF"</formula>
    </cfRule>
    <cfRule type="expression" dxfId="5210" priority="5182">
      <formula>$F81="Direction"</formula>
    </cfRule>
    <cfRule type="expression" dxfId="5209" priority="5183">
      <formula>$F81="Ventes Sicli"</formula>
    </cfRule>
    <cfRule type="expression" dxfId="5208" priority="5184">
      <formula>$F81="Ventes Chubb"</formula>
    </cfRule>
    <cfRule type="expression" dxfId="5207" priority="5185">
      <formula>$F81="SAV Sicli"</formula>
    </cfRule>
    <cfRule type="expression" dxfId="5206" priority="5186">
      <formula>$F81="SAV Chubb"</formula>
    </cfRule>
    <cfRule type="expression" dxfId="5205" priority="5187">
      <formula>$F81="Réalisation"</formula>
    </cfRule>
    <cfRule type="expression" dxfId="5204" priority="5188">
      <formula>$F81="Désenfumage"</formula>
    </cfRule>
    <cfRule type="expression" dxfId="5203" priority="5189">
      <formula>$F81="Administratif"</formula>
    </cfRule>
  </conditionalFormatting>
  <conditionalFormatting sqref="D81">
    <cfRule type="expression" dxfId="5202" priority="5180">
      <formula>$H81="non"</formula>
    </cfRule>
  </conditionalFormatting>
  <conditionalFormatting sqref="D80">
    <cfRule type="expression" dxfId="5201" priority="5171">
      <formula>$F80="Formation CCF"</formula>
    </cfRule>
    <cfRule type="expression" dxfId="5200" priority="5172">
      <formula>$F80="Direction"</formula>
    </cfRule>
    <cfRule type="expression" dxfId="5199" priority="5173">
      <formula>$F80="Ventes Sicli"</formula>
    </cfRule>
    <cfRule type="expression" dxfId="5198" priority="5174">
      <formula>$F80="Ventes Chubb"</formula>
    </cfRule>
    <cfRule type="expression" dxfId="5197" priority="5175">
      <formula>$F80="SAV Sicli"</formula>
    </cfRule>
    <cfRule type="expression" dxfId="5196" priority="5176">
      <formula>$F80="SAV Chubb"</formula>
    </cfRule>
    <cfRule type="expression" dxfId="5195" priority="5177">
      <formula>$F80="Réalisation"</formula>
    </cfRule>
    <cfRule type="expression" dxfId="5194" priority="5178">
      <formula>$F80="Désenfumage"</formula>
    </cfRule>
    <cfRule type="expression" dxfId="5193" priority="5179">
      <formula>$F80="Administratif"</formula>
    </cfRule>
  </conditionalFormatting>
  <conditionalFormatting sqref="D80">
    <cfRule type="expression" dxfId="5192" priority="5170">
      <formula>$H80="non"</formula>
    </cfRule>
  </conditionalFormatting>
  <conditionalFormatting sqref="D79">
    <cfRule type="expression" dxfId="5191" priority="5161">
      <formula>$F79="Formation CCF"</formula>
    </cfRule>
    <cfRule type="expression" dxfId="5190" priority="5162">
      <formula>$F79="Direction"</formula>
    </cfRule>
    <cfRule type="expression" dxfId="5189" priority="5163">
      <formula>$F79="Ventes Sicli"</formula>
    </cfRule>
    <cfRule type="expression" dxfId="5188" priority="5164">
      <formula>$F79="Ventes Chubb"</formula>
    </cfRule>
    <cfRule type="expression" dxfId="5187" priority="5165">
      <formula>$F79="SAV Sicli"</formula>
    </cfRule>
    <cfRule type="expression" dxfId="5186" priority="5166">
      <formula>$F79="SAV Chubb"</formula>
    </cfRule>
    <cfRule type="expression" dxfId="5185" priority="5167">
      <formula>$F79="Réalisation"</formula>
    </cfRule>
    <cfRule type="expression" dxfId="5184" priority="5168">
      <formula>$F79="Désenfumage"</formula>
    </cfRule>
    <cfRule type="expression" dxfId="5183" priority="5169">
      <formula>$F79="Administratif"</formula>
    </cfRule>
  </conditionalFormatting>
  <conditionalFormatting sqref="D79">
    <cfRule type="expression" dxfId="5182" priority="5160">
      <formula>$H79="non"</formula>
    </cfRule>
  </conditionalFormatting>
  <conditionalFormatting sqref="C87:D87">
    <cfRule type="expression" dxfId="5181" priority="5151">
      <formula>$F87="Formation CCF"</formula>
    </cfRule>
    <cfRule type="expression" dxfId="5180" priority="5152">
      <formula>$F87="Direction"</formula>
    </cfRule>
    <cfRule type="expression" dxfId="5179" priority="5153">
      <formula>$F87="Ventes Sicli"</formula>
    </cfRule>
    <cfRule type="expression" dxfId="5178" priority="5154">
      <formula>$F87="Ventes Chubb"</formula>
    </cfRule>
    <cfRule type="expression" dxfId="5177" priority="5155">
      <formula>$F87="SAV Sicli"</formula>
    </cfRule>
    <cfRule type="expression" dxfId="5176" priority="5156">
      <formula>$F87="SAV Chubb"</formula>
    </cfRule>
    <cfRule type="expression" dxfId="5175" priority="5157">
      <formula>$F87="Réalisation"</formula>
    </cfRule>
    <cfRule type="expression" dxfId="5174" priority="5158">
      <formula>$F87="Désenfumage"</formula>
    </cfRule>
    <cfRule type="expression" dxfId="5173" priority="5159">
      <formula>$F87="Administratif"</formula>
    </cfRule>
  </conditionalFormatting>
  <conditionalFormatting sqref="C87:D87">
    <cfRule type="expression" dxfId="5172" priority="5150">
      <formula>$H87="non"</formula>
    </cfRule>
  </conditionalFormatting>
  <conditionalFormatting sqref="C86:D86">
    <cfRule type="expression" dxfId="5171" priority="5141">
      <formula>$F86="Formation CCF"</formula>
    </cfRule>
    <cfRule type="expression" dxfId="5170" priority="5142">
      <formula>$F86="Direction"</formula>
    </cfRule>
    <cfRule type="expression" dxfId="5169" priority="5143">
      <formula>$F86="Ventes Sicli"</formula>
    </cfRule>
    <cfRule type="expression" dxfId="5168" priority="5144">
      <formula>$F86="Ventes Chubb"</formula>
    </cfRule>
    <cfRule type="expression" dxfId="5167" priority="5145">
      <formula>$F86="SAV Sicli"</formula>
    </cfRule>
    <cfRule type="expression" dxfId="5166" priority="5146">
      <formula>$F86="SAV Chubb"</formula>
    </cfRule>
    <cfRule type="expression" dxfId="5165" priority="5147">
      <formula>$F86="Réalisation"</formula>
    </cfRule>
    <cfRule type="expression" dxfId="5164" priority="5148">
      <formula>$F86="Désenfumage"</formula>
    </cfRule>
    <cfRule type="expression" dxfId="5163" priority="5149">
      <formula>$F86="Administratif"</formula>
    </cfRule>
  </conditionalFormatting>
  <conditionalFormatting sqref="C86:D86">
    <cfRule type="expression" dxfId="5162" priority="5140">
      <formula>$H86="non"</formula>
    </cfRule>
  </conditionalFormatting>
  <conditionalFormatting sqref="C85:D85">
    <cfRule type="expression" dxfId="5161" priority="5131">
      <formula>$F85="Formation CCF"</formula>
    </cfRule>
    <cfRule type="expression" dxfId="5160" priority="5132">
      <formula>$F85="Direction"</formula>
    </cfRule>
    <cfRule type="expression" dxfId="5159" priority="5133">
      <formula>$F85="Ventes Sicli"</formula>
    </cfRule>
    <cfRule type="expression" dxfId="5158" priority="5134">
      <formula>$F85="Ventes Chubb"</formula>
    </cfRule>
    <cfRule type="expression" dxfId="5157" priority="5135">
      <formula>$F85="SAV Sicli"</formula>
    </cfRule>
    <cfRule type="expression" dxfId="5156" priority="5136">
      <formula>$F85="SAV Chubb"</formula>
    </cfRule>
    <cfRule type="expression" dxfId="5155" priority="5137">
      <formula>$F85="Réalisation"</formula>
    </cfRule>
    <cfRule type="expression" dxfId="5154" priority="5138">
      <formula>$F85="Désenfumage"</formula>
    </cfRule>
    <cfRule type="expression" dxfId="5153" priority="5139">
      <formula>$F85="Administratif"</formula>
    </cfRule>
  </conditionalFormatting>
  <conditionalFormatting sqref="C85:D85">
    <cfRule type="expression" dxfId="5152" priority="5130">
      <formula>$H85="non"</formula>
    </cfRule>
  </conditionalFormatting>
  <conditionalFormatting sqref="C84:D84">
    <cfRule type="expression" dxfId="5151" priority="5121">
      <formula>$F84="Formation CCF"</formula>
    </cfRule>
    <cfRule type="expression" dxfId="5150" priority="5122">
      <formula>$F84="Direction"</formula>
    </cfRule>
    <cfRule type="expression" dxfId="5149" priority="5123">
      <formula>$F84="Ventes Sicli"</formula>
    </cfRule>
    <cfRule type="expression" dxfId="5148" priority="5124">
      <formula>$F84="Ventes Chubb"</formula>
    </cfRule>
    <cfRule type="expression" dxfId="5147" priority="5125">
      <formula>$F84="SAV Sicli"</formula>
    </cfRule>
    <cfRule type="expression" dxfId="5146" priority="5126">
      <formula>$F84="SAV Chubb"</formula>
    </cfRule>
    <cfRule type="expression" dxfId="5145" priority="5127">
      <formula>$F84="Réalisation"</formula>
    </cfRule>
    <cfRule type="expression" dxfId="5144" priority="5128">
      <formula>$F84="Désenfumage"</formula>
    </cfRule>
    <cfRule type="expression" dxfId="5143" priority="5129">
      <formula>$F84="Administratif"</formula>
    </cfRule>
  </conditionalFormatting>
  <conditionalFormatting sqref="C84:D84">
    <cfRule type="expression" dxfId="5142" priority="5120">
      <formula>$H84="non"</formula>
    </cfRule>
  </conditionalFormatting>
  <conditionalFormatting sqref="D82">
    <cfRule type="expression" dxfId="5141" priority="5111">
      <formula>$F82="Formation CCF"</formula>
    </cfRule>
    <cfRule type="expression" dxfId="5140" priority="5112">
      <formula>$F82="Direction"</formula>
    </cfRule>
    <cfRule type="expression" dxfId="5139" priority="5113">
      <formula>$F82="Ventes Sicli"</formula>
    </cfRule>
    <cfRule type="expression" dxfId="5138" priority="5114">
      <formula>$F82="Ventes Chubb"</formula>
    </cfRule>
    <cfRule type="expression" dxfId="5137" priority="5115">
      <formula>$F82="SAV Sicli"</formula>
    </cfRule>
    <cfRule type="expression" dxfId="5136" priority="5116">
      <formula>$F82="SAV Chubb"</formula>
    </cfRule>
    <cfRule type="expression" dxfId="5135" priority="5117">
      <formula>$F82="Réalisation"</formula>
    </cfRule>
    <cfRule type="expression" dxfId="5134" priority="5118">
      <formula>$F82="Désenfumage"</formula>
    </cfRule>
    <cfRule type="expression" dxfId="5133" priority="5119">
      <formula>$F82="Administratif"</formula>
    </cfRule>
  </conditionalFormatting>
  <conditionalFormatting sqref="D82">
    <cfRule type="expression" dxfId="5132" priority="5110">
      <formula>$H82="non"</formula>
    </cfRule>
  </conditionalFormatting>
  <conditionalFormatting sqref="D81">
    <cfRule type="expression" dxfId="5131" priority="5101">
      <formula>$F81="Formation CCF"</formula>
    </cfRule>
    <cfRule type="expression" dxfId="5130" priority="5102">
      <formula>$F81="Direction"</formula>
    </cfRule>
    <cfRule type="expression" dxfId="5129" priority="5103">
      <formula>$F81="Ventes Sicli"</formula>
    </cfRule>
    <cfRule type="expression" dxfId="5128" priority="5104">
      <formula>$F81="Ventes Chubb"</formula>
    </cfRule>
    <cfRule type="expression" dxfId="5127" priority="5105">
      <formula>$F81="SAV Sicli"</formula>
    </cfRule>
    <cfRule type="expression" dxfId="5126" priority="5106">
      <formula>$F81="SAV Chubb"</formula>
    </cfRule>
    <cfRule type="expression" dxfId="5125" priority="5107">
      <formula>$F81="Réalisation"</formula>
    </cfRule>
    <cfRule type="expression" dxfId="5124" priority="5108">
      <formula>$F81="Désenfumage"</formula>
    </cfRule>
    <cfRule type="expression" dxfId="5123" priority="5109">
      <formula>$F81="Administratif"</formula>
    </cfRule>
  </conditionalFormatting>
  <conditionalFormatting sqref="D81">
    <cfRule type="expression" dxfId="5122" priority="5100">
      <formula>$H81="non"</formula>
    </cfRule>
  </conditionalFormatting>
  <conditionalFormatting sqref="D80">
    <cfRule type="expression" dxfId="5121" priority="5091">
      <formula>$F80="Formation CCF"</formula>
    </cfRule>
    <cfRule type="expression" dxfId="5120" priority="5092">
      <formula>$F80="Direction"</formula>
    </cfRule>
    <cfRule type="expression" dxfId="5119" priority="5093">
      <formula>$F80="Ventes Sicli"</formula>
    </cfRule>
    <cfRule type="expression" dxfId="5118" priority="5094">
      <formula>$F80="Ventes Chubb"</formula>
    </cfRule>
    <cfRule type="expression" dxfId="5117" priority="5095">
      <formula>$F80="SAV Sicli"</formula>
    </cfRule>
    <cfRule type="expression" dxfId="5116" priority="5096">
      <formula>$F80="SAV Chubb"</formula>
    </cfRule>
    <cfRule type="expression" dxfId="5115" priority="5097">
      <formula>$F80="Réalisation"</formula>
    </cfRule>
    <cfRule type="expression" dxfId="5114" priority="5098">
      <formula>$F80="Désenfumage"</formula>
    </cfRule>
    <cfRule type="expression" dxfId="5113" priority="5099">
      <formula>$F80="Administratif"</formula>
    </cfRule>
  </conditionalFormatting>
  <conditionalFormatting sqref="D80">
    <cfRule type="expression" dxfId="5112" priority="5090">
      <formula>$H80="non"</formula>
    </cfRule>
  </conditionalFormatting>
  <conditionalFormatting sqref="D79">
    <cfRule type="expression" dxfId="5111" priority="5081">
      <formula>$F79="Formation CCF"</formula>
    </cfRule>
    <cfRule type="expression" dxfId="5110" priority="5082">
      <formula>$F79="Direction"</formula>
    </cfRule>
    <cfRule type="expression" dxfId="5109" priority="5083">
      <formula>$F79="Ventes Sicli"</formula>
    </cfRule>
    <cfRule type="expression" dxfId="5108" priority="5084">
      <formula>$F79="Ventes Chubb"</formula>
    </cfRule>
    <cfRule type="expression" dxfId="5107" priority="5085">
      <formula>$F79="SAV Sicli"</formula>
    </cfRule>
    <cfRule type="expression" dxfId="5106" priority="5086">
      <formula>$F79="SAV Chubb"</formula>
    </cfRule>
    <cfRule type="expression" dxfId="5105" priority="5087">
      <formula>$F79="Réalisation"</formula>
    </cfRule>
    <cfRule type="expression" dxfId="5104" priority="5088">
      <formula>$F79="Désenfumage"</formula>
    </cfRule>
    <cfRule type="expression" dxfId="5103" priority="5089">
      <formula>$F79="Administratif"</formula>
    </cfRule>
  </conditionalFormatting>
  <conditionalFormatting sqref="D79">
    <cfRule type="expression" dxfId="5102" priority="5080">
      <formula>$H79="non"</formula>
    </cfRule>
  </conditionalFormatting>
  <conditionalFormatting sqref="D81">
    <cfRule type="expression" dxfId="5101" priority="5071">
      <formula>$F81="Formation CCF"</formula>
    </cfRule>
    <cfRule type="expression" dxfId="5100" priority="5072">
      <formula>$F81="Direction"</formula>
    </cfRule>
    <cfRule type="expression" dxfId="5099" priority="5073">
      <formula>$F81="Ventes Sicli"</formula>
    </cfRule>
    <cfRule type="expression" dxfId="5098" priority="5074">
      <formula>$F81="Ventes Chubb"</formula>
    </cfRule>
    <cfRule type="expression" dxfId="5097" priority="5075">
      <formula>$F81="SAV Sicli"</formula>
    </cfRule>
    <cfRule type="expression" dxfId="5096" priority="5076">
      <formula>$F81="SAV Chubb"</formula>
    </cfRule>
    <cfRule type="expression" dxfId="5095" priority="5077">
      <formula>$F81="Réalisation"</formula>
    </cfRule>
    <cfRule type="expression" dxfId="5094" priority="5078">
      <formula>$F81="Désenfumage"</formula>
    </cfRule>
    <cfRule type="expression" dxfId="5093" priority="5079">
      <formula>$F81="Administratif"</formula>
    </cfRule>
  </conditionalFormatting>
  <conditionalFormatting sqref="D81">
    <cfRule type="expression" dxfId="5092" priority="5070">
      <formula>$H81="non"</formula>
    </cfRule>
  </conditionalFormatting>
  <conditionalFormatting sqref="D80">
    <cfRule type="expression" dxfId="5091" priority="5061">
      <formula>$F80="Formation CCF"</formula>
    </cfRule>
    <cfRule type="expression" dxfId="5090" priority="5062">
      <formula>$F80="Direction"</formula>
    </cfRule>
    <cfRule type="expression" dxfId="5089" priority="5063">
      <formula>$F80="Ventes Sicli"</formula>
    </cfRule>
    <cfRule type="expression" dxfId="5088" priority="5064">
      <formula>$F80="Ventes Chubb"</formula>
    </cfRule>
    <cfRule type="expression" dxfId="5087" priority="5065">
      <formula>$F80="SAV Sicli"</formula>
    </cfRule>
    <cfRule type="expression" dxfId="5086" priority="5066">
      <formula>$F80="SAV Chubb"</formula>
    </cfRule>
    <cfRule type="expression" dxfId="5085" priority="5067">
      <formula>$F80="Réalisation"</formula>
    </cfRule>
    <cfRule type="expression" dxfId="5084" priority="5068">
      <formula>$F80="Désenfumage"</formula>
    </cfRule>
    <cfRule type="expression" dxfId="5083" priority="5069">
      <formula>$F80="Administratif"</formula>
    </cfRule>
  </conditionalFormatting>
  <conditionalFormatting sqref="D80">
    <cfRule type="expression" dxfId="5082" priority="5060">
      <formula>$H80="non"</formula>
    </cfRule>
  </conditionalFormatting>
  <conditionalFormatting sqref="D79">
    <cfRule type="expression" dxfId="5081" priority="5051">
      <formula>$F79="Formation CCF"</formula>
    </cfRule>
    <cfRule type="expression" dxfId="5080" priority="5052">
      <formula>$F79="Direction"</formula>
    </cfRule>
    <cfRule type="expression" dxfId="5079" priority="5053">
      <formula>$F79="Ventes Sicli"</formula>
    </cfRule>
    <cfRule type="expression" dxfId="5078" priority="5054">
      <formula>$F79="Ventes Chubb"</formula>
    </cfRule>
    <cfRule type="expression" dxfId="5077" priority="5055">
      <formula>$F79="SAV Sicli"</formula>
    </cfRule>
    <cfRule type="expression" dxfId="5076" priority="5056">
      <formula>$F79="SAV Chubb"</formula>
    </cfRule>
    <cfRule type="expression" dxfId="5075" priority="5057">
      <formula>$F79="Réalisation"</formula>
    </cfRule>
    <cfRule type="expression" dxfId="5074" priority="5058">
      <formula>$F79="Désenfumage"</formula>
    </cfRule>
    <cfRule type="expression" dxfId="5073" priority="5059">
      <formula>$F79="Administratif"</formula>
    </cfRule>
  </conditionalFormatting>
  <conditionalFormatting sqref="D79">
    <cfRule type="expression" dxfId="5072" priority="5050">
      <formula>$H79="non"</formula>
    </cfRule>
  </conditionalFormatting>
  <conditionalFormatting sqref="C87:D87">
    <cfRule type="expression" dxfId="5071" priority="5041">
      <formula>$F87="Formation CCF"</formula>
    </cfRule>
    <cfRule type="expression" dxfId="5070" priority="5042">
      <formula>$F87="Direction"</formula>
    </cfRule>
    <cfRule type="expression" dxfId="5069" priority="5043">
      <formula>$F87="Ventes Sicli"</formula>
    </cfRule>
    <cfRule type="expression" dxfId="5068" priority="5044">
      <formula>$F87="Ventes Chubb"</formula>
    </cfRule>
    <cfRule type="expression" dxfId="5067" priority="5045">
      <formula>$F87="SAV Sicli"</formula>
    </cfRule>
    <cfRule type="expression" dxfId="5066" priority="5046">
      <formula>$F87="SAV Chubb"</formula>
    </cfRule>
    <cfRule type="expression" dxfId="5065" priority="5047">
      <formula>$F87="Réalisation"</formula>
    </cfRule>
    <cfRule type="expression" dxfId="5064" priority="5048">
      <formula>$F87="Désenfumage"</formula>
    </cfRule>
    <cfRule type="expression" dxfId="5063" priority="5049">
      <formula>$F87="Administratif"</formula>
    </cfRule>
  </conditionalFormatting>
  <conditionalFormatting sqref="C87:D87">
    <cfRule type="expression" dxfId="5062" priority="5040">
      <formula>$H87="non"</formula>
    </cfRule>
  </conditionalFormatting>
  <conditionalFormatting sqref="C86:D86">
    <cfRule type="expression" dxfId="5061" priority="5031">
      <formula>$F86="Formation CCF"</formula>
    </cfRule>
    <cfRule type="expression" dxfId="5060" priority="5032">
      <formula>$F86="Direction"</formula>
    </cfRule>
    <cfRule type="expression" dxfId="5059" priority="5033">
      <formula>$F86="Ventes Sicli"</formula>
    </cfRule>
    <cfRule type="expression" dxfId="5058" priority="5034">
      <formula>$F86="Ventes Chubb"</formula>
    </cfRule>
    <cfRule type="expression" dxfId="5057" priority="5035">
      <formula>$F86="SAV Sicli"</formula>
    </cfRule>
    <cfRule type="expression" dxfId="5056" priority="5036">
      <formula>$F86="SAV Chubb"</formula>
    </cfRule>
    <cfRule type="expression" dxfId="5055" priority="5037">
      <formula>$F86="Réalisation"</formula>
    </cfRule>
    <cfRule type="expression" dxfId="5054" priority="5038">
      <formula>$F86="Désenfumage"</formula>
    </cfRule>
    <cfRule type="expression" dxfId="5053" priority="5039">
      <formula>$F86="Administratif"</formula>
    </cfRule>
  </conditionalFormatting>
  <conditionalFormatting sqref="C86:D86">
    <cfRule type="expression" dxfId="5052" priority="5030">
      <formula>$H86="non"</formula>
    </cfRule>
  </conditionalFormatting>
  <conditionalFormatting sqref="C85:D85">
    <cfRule type="expression" dxfId="5051" priority="5021">
      <formula>$F85="Formation CCF"</formula>
    </cfRule>
    <cfRule type="expression" dxfId="5050" priority="5022">
      <formula>$F85="Direction"</formula>
    </cfRule>
    <cfRule type="expression" dxfId="5049" priority="5023">
      <formula>$F85="Ventes Sicli"</formula>
    </cfRule>
    <cfRule type="expression" dxfId="5048" priority="5024">
      <formula>$F85="Ventes Chubb"</formula>
    </cfRule>
    <cfRule type="expression" dxfId="5047" priority="5025">
      <formula>$F85="SAV Sicli"</formula>
    </cfRule>
    <cfRule type="expression" dxfId="5046" priority="5026">
      <formula>$F85="SAV Chubb"</formula>
    </cfRule>
    <cfRule type="expression" dxfId="5045" priority="5027">
      <formula>$F85="Réalisation"</formula>
    </cfRule>
    <cfRule type="expression" dxfId="5044" priority="5028">
      <formula>$F85="Désenfumage"</formula>
    </cfRule>
    <cfRule type="expression" dxfId="5043" priority="5029">
      <formula>$F85="Administratif"</formula>
    </cfRule>
  </conditionalFormatting>
  <conditionalFormatting sqref="C85:D85">
    <cfRule type="expression" dxfId="5042" priority="5020">
      <formula>$H85="non"</formula>
    </cfRule>
  </conditionalFormatting>
  <conditionalFormatting sqref="C84:D84">
    <cfRule type="expression" dxfId="5041" priority="5011">
      <formula>$F84="Formation CCF"</formula>
    </cfRule>
    <cfRule type="expression" dxfId="5040" priority="5012">
      <formula>$F84="Direction"</formula>
    </cfRule>
    <cfRule type="expression" dxfId="5039" priority="5013">
      <formula>$F84="Ventes Sicli"</formula>
    </cfRule>
    <cfRule type="expression" dxfId="5038" priority="5014">
      <formula>$F84="Ventes Chubb"</formula>
    </cfRule>
    <cfRule type="expression" dxfId="5037" priority="5015">
      <formula>$F84="SAV Sicli"</formula>
    </cfRule>
    <cfRule type="expression" dxfId="5036" priority="5016">
      <formula>$F84="SAV Chubb"</formula>
    </cfRule>
    <cfRule type="expression" dxfId="5035" priority="5017">
      <formula>$F84="Réalisation"</formula>
    </cfRule>
    <cfRule type="expression" dxfId="5034" priority="5018">
      <formula>$F84="Désenfumage"</formula>
    </cfRule>
    <cfRule type="expression" dxfId="5033" priority="5019">
      <formula>$F84="Administratif"</formula>
    </cfRule>
  </conditionalFormatting>
  <conditionalFormatting sqref="C84:D84">
    <cfRule type="expression" dxfId="5032" priority="5010">
      <formula>$H84="non"</formula>
    </cfRule>
  </conditionalFormatting>
  <conditionalFormatting sqref="C83:D83">
    <cfRule type="expression" dxfId="5031" priority="5001">
      <formula>$F83="Formation CCF"</formula>
    </cfRule>
    <cfRule type="expression" dxfId="5030" priority="5002">
      <formula>$F83="Direction"</formula>
    </cfRule>
    <cfRule type="expression" dxfId="5029" priority="5003">
      <formula>$F83="Ventes Sicli"</formula>
    </cfRule>
    <cfRule type="expression" dxfId="5028" priority="5004">
      <formula>$F83="Ventes Chubb"</formula>
    </cfRule>
    <cfRule type="expression" dxfId="5027" priority="5005">
      <formula>$F83="SAV Sicli"</formula>
    </cfRule>
    <cfRule type="expression" dxfId="5026" priority="5006">
      <formula>$F83="SAV Chubb"</formula>
    </cfRule>
    <cfRule type="expression" dxfId="5025" priority="5007">
      <formula>$F83="Réalisation"</formula>
    </cfRule>
    <cfRule type="expression" dxfId="5024" priority="5008">
      <formula>$F83="Désenfumage"</formula>
    </cfRule>
    <cfRule type="expression" dxfId="5023" priority="5009">
      <formula>$F83="Administratif"</formula>
    </cfRule>
  </conditionalFormatting>
  <conditionalFormatting sqref="C83:D83">
    <cfRule type="expression" dxfId="5022" priority="5000">
      <formula>$H83="non"</formula>
    </cfRule>
  </conditionalFormatting>
  <conditionalFormatting sqref="D81">
    <cfRule type="expression" dxfId="5021" priority="4991">
      <formula>$F81="Formation CCF"</formula>
    </cfRule>
    <cfRule type="expression" dxfId="5020" priority="4992">
      <formula>$F81="Direction"</formula>
    </cfRule>
    <cfRule type="expression" dxfId="5019" priority="4993">
      <formula>$F81="Ventes Sicli"</formula>
    </cfRule>
    <cfRule type="expression" dxfId="5018" priority="4994">
      <formula>$F81="Ventes Chubb"</formula>
    </cfRule>
    <cfRule type="expression" dxfId="5017" priority="4995">
      <formula>$F81="SAV Sicli"</formula>
    </cfRule>
    <cfRule type="expression" dxfId="5016" priority="4996">
      <formula>$F81="SAV Chubb"</formula>
    </cfRule>
    <cfRule type="expression" dxfId="5015" priority="4997">
      <formula>$F81="Réalisation"</formula>
    </cfRule>
    <cfRule type="expression" dxfId="5014" priority="4998">
      <formula>$F81="Désenfumage"</formula>
    </cfRule>
    <cfRule type="expression" dxfId="5013" priority="4999">
      <formula>$F81="Administratif"</formula>
    </cfRule>
  </conditionalFormatting>
  <conditionalFormatting sqref="D81">
    <cfRule type="expression" dxfId="5012" priority="4990">
      <formula>$H81="non"</formula>
    </cfRule>
  </conditionalFormatting>
  <conditionalFormatting sqref="D80">
    <cfRule type="expression" dxfId="5011" priority="4981">
      <formula>$F80="Formation CCF"</formula>
    </cfRule>
    <cfRule type="expression" dxfId="5010" priority="4982">
      <formula>$F80="Direction"</formula>
    </cfRule>
    <cfRule type="expression" dxfId="5009" priority="4983">
      <formula>$F80="Ventes Sicli"</formula>
    </cfRule>
    <cfRule type="expression" dxfId="5008" priority="4984">
      <formula>$F80="Ventes Chubb"</formula>
    </cfRule>
    <cfRule type="expression" dxfId="5007" priority="4985">
      <formula>$F80="SAV Sicli"</formula>
    </cfRule>
    <cfRule type="expression" dxfId="5006" priority="4986">
      <formula>$F80="SAV Chubb"</formula>
    </cfRule>
    <cfRule type="expression" dxfId="5005" priority="4987">
      <formula>$F80="Réalisation"</formula>
    </cfRule>
    <cfRule type="expression" dxfId="5004" priority="4988">
      <formula>$F80="Désenfumage"</formula>
    </cfRule>
    <cfRule type="expression" dxfId="5003" priority="4989">
      <formula>$F80="Administratif"</formula>
    </cfRule>
  </conditionalFormatting>
  <conditionalFormatting sqref="D80">
    <cfRule type="expression" dxfId="5002" priority="4980">
      <formula>$H80="non"</formula>
    </cfRule>
  </conditionalFormatting>
  <conditionalFormatting sqref="D79">
    <cfRule type="expression" dxfId="5001" priority="4971">
      <formula>$F79="Formation CCF"</formula>
    </cfRule>
    <cfRule type="expression" dxfId="5000" priority="4972">
      <formula>$F79="Direction"</formula>
    </cfRule>
    <cfRule type="expression" dxfId="4999" priority="4973">
      <formula>$F79="Ventes Sicli"</formula>
    </cfRule>
    <cfRule type="expression" dxfId="4998" priority="4974">
      <formula>$F79="Ventes Chubb"</formula>
    </cfRule>
    <cfRule type="expression" dxfId="4997" priority="4975">
      <formula>$F79="SAV Sicli"</formula>
    </cfRule>
    <cfRule type="expression" dxfId="4996" priority="4976">
      <formula>$F79="SAV Chubb"</formula>
    </cfRule>
    <cfRule type="expression" dxfId="4995" priority="4977">
      <formula>$F79="Réalisation"</formula>
    </cfRule>
    <cfRule type="expression" dxfId="4994" priority="4978">
      <formula>$F79="Désenfumage"</formula>
    </cfRule>
    <cfRule type="expression" dxfId="4993" priority="4979">
      <formula>$F79="Administratif"</formula>
    </cfRule>
  </conditionalFormatting>
  <conditionalFormatting sqref="D79">
    <cfRule type="expression" dxfId="4992" priority="4970">
      <formula>$H79="non"</formula>
    </cfRule>
  </conditionalFormatting>
  <conditionalFormatting sqref="D80">
    <cfRule type="expression" dxfId="4991" priority="4961">
      <formula>$F80="Formation CCF"</formula>
    </cfRule>
    <cfRule type="expression" dxfId="4990" priority="4962">
      <formula>$F80="Direction"</formula>
    </cfRule>
    <cfRule type="expression" dxfId="4989" priority="4963">
      <formula>$F80="Ventes Sicli"</formula>
    </cfRule>
    <cfRule type="expression" dxfId="4988" priority="4964">
      <formula>$F80="Ventes Chubb"</formula>
    </cfRule>
    <cfRule type="expression" dxfId="4987" priority="4965">
      <formula>$F80="SAV Sicli"</formula>
    </cfRule>
    <cfRule type="expression" dxfId="4986" priority="4966">
      <formula>$F80="SAV Chubb"</formula>
    </cfRule>
    <cfRule type="expression" dxfId="4985" priority="4967">
      <formula>$F80="Réalisation"</formula>
    </cfRule>
    <cfRule type="expression" dxfId="4984" priority="4968">
      <formula>$F80="Désenfumage"</formula>
    </cfRule>
    <cfRule type="expression" dxfId="4983" priority="4969">
      <formula>$F80="Administratif"</formula>
    </cfRule>
  </conditionalFormatting>
  <conditionalFormatting sqref="D80">
    <cfRule type="expression" dxfId="4982" priority="4960">
      <formula>$H80="non"</formula>
    </cfRule>
  </conditionalFormatting>
  <conditionalFormatting sqref="D79">
    <cfRule type="expression" dxfId="4981" priority="4951">
      <formula>$F79="Formation CCF"</formula>
    </cfRule>
    <cfRule type="expression" dxfId="4980" priority="4952">
      <formula>$F79="Direction"</formula>
    </cfRule>
    <cfRule type="expression" dxfId="4979" priority="4953">
      <formula>$F79="Ventes Sicli"</formula>
    </cfRule>
    <cfRule type="expression" dxfId="4978" priority="4954">
      <formula>$F79="Ventes Chubb"</formula>
    </cfRule>
    <cfRule type="expression" dxfId="4977" priority="4955">
      <formula>$F79="SAV Sicli"</formula>
    </cfRule>
    <cfRule type="expression" dxfId="4976" priority="4956">
      <formula>$F79="SAV Chubb"</formula>
    </cfRule>
    <cfRule type="expression" dxfId="4975" priority="4957">
      <formula>$F79="Réalisation"</formula>
    </cfRule>
    <cfRule type="expression" dxfId="4974" priority="4958">
      <formula>$F79="Désenfumage"</formula>
    </cfRule>
    <cfRule type="expression" dxfId="4973" priority="4959">
      <formula>$F79="Administratif"</formula>
    </cfRule>
  </conditionalFormatting>
  <conditionalFormatting sqref="D79">
    <cfRule type="expression" dxfId="4972" priority="4950">
      <formula>$H79="non"</formula>
    </cfRule>
  </conditionalFormatting>
  <conditionalFormatting sqref="D87">
    <cfRule type="expression" dxfId="4971" priority="4941">
      <formula>$F87="Formation CCF"</formula>
    </cfRule>
    <cfRule type="expression" dxfId="4970" priority="4942">
      <formula>$F87="Direction"</formula>
    </cfRule>
    <cfRule type="expression" dxfId="4969" priority="4943">
      <formula>$F87="Ventes Sicli"</formula>
    </cfRule>
    <cfRule type="expression" dxfId="4968" priority="4944">
      <formula>$F87="Ventes Chubb"</formula>
    </cfRule>
    <cfRule type="expression" dxfId="4967" priority="4945">
      <formula>$F87="SAV Sicli"</formula>
    </cfRule>
    <cfRule type="expression" dxfId="4966" priority="4946">
      <formula>$F87="SAV Chubb"</formula>
    </cfRule>
    <cfRule type="expression" dxfId="4965" priority="4947">
      <formula>$F87="Réalisation"</formula>
    </cfRule>
    <cfRule type="expression" dxfId="4964" priority="4948">
      <formula>$F87="Désenfumage"</formula>
    </cfRule>
    <cfRule type="expression" dxfId="4963" priority="4949">
      <formula>$F87="Administratif"</formula>
    </cfRule>
  </conditionalFormatting>
  <conditionalFormatting sqref="D87">
    <cfRule type="expression" dxfId="4962" priority="4940">
      <formula>$H87="non"</formula>
    </cfRule>
  </conditionalFormatting>
  <conditionalFormatting sqref="D86">
    <cfRule type="expression" dxfId="4961" priority="4931">
      <formula>$F86="Formation CCF"</formula>
    </cfRule>
    <cfRule type="expression" dxfId="4960" priority="4932">
      <formula>$F86="Direction"</formula>
    </cfRule>
    <cfRule type="expression" dxfId="4959" priority="4933">
      <formula>$F86="Ventes Sicli"</formula>
    </cfRule>
    <cfRule type="expression" dxfId="4958" priority="4934">
      <formula>$F86="Ventes Chubb"</formula>
    </cfRule>
    <cfRule type="expression" dxfId="4957" priority="4935">
      <formula>$F86="SAV Sicli"</formula>
    </cfRule>
    <cfRule type="expression" dxfId="4956" priority="4936">
      <formula>$F86="SAV Chubb"</formula>
    </cfRule>
    <cfRule type="expression" dxfId="4955" priority="4937">
      <formula>$F86="Réalisation"</formula>
    </cfRule>
    <cfRule type="expression" dxfId="4954" priority="4938">
      <formula>$F86="Désenfumage"</formula>
    </cfRule>
    <cfRule type="expression" dxfId="4953" priority="4939">
      <formula>$F86="Administratif"</formula>
    </cfRule>
  </conditionalFormatting>
  <conditionalFormatting sqref="D86">
    <cfRule type="expression" dxfId="4952" priority="4930">
      <formula>$H86="non"</formula>
    </cfRule>
  </conditionalFormatting>
  <conditionalFormatting sqref="D85">
    <cfRule type="expression" dxfId="4951" priority="4921">
      <formula>$F85="Formation CCF"</formula>
    </cfRule>
    <cfRule type="expression" dxfId="4950" priority="4922">
      <formula>$F85="Direction"</formula>
    </cfRule>
    <cfRule type="expression" dxfId="4949" priority="4923">
      <formula>$F85="Ventes Sicli"</formula>
    </cfRule>
    <cfRule type="expression" dxfId="4948" priority="4924">
      <formula>$F85="Ventes Chubb"</formula>
    </cfRule>
    <cfRule type="expression" dxfId="4947" priority="4925">
      <formula>$F85="SAV Sicli"</formula>
    </cfRule>
    <cfRule type="expression" dxfId="4946" priority="4926">
      <formula>$F85="SAV Chubb"</formula>
    </cfRule>
    <cfRule type="expression" dxfId="4945" priority="4927">
      <formula>$F85="Réalisation"</formula>
    </cfRule>
    <cfRule type="expression" dxfId="4944" priority="4928">
      <formula>$F85="Désenfumage"</formula>
    </cfRule>
    <cfRule type="expression" dxfId="4943" priority="4929">
      <formula>$F85="Administratif"</formula>
    </cfRule>
  </conditionalFormatting>
  <conditionalFormatting sqref="D85">
    <cfRule type="expression" dxfId="4942" priority="4920">
      <formula>$H85="non"</formula>
    </cfRule>
  </conditionalFormatting>
  <conditionalFormatting sqref="D84">
    <cfRule type="expression" dxfId="4941" priority="4911">
      <formula>$F84="Formation CCF"</formula>
    </cfRule>
    <cfRule type="expression" dxfId="4940" priority="4912">
      <formula>$F84="Direction"</formula>
    </cfRule>
    <cfRule type="expression" dxfId="4939" priority="4913">
      <formula>$F84="Ventes Sicli"</formula>
    </cfRule>
    <cfRule type="expression" dxfId="4938" priority="4914">
      <formula>$F84="Ventes Chubb"</formula>
    </cfRule>
    <cfRule type="expression" dxfId="4937" priority="4915">
      <formula>$F84="SAV Sicli"</formula>
    </cfRule>
    <cfRule type="expression" dxfId="4936" priority="4916">
      <formula>$F84="SAV Chubb"</formula>
    </cfRule>
    <cfRule type="expression" dxfId="4935" priority="4917">
      <formula>$F84="Réalisation"</formula>
    </cfRule>
    <cfRule type="expression" dxfId="4934" priority="4918">
      <formula>$F84="Désenfumage"</formula>
    </cfRule>
    <cfRule type="expression" dxfId="4933" priority="4919">
      <formula>$F84="Administratif"</formula>
    </cfRule>
  </conditionalFormatting>
  <conditionalFormatting sqref="D84">
    <cfRule type="expression" dxfId="4932" priority="4910">
      <formula>$H84="non"</formula>
    </cfRule>
  </conditionalFormatting>
  <conditionalFormatting sqref="C83">
    <cfRule type="expression" dxfId="4931" priority="4901">
      <formula>$F83="Formation CCF"</formula>
    </cfRule>
    <cfRule type="expression" dxfId="4930" priority="4902">
      <formula>$F83="Direction"</formula>
    </cfRule>
    <cfRule type="expression" dxfId="4929" priority="4903">
      <formula>$F83="Ventes Sicli"</formula>
    </cfRule>
    <cfRule type="expression" dxfId="4928" priority="4904">
      <formula>$F83="Ventes Chubb"</formula>
    </cfRule>
    <cfRule type="expression" dxfId="4927" priority="4905">
      <formula>$F83="SAV Sicli"</formula>
    </cfRule>
    <cfRule type="expression" dxfId="4926" priority="4906">
      <formula>$F83="SAV Chubb"</formula>
    </cfRule>
    <cfRule type="expression" dxfId="4925" priority="4907">
      <formula>$F83="Réalisation"</formula>
    </cfRule>
    <cfRule type="expression" dxfId="4924" priority="4908">
      <formula>$F83="Désenfumage"</formula>
    </cfRule>
    <cfRule type="expression" dxfId="4923" priority="4909">
      <formula>$F83="Administratif"</formula>
    </cfRule>
  </conditionalFormatting>
  <conditionalFormatting sqref="C83">
    <cfRule type="expression" dxfId="4922" priority="4900">
      <formula>$H83="non"</formula>
    </cfRule>
  </conditionalFormatting>
  <conditionalFormatting sqref="D83">
    <cfRule type="expression" dxfId="4921" priority="4891">
      <formula>$F83="Formation CCF"</formula>
    </cfRule>
    <cfRule type="expression" dxfId="4920" priority="4892">
      <formula>$F83="Direction"</formula>
    </cfRule>
    <cfRule type="expression" dxfId="4919" priority="4893">
      <formula>$F83="Ventes Sicli"</formula>
    </cfRule>
    <cfRule type="expression" dxfId="4918" priority="4894">
      <formula>$F83="Ventes Chubb"</formula>
    </cfRule>
    <cfRule type="expression" dxfId="4917" priority="4895">
      <formula>$F83="SAV Sicli"</formula>
    </cfRule>
    <cfRule type="expression" dxfId="4916" priority="4896">
      <formula>$F83="SAV Chubb"</formula>
    </cfRule>
    <cfRule type="expression" dxfId="4915" priority="4897">
      <formula>$F83="Réalisation"</formula>
    </cfRule>
    <cfRule type="expression" dxfId="4914" priority="4898">
      <formula>$F83="Désenfumage"</formula>
    </cfRule>
    <cfRule type="expression" dxfId="4913" priority="4899">
      <formula>$F83="Administratif"</formula>
    </cfRule>
  </conditionalFormatting>
  <conditionalFormatting sqref="D83">
    <cfRule type="expression" dxfId="4912" priority="4890">
      <formula>$H83="non"</formula>
    </cfRule>
  </conditionalFormatting>
  <conditionalFormatting sqref="D87">
    <cfRule type="expression" dxfId="4911" priority="4881">
      <formula>$F87="Formation CCF"</formula>
    </cfRule>
    <cfRule type="expression" dxfId="4910" priority="4882">
      <formula>$F87="Direction"</formula>
    </cfRule>
    <cfRule type="expression" dxfId="4909" priority="4883">
      <formula>$F87="Ventes Sicli"</formula>
    </cfRule>
    <cfRule type="expression" dxfId="4908" priority="4884">
      <formula>$F87="Ventes Chubb"</formula>
    </cfRule>
    <cfRule type="expression" dxfId="4907" priority="4885">
      <formula>$F87="SAV Sicli"</formula>
    </cfRule>
    <cfRule type="expression" dxfId="4906" priority="4886">
      <formula>$F87="SAV Chubb"</formula>
    </cfRule>
    <cfRule type="expression" dxfId="4905" priority="4887">
      <formula>$F87="Réalisation"</formula>
    </cfRule>
    <cfRule type="expression" dxfId="4904" priority="4888">
      <formula>$F87="Désenfumage"</formula>
    </cfRule>
    <cfRule type="expression" dxfId="4903" priority="4889">
      <formula>$F87="Administratif"</formula>
    </cfRule>
  </conditionalFormatting>
  <conditionalFormatting sqref="D87">
    <cfRule type="expression" dxfId="4902" priority="4880">
      <formula>$H87="non"</formula>
    </cfRule>
  </conditionalFormatting>
  <conditionalFormatting sqref="D87">
    <cfRule type="expression" dxfId="4901" priority="4871">
      <formula>$F87="Formation CCF"</formula>
    </cfRule>
    <cfRule type="expression" dxfId="4900" priority="4872">
      <formula>$F87="Direction"</formula>
    </cfRule>
    <cfRule type="expression" dxfId="4899" priority="4873">
      <formula>$F87="Ventes Sicli"</formula>
    </cfRule>
    <cfRule type="expression" dxfId="4898" priority="4874">
      <formula>$F87="Ventes Chubb"</formula>
    </cfRule>
    <cfRule type="expression" dxfId="4897" priority="4875">
      <formula>$F87="SAV Sicli"</formula>
    </cfRule>
    <cfRule type="expression" dxfId="4896" priority="4876">
      <formula>$F87="SAV Chubb"</formula>
    </cfRule>
    <cfRule type="expression" dxfId="4895" priority="4877">
      <formula>$F87="Réalisation"</formula>
    </cfRule>
    <cfRule type="expression" dxfId="4894" priority="4878">
      <formula>$F87="Désenfumage"</formula>
    </cfRule>
    <cfRule type="expression" dxfId="4893" priority="4879">
      <formula>$F87="Administratif"</formula>
    </cfRule>
  </conditionalFormatting>
  <conditionalFormatting sqref="D87">
    <cfRule type="expression" dxfId="4892" priority="4870">
      <formula>$H87="non"</formula>
    </cfRule>
  </conditionalFormatting>
  <conditionalFormatting sqref="D86">
    <cfRule type="expression" dxfId="4891" priority="4861">
      <formula>$F86="Formation CCF"</formula>
    </cfRule>
    <cfRule type="expression" dxfId="4890" priority="4862">
      <formula>$F86="Direction"</formula>
    </cfRule>
    <cfRule type="expression" dxfId="4889" priority="4863">
      <formula>$F86="Ventes Sicli"</formula>
    </cfRule>
    <cfRule type="expression" dxfId="4888" priority="4864">
      <formula>$F86="Ventes Chubb"</formula>
    </cfRule>
    <cfRule type="expression" dxfId="4887" priority="4865">
      <formula>$F86="SAV Sicli"</formula>
    </cfRule>
    <cfRule type="expression" dxfId="4886" priority="4866">
      <formula>$F86="SAV Chubb"</formula>
    </cfRule>
    <cfRule type="expression" dxfId="4885" priority="4867">
      <formula>$F86="Réalisation"</formula>
    </cfRule>
    <cfRule type="expression" dxfId="4884" priority="4868">
      <formula>$F86="Désenfumage"</formula>
    </cfRule>
    <cfRule type="expression" dxfId="4883" priority="4869">
      <formula>$F86="Administratif"</formula>
    </cfRule>
  </conditionalFormatting>
  <conditionalFormatting sqref="D86">
    <cfRule type="expression" dxfId="4882" priority="4860">
      <formula>$H86="non"</formula>
    </cfRule>
  </conditionalFormatting>
  <conditionalFormatting sqref="D85">
    <cfRule type="expression" dxfId="4881" priority="4851">
      <formula>$F85="Formation CCF"</formula>
    </cfRule>
    <cfRule type="expression" dxfId="4880" priority="4852">
      <formula>$F85="Direction"</formula>
    </cfRule>
    <cfRule type="expression" dxfId="4879" priority="4853">
      <formula>$F85="Ventes Sicli"</formula>
    </cfRule>
    <cfRule type="expression" dxfId="4878" priority="4854">
      <formula>$F85="Ventes Chubb"</formula>
    </cfRule>
    <cfRule type="expression" dxfId="4877" priority="4855">
      <formula>$F85="SAV Sicli"</formula>
    </cfRule>
    <cfRule type="expression" dxfId="4876" priority="4856">
      <formula>$F85="SAV Chubb"</formula>
    </cfRule>
    <cfRule type="expression" dxfId="4875" priority="4857">
      <formula>$F85="Réalisation"</formula>
    </cfRule>
    <cfRule type="expression" dxfId="4874" priority="4858">
      <formula>$F85="Désenfumage"</formula>
    </cfRule>
    <cfRule type="expression" dxfId="4873" priority="4859">
      <formula>$F85="Administratif"</formula>
    </cfRule>
  </conditionalFormatting>
  <conditionalFormatting sqref="D85">
    <cfRule type="expression" dxfId="4872" priority="4850">
      <formula>$H85="non"</formula>
    </cfRule>
  </conditionalFormatting>
  <conditionalFormatting sqref="D84">
    <cfRule type="expression" dxfId="4871" priority="4841">
      <formula>$F84="Formation CCF"</formula>
    </cfRule>
    <cfRule type="expression" dxfId="4870" priority="4842">
      <formula>$F84="Direction"</formula>
    </cfRule>
    <cfRule type="expression" dxfId="4869" priority="4843">
      <formula>$F84="Ventes Sicli"</formula>
    </cfRule>
    <cfRule type="expression" dxfId="4868" priority="4844">
      <formula>$F84="Ventes Chubb"</formula>
    </cfRule>
    <cfRule type="expression" dxfId="4867" priority="4845">
      <formula>$F84="SAV Sicli"</formula>
    </cfRule>
    <cfRule type="expression" dxfId="4866" priority="4846">
      <formula>$F84="SAV Chubb"</formula>
    </cfRule>
    <cfRule type="expression" dxfId="4865" priority="4847">
      <formula>$F84="Réalisation"</formula>
    </cfRule>
    <cfRule type="expression" dxfId="4864" priority="4848">
      <formula>$F84="Désenfumage"</formula>
    </cfRule>
    <cfRule type="expression" dxfId="4863" priority="4849">
      <formula>$F84="Administratif"</formula>
    </cfRule>
  </conditionalFormatting>
  <conditionalFormatting sqref="D84">
    <cfRule type="expression" dxfId="4862" priority="4840">
      <formula>$H84="non"</formula>
    </cfRule>
  </conditionalFormatting>
  <conditionalFormatting sqref="D83">
    <cfRule type="expression" dxfId="4861" priority="4831">
      <formula>$F83="Formation CCF"</formula>
    </cfRule>
    <cfRule type="expression" dxfId="4860" priority="4832">
      <formula>$F83="Direction"</formula>
    </cfRule>
    <cfRule type="expression" dxfId="4859" priority="4833">
      <formula>$F83="Ventes Sicli"</formula>
    </cfRule>
    <cfRule type="expression" dxfId="4858" priority="4834">
      <formula>$F83="Ventes Chubb"</formula>
    </cfRule>
    <cfRule type="expression" dxfId="4857" priority="4835">
      <formula>$F83="SAV Sicli"</formula>
    </cfRule>
    <cfRule type="expression" dxfId="4856" priority="4836">
      <formula>$F83="SAV Chubb"</formula>
    </cfRule>
    <cfRule type="expression" dxfId="4855" priority="4837">
      <formula>$F83="Réalisation"</formula>
    </cfRule>
    <cfRule type="expression" dxfId="4854" priority="4838">
      <formula>$F83="Désenfumage"</formula>
    </cfRule>
    <cfRule type="expression" dxfId="4853" priority="4839">
      <formula>$F83="Administratif"</formula>
    </cfRule>
  </conditionalFormatting>
  <conditionalFormatting sqref="D83">
    <cfRule type="expression" dxfId="4852" priority="4830">
      <formula>$H83="non"</formula>
    </cfRule>
  </conditionalFormatting>
  <conditionalFormatting sqref="D87">
    <cfRule type="expression" dxfId="4851" priority="4821">
      <formula>$F87="Formation CCF"</formula>
    </cfRule>
    <cfRule type="expression" dxfId="4850" priority="4822">
      <formula>$F87="Direction"</formula>
    </cfRule>
    <cfRule type="expression" dxfId="4849" priority="4823">
      <formula>$F87="Ventes Sicli"</formula>
    </cfRule>
    <cfRule type="expression" dxfId="4848" priority="4824">
      <formula>$F87="Ventes Chubb"</formula>
    </cfRule>
    <cfRule type="expression" dxfId="4847" priority="4825">
      <formula>$F87="SAV Sicli"</formula>
    </cfRule>
    <cfRule type="expression" dxfId="4846" priority="4826">
      <formula>$F87="SAV Chubb"</formula>
    </cfRule>
    <cfRule type="expression" dxfId="4845" priority="4827">
      <formula>$F87="Réalisation"</formula>
    </cfRule>
    <cfRule type="expression" dxfId="4844" priority="4828">
      <formula>$F87="Désenfumage"</formula>
    </cfRule>
    <cfRule type="expression" dxfId="4843" priority="4829">
      <formula>$F87="Administratif"</formula>
    </cfRule>
  </conditionalFormatting>
  <conditionalFormatting sqref="D87">
    <cfRule type="expression" dxfId="4842" priority="4820">
      <formula>$H87="non"</formula>
    </cfRule>
  </conditionalFormatting>
  <conditionalFormatting sqref="D86">
    <cfRule type="expression" dxfId="4841" priority="4811">
      <formula>$F86="Formation CCF"</formula>
    </cfRule>
    <cfRule type="expression" dxfId="4840" priority="4812">
      <formula>$F86="Direction"</formula>
    </cfRule>
    <cfRule type="expression" dxfId="4839" priority="4813">
      <formula>$F86="Ventes Sicli"</formula>
    </cfRule>
    <cfRule type="expression" dxfId="4838" priority="4814">
      <formula>$F86="Ventes Chubb"</formula>
    </cfRule>
    <cfRule type="expression" dxfId="4837" priority="4815">
      <formula>$F86="SAV Sicli"</formula>
    </cfRule>
    <cfRule type="expression" dxfId="4836" priority="4816">
      <formula>$F86="SAV Chubb"</formula>
    </cfRule>
    <cfRule type="expression" dxfId="4835" priority="4817">
      <formula>$F86="Réalisation"</formula>
    </cfRule>
    <cfRule type="expression" dxfId="4834" priority="4818">
      <formula>$F86="Désenfumage"</formula>
    </cfRule>
    <cfRule type="expression" dxfId="4833" priority="4819">
      <formula>$F86="Administratif"</formula>
    </cfRule>
  </conditionalFormatting>
  <conditionalFormatting sqref="D86">
    <cfRule type="expression" dxfId="4832" priority="4810">
      <formula>$H86="non"</formula>
    </cfRule>
  </conditionalFormatting>
  <conditionalFormatting sqref="C79:D79">
    <cfRule type="expression" dxfId="4831" priority="4801">
      <formula>$F79="Formation CCF"</formula>
    </cfRule>
    <cfRule type="expression" dxfId="4830" priority="4802">
      <formula>$F79="Direction"</formula>
    </cfRule>
    <cfRule type="expression" dxfId="4829" priority="4803">
      <formula>$F79="Ventes Sicli"</formula>
    </cfRule>
    <cfRule type="expression" dxfId="4828" priority="4804">
      <formula>$F79="Ventes Chubb"</formula>
    </cfRule>
    <cfRule type="expression" dxfId="4827" priority="4805">
      <formula>$F79="SAV Sicli"</formula>
    </cfRule>
    <cfRule type="expression" dxfId="4826" priority="4806">
      <formula>$F79="SAV Chubb"</formula>
    </cfRule>
    <cfRule type="expression" dxfId="4825" priority="4807">
      <formula>$F79="Réalisation"</formula>
    </cfRule>
    <cfRule type="expression" dxfId="4824" priority="4808">
      <formula>$F79="Désenfumage"</formula>
    </cfRule>
    <cfRule type="expression" dxfId="4823" priority="4809">
      <formula>$F79="Administratif"</formula>
    </cfRule>
  </conditionalFormatting>
  <conditionalFormatting sqref="C79:D79">
    <cfRule type="expression" dxfId="4822" priority="4800">
      <formula>$H79="non"</formula>
    </cfRule>
  </conditionalFormatting>
  <conditionalFormatting sqref="D86">
    <cfRule type="expression" dxfId="4821" priority="4791">
      <formula>$F86="Formation CCF"</formula>
    </cfRule>
    <cfRule type="expression" dxfId="4820" priority="4792">
      <formula>$F86="Direction"</formula>
    </cfRule>
    <cfRule type="expression" dxfId="4819" priority="4793">
      <formula>$F86="Ventes Sicli"</formula>
    </cfRule>
    <cfRule type="expression" dxfId="4818" priority="4794">
      <formula>$F86="Ventes Chubb"</formula>
    </cfRule>
    <cfRule type="expression" dxfId="4817" priority="4795">
      <formula>$F86="SAV Sicli"</formula>
    </cfRule>
    <cfRule type="expression" dxfId="4816" priority="4796">
      <formula>$F86="SAV Chubb"</formula>
    </cfRule>
    <cfRule type="expression" dxfId="4815" priority="4797">
      <formula>$F86="Réalisation"</formula>
    </cfRule>
    <cfRule type="expression" dxfId="4814" priority="4798">
      <formula>$F86="Désenfumage"</formula>
    </cfRule>
    <cfRule type="expression" dxfId="4813" priority="4799">
      <formula>$F86="Administratif"</formula>
    </cfRule>
  </conditionalFormatting>
  <conditionalFormatting sqref="D86">
    <cfRule type="expression" dxfId="4812" priority="4790">
      <formula>$H86="non"</formula>
    </cfRule>
  </conditionalFormatting>
  <conditionalFormatting sqref="D85">
    <cfRule type="expression" dxfId="4811" priority="4781">
      <formula>$F85="Formation CCF"</formula>
    </cfRule>
    <cfRule type="expression" dxfId="4810" priority="4782">
      <formula>$F85="Direction"</formula>
    </cfRule>
    <cfRule type="expression" dxfId="4809" priority="4783">
      <formula>$F85="Ventes Sicli"</formula>
    </cfRule>
    <cfRule type="expression" dxfId="4808" priority="4784">
      <formula>$F85="Ventes Chubb"</formula>
    </cfRule>
    <cfRule type="expression" dxfId="4807" priority="4785">
      <formula>$F85="SAV Sicli"</formula>
    </cfRule>
    <cfRule type="expression" dxfId="4806" priority="4786">
      <formula>$F85="SAV Chubb"</formula>
    </cfRule>
    <cfRule type="expression" dxfId="4805" priority="4787">
      <formula>$F85="Réalisation"</formula>
    </cfRule>
    <cfRule type="expression" dxfId="4804" priority="4788">
      <formula>$F85="Désenfumage"</formula>
    </cfRule>
    <cfRule type="expression" dxfId="4803" priority="4789">
      <formula>$F85="Administratif"</formula>
    </cfRule>
  </conditionalFormatting>
  <conditionalFormatting sqref="D85">
    <cfRule type="expression" dxfId="4802" priority="4780">
      <formula>$H85="non"</formula>
    </cfRule>
  </conditionalFormatting>
  <conditionalFormatting sqref="D84">
    <cfRule type="expression" dxfId="4801" priority="4771">
      <formula>$F84="Formation CCF"</formula>
    </cfRule>
    <cfRule type="expression" dxfId="4800" priority="4772">
      <formula>$F84="Direction"</formula>
    </cfRule>
    <cfRule type="expression" dxfId="4799" priority="4773">
      <formula>$F84="Ventes Sicli"</formula>
    </cfRule>
    <cfRule type="expression" dxfId="4798" priority="4774">
      <formula>$F84="Ventes Chubb"</formula>
    </cfRule>
    <cfRule type="expression" dxfId="4797" priority="4775">
      <formula>$F84="SAV Sicli"</formula>
    </cfRule>
    <cfRule type="expression" dxfId="4796" priority="4776">
      <formula>$F84="SAV Chubb"</formula>
    </cfRule>
    <cfRule type="expression" dxfId="4795" priority="4777">
      <formula>$F84="Réalisation"</formula>
    </cfRule>
    <cfRule type="expression" dxfId="4794" priority="4778">
      <formula>$F84="Désenfumage"</formula>
    </cfRule>
    <cfRule type="expression" dxfId="4793" priority="4779">
      <formula>$F84="Administratif"</formula>
    </cfRule>
  </conditionalFormatting>
  <conditionalFormatting sqref="D84">
    <cfRule type="expression" dxfId="4792" priority="4770">
      <formula>$H84="non"</formula>
    </cfRule>
  </conditionalFormatting>
  <conditionalFormatting sqref="D83">
    <cfRule type="expression" dxfId="4791" priority="4761">
      <formula>$F83="Formation CCF"</formula>
    </cfRule>
    <cfRule type="expression" dxfId="4790" priority="4762">
      <formula>$F83="Direction"</formula>
    </cfRule>
    <cfRule type="expression" dxfId="4789" priority="4763">
      <formula>$F83="Ventes Sicli"</formula>
    </cfRule>
    <cfRule type="expression" dxfId="4788" priority="4764">
      <formula>$F83="Ventes Chubb"</formula>
    </cfRule>
    <cfRule type="expression" dxfId="4787" priority="4765">
      <formula>$F83="SAV Sicli"</formula>
    </cfRule>
    <cfRule type="expression" dxfId="4786" priority="4766">
      <formula>$F83="SAV Chubb"</formula>
    </cfRule>
    <cfRule type="expression" dxfId="4785" priority="4767">
      <formula>$F83="Réalisation"</formula>
    </cfRule>
    <cfRule type="expression" dxfId="4784" priority="4768">
      <formula>$F83="Désenfumage"</formula>
    </cfRule>
    <cfRule type="expression" dxfId="4783" priority="4769">
      <formula>$F83="Administratif"</formula>
    </cfRule>
  </conditionalFormatting>
  <conditionalFormatting sqref="D83">
    <cfRule type="expression" dxfId="4782" priority="4760">
      <formula>$H83="non"</formula>
    </cfRule>
  </conditionalFormatting>
  <conditionalFormatting sqref="D82">
    <cfRule type="expression" dxfId="4781" priority="4751">
      <formula>$F82="Formation CCF"</formula>
    </cfRule>
    <cfRule type="expression" dxfId="4780" priority="4752">
      <formula>$F82="Direction"</formula>
    </cfRule>
    <cfRule type="expression" dxfId="4779" priority="4753">
      <formula>$F82="Ventes Sicli"</formula>
    </cfRule>
    <cfRule type="expression" dxfId="4778" priority="4754">
      <formula>$F82="Ventes Chubb"</formula>
    </cfRule>
    <cfRule type="expression" dxfId="4777" priority="4755">
      <formula>$F82="SAV Sicli"</formula>
    </cfRule>
    <cfRule type="expression" dxfId="4776" priority="4756">
      <formula>$F82="SAV Chubb"</formula>
    </cfRule>
    <cfRule type="expression" dxfId="4775" priority="4757">
      <formula>$F82="Réalisation"</formula>
    </cfRule>
    <cfRule type="expression" dxfId="4774" priority="4758">
      <formula>$F82="Désenfumage"</formula>
    </cfRule>
    <cfRule type="expression" dxfId="4773" priority="4759">
      <formula>$F82="Administratif"</formula>
    </cfRule>
  </conditionalFormatting>
  <conditionalFormatting sqref="D82">
    <cfRule type="expression" dxfId="4772" priority="4750">
      <formula>$H82="non"</formula>
    </cfRule>
  </conditionalFormatting>
  <conditionalFormatting sqref="D81">
    <cfRule type="expression" dxfId="4771" priority="4741">
      <formula>$F81="Formation CCF"</formula>
    </cfRule>
    <cfRule type="expression" dxfId="4770" priority="4742">
      <formula>$F81="Direction"</formula>
    </cfRule>
    <cfRule type="expression" dxfId="4769" priority="4743">
      <formula>$F81="Ventes Sicli"</formula>
    </cfRule>
    <cfRule type="expression" dxfId="4768" priority="4744">
      <formula>$F81="Ventes Chubb"</formula>
    </cfRule>
    <cfRule type="expression" dxfId="4767" priority="4745">
      <formula>$F81="SAV Sicli"</formula>
    </cfRule>
    <cfRule type="expression" dxfId="4766" priority="4746">
      <formula>$F81="SAV Chubb"</formula>
    </cfRule>
    <cfRule type="expression" dxfId="4765" priority="4747">
      <formula>$F81="Réalisation"</formula>
    </cfRule>
    <cfRule type="expression" dxfId="4764" priority="4748">
      <formula>$F81="Désenfumage"</formula>
    </cfRule>
    <cfRule type="expression" dxfId="4763" priority="4749">
      <formula>$F81="Administratif"</formula>
    </cfRule>
  </conditionalFormatting>
  <conditionalFormatting sqref="D81">
    <cfRule type="expression" dxfId="4762" priority="4740">
      <formula>$H81="non"</formula>
    </cfRule>
  </conditionalFormatting>
  <conditionalFormatting sqref="D80">
    <cfRule type="expression" dxfId="4761" priority="4731">
      <formula>$F80="Formation CCF"</formula>
    </cfRule>
    <cfRule type="expression" dxfId="4760" priority="4732">
      <formula>$F80="Direction"</formula>
    </cfRule>
    <cfRule type="expression" dxfId="4759" priority="4733">
      <formula>$F80="Ventes Sicli"</formula>
    </cfRule>
    <cfRule type="expression" dxfId="4758" priority="4734">
      <formula>$F80="Ventes Chubb"</formula>
    </cfRule>
    <cfRule type="expression" dxfId="4757" priority="4735">
      <formula>$F80="SAV Sicli"</formula>
    </cfRule>
    <cfRule type="expression" dxfId="4756" priority="4736">
      <formula>$F80="SAV Chubb"</formula>
    </cfRule>
    <cfRule type="expression" dxfId="4755" priority="4737">
      <formula>$F80="Réalisation"</formula>
    </cfRule>
    <cfRule type="expression" dxfId="4754" priority="4738">
      <formula>$F80="Désenfumage"</formula>
    </cfRule>
    <cfRule type="expression" dxfId="4753" priority="4739">
      <formula>$F80="Administratif"</formula>
    </cfRule>
  </conditionalFormatting>
  <conditionalFormatting sqref="D80">
    <cfRule type="expression" dxfId="4752" priority="4730">
      <formula>$H80="non"</formula>
    </cfRule>
  </conditionalFormatting>
  <conditionalFormatting sqref="D79">
    <cfRule type="expression" dxfId="4751" priority="4721">
      <formula>$F79="Formation CCF"</formula>
    </cfRule>
    <cfRule type="expression" dxfId="4750" priority="4722">
      <formula>$F79="Direction"</formula>
    </cfRule>
    <cfRule type="expression" dxfId="4749" priority="4723">
      <formula>$F79="Ventes Sicli"</formula>
    </cfRule>
    <cfRule type="expression" dxfId="4748" priority="4724">
      <formula>$F79="Ventes Chubb"</formula>
    </cfRule>
    <cfRule type="expression" dxfId="4747" priority="4725">
      <formula>$F79="SAV Sicli"</formula>
    </cfRule>
    <cfRule type="expression" dxfId="4746" priority="4726">
      <formula>$F79="SAV Chubb"</formula>
    </cfRule>
    <cfRule type="expression" dxfId="4745" priority="4727">
      <formula>$F79="Réalisation"</formula>
    </cfRule>
    <cfRule type="expression" dxfId="4744" priority="4728">
      <formula>$F79="Désenfumage"</formula>
    </cfRule>
    <cfRule type="expression" dxfId="4743" priority="4729">
      <formula>$F79="Administratif"</formula>
    </cfRule>
  </conditionalFormatting>
  <conditionalFormatting sqref="D79">
    <cfRule type="expression" dxfId="4742" priority="4720">
      <formula>$H79="non"</formula>
    </cfRule>
  </conditionalFormatting>
  <conditionalFormatting sqref="D85">
    <cfRule type="expression" dxfId="4741" priority="4711">
      <formula>$F85="Formation CCF"</formula>
    </cfRule>
    <cfRule type="expression" dxfId="4740" priority="4712">
      <formula>$F85="Direction"</formula>
    </cfRule>
    <cfRule type="expression" dxfId="4739" priority="4713">
      <formula>$F85="Ventes Sicli"</formula>
    </cfRule>
    <cfRule type="expression" dxfId="4738" priority="4714">
      <formula>$F85="Ventes Chubb"</formula>
    </cfRule>
    <cfRule type="expression" dxfId="4737" priority="4715">
      <formula>$F85="SAV Sicli"</formula>
    </cfRule>
    <cfRule type="expression" dxfId="4736" priority="4716">
      <formula>$F85="SAV Chubb"</formula>
    </cfRule>
    <cfRule type="expression" dxfId="4735" priority="4717">
      <formula>$F85="Réalisation"</formula>
    </cfRule>
    <cfRule type="expression" dxfId="4734" priority="4718">
      <formula>$F85="Désenfumage"</formula>
    </cfRule>
    <cfRule type="expression" dxfId="4733" priority="4719">
      <formula>$F85="Administratif"</formula>
    </cfRule>
  </conditionalFormatting>
  <conditionalFormatting sqref="D85">
    <cfRule type="expression" dxfId="4732" priority="4710">
      <formula>$H85="non"</formula>
    </cfRule>
  </conditionalFormatting>
  <conditionalFormatting sqref="D84">
    <cfRule type="expression" dxfId="4731" priority="4701">
      <formula>$F84="Formation CCF"</formula>
    </cfRule>
    <cfRule type="expression" dxfId="4730" priority="4702">
      <formula>$F84="Direction"</formula>
    </cfRule>
    <cfRule type="expression" dxfId="4729" priority="4703">
      <formula>$F84="Ventes Sicli"</formula>
    </cfRule>
    <cfRule type="expression" dxfId="4728" priority="4704">
      <formula>$F84="Ventes Chubb"</formula>
    </cfRule>
    <cfRule type="expression" dxfId="4727" priority="4705">
      <formula>$F84="SAV Sicli"</formula>
    </cfRule>
    <cfRule type="expression" dxfId="4726" priority="4706">
      <formula>$F84="SAV Chubb"</formula>
    </cfRule>
    <cfRule type="expression" dxfId="4725" priority="4707">
      <formula>$F84="Réalisation"</formula>
    </cfRule>
    <cfRule type="expression" dxfId="4724" priority="4708">
      <formula>$F84="Désenfumage"</formula>
    </cfRule>
    <cfRule type="expression" dxfId="4723" priority="4709">
      <formula>$F84="Administratif"</formula>
    </cfRule>
  </conditionalFormatting>
  <conditionalFormatting sqref="D84">
    <cfRule type="expression" dxfId="4722" priority="4700">
      <formula>$H84="non"</formula>
    </cfRule>
  </conditionalFormatting>
  <conditionalFormatting sqref="D83">
    <cfRule type="expression" dxfId="4721" priority="4691">
      <formula>$F83="Formation CCF"</formula>
    </cfRule>
    <cfRule type="expression" dxfId="4720" priority="4692">
      <formula>$F83="Direction"</formula>
    </cfRule>
    <cfRule type="expression" dxfId="4719" priority="4693">
      <formula>$F83="Ventes Sicli"</formula>
    </cfRule>
    <cfRule type="expression" dxfId="4718" priority="4694">
      <formula>$F83="Ventes Chubb"</formula>
    </cfRule>
    <cfRule type="expression" dxfId="4717" priority="4695">
      <formula>$F83="SAV Sicli"</formula>
    </cfRule>
    <cfRule type="expression" dxfId="4716" priority="4696">
      <formula>$F83="SAV Chubb"</formula>
    </cfRule>
    <cfRule type="expression" dxfId="4715" priority="4697">
      <formula>$F83="Réalisation"</formula>
    </cfRule>
    <cfRule type="expression" dxfId="4714" priority="4698">
      <formula>$F83="Désenfumage"</formula>
    </cfRule>
    <cfRule type="expression" dxfId="4713" priority="4699">
      <formula>$F83="Administratif"</formula>
    </cfRule>
  </conditionalFormatting>
  <conditionalFormatting sqref="D83">
    <cfRule type="expression" dxfId="4712" priority="4690">
      <formula>$H83="non"</formula>
    </cfRule>
  </conditionalFormatting>
  <conditionalFormatting sqref="D82">
    <cfRule type="expression" dxfId="4711" priority="4681">
      <formula>$F82="Formation CCF"</formula>
    </cfRule>
    <cfRule type="expression" dxfId="4710" priority="4682">
      <formula>$F82="Direction"</formula>
    </cfRule>
    <cfRule type="expression" dxfId="4709" priority="4683">
      <formula>$F82="Ventes Sicli"</formula>
    </cfRule>
    <cfRule type="expression" dxfId="4708" priority="4684">
      <formula>$F82="Ventes Chubb"</formula>
    </cfRule>
    <cfRule type="expression" dxfId="4707" priority="4685">
      <formula>$F82="SAV Sicli"</formula>
    </cfRule>
    <cfRule type="expression" dxfId="4706" priority="4686">
      <formula>$F82="SAV Chubb"</formula>
    </cfRule>
    <cfRule type="expression" dxfId="4705" priority="4687">
      <formula>$F82="Réalisation"</formula>
    </cfRule>
    <cfRule type="expression" dxfId="4704" priority="4688">
      <formula>$F82="Désenfumage"</formula>
    </cfRule>
    <cfRule type="expression" dxfId="4703" priority="4689">
      <formula>$F82="Administratif"</formula>
    </cfRule>
  </conditionalFormatting>
  <conditionalFormatting sqref="D82">
    <cfRule type="expression" dxfId="4702" priority="4680">
      <formula>$H82="non"</formula>
    </cfRule>
  </conditionalFormatting>
  <conditionalFormatting sqref="D81">
    <cfRule type="expression" dxfId="4701" priority="4671">
      <formula>$F81="Formation CCF"</formula>
    </cfRule>
    <cfRule type="expression" dxfId="4700" priority="4672">
      <formula>$F81="Direction"</formula>
    </cfRule>
    <cfRule type="expression" dxfId="4699" priority="4673">
      <formula>$F81="Ventes Sicli"</formula>
    </cfRule>
    <cfRule type="expression" dxfId="4698" priority="4674">
      <formula>$F81="Ventes Chubb"</formula>
    </cfRule>
    <cfRule type="expression" dxfId="4697" priority="4675">
      <formula>$F81="SAV Sicli"</formula>
    </cfRule>
    <cfRule type="expression" dxfId="4696" priority="4676">
      <formula>$F81="SAV Chubb"</formula>
    </cfRule>
    <cfRule type="expression" dxfId="4695" priority="4677">
      <formula>$F81="Réalisation"</formula>
    </cfRule>
    <cfRule type="expression" dxfId="4694" priority="4678">
      <formula>$F81="Désenfumage"</formula>
    </cfRule>
    <cfRule type="expression" dxfId="4693" priority="4679">
      <formula>$F81="Administratif"</formula>
    </cfRule>
  </conditionalFormatting>
  <conditionalFormatting sqref="D81">
    <cfRule type="expression" dxfId="4692" priority="4670">
      <formula>$H81="non"</formula>
    </cfRule>
  </conditionalFormatting>
  <conditionalFormatting sqref="D80">
    <cfRule type="expression" dxfId="4691" priority="4661">
      <formula>$F80="Formation CCF"</formula>
    </cfRule>
    <cfRule type="expression" dxfId="4690" priority="4662">
      <formula>$F80="Direction"</formula>
    </cfRule>
    <cfRule type="expression" dxfId="4689" priority="4663">
      <formula>$F80="Ventes Sicli"</formula>
    </cfRule>
    <cfRule type="expression" dxfId="4688" priority="4664">
      <formula>$F80="Ventes Chubb"</formula>
    </cfRule>
    <cfRule type="expression" dxfId="4687" priority="4665">
      <formula>$F80="SAV Sicli"</formula>
    </cfRule>
    <cfRule type="expression" dxfId="4686" priority="4666">
      <formula>$F80="SAV Chubb"</formula>
    </cfRule>
    <cfRule type="expression" dxfId="4685" priority="4667">
      <formula>$F80="Réalisation"</formula>
    </cfRule>
    <cfRule type="expression" dxfId="4684" priority="4668">
      <formula>$F80="Désenfumage"</formula>
    </cfRule>
    <cfRule type="expression" dxfId="4683" priority="4669">
      <formula>$F80="Administratif"</formula>
    </cfRule>
  </conditionalFormatting>
  <conditionalFormatting sqref="D80">
    <cfRule type="expression" dxfId="4682" priority="4660">
      <formula>$H80="non"</formula>
    </cfRule>
  </conditionalFormatting>
  <conditionalFormatting sqref="D79">
    <cfRule type="expression" dxfId="4681" priority="4651">
      <formula>$F79="Formation CCF"</formula>
    </cfRule>
    <cfRule type="expression" dxfId="4680" priority="4652">
      <formula>$F79="Direction"</formula>
    </cfRule>
    <cfRule type="expression" dxfId="4679" priority="4653">
      <formula>$F79="Ventes Sicli"</formula>
    </cfRule>
    <cfRule type="expression" dxfId="4678" priority="4654">
      <formula>$F79="Ventes Chubb"</formula>
    </cfRule>
    <cfRule type="expression" dxfId="4677" priority="4655">
      <formula>$F79="SAV Sicli"</formula>
    </cfRule>
    <cfRule type="expression" dxfId="4676" priority="4656">
      <formula>$F79="SAV Chubb"</formula>
    </cfRule>
    <cfRule type="expression" dxfId="4675" priority="4657">
      <formula>$F79="Réalisation"</formula>
    </cfRule>
    <cfRule type="expression" dxfId="4674" priority="4658">
      <formula>$F79="Désenfumage"</formula>
    </cfRule>
    <cfRule type="expression" dxfId="4673" priority="4659">
      <formula>$F79="Administratif"</formula>
    </cfRule>
  </conditionalFormatting>
  <conditionalFormatting sqref="D79">
    <cfRule type="expression" dxfId="4672" priority="4650">
      <formula>$H79="non"</formula>
    </cfRule>
  </conditionalFormatting>
  <conditionalFormatting sqref="C87:D87">
    <cfRule type="expression" dxfId="4671" priority="4641">
      <formula>$F87="Formation CCF"</formula>
    </cfRule>
    <cfRule type="expression" dxfId="4670" priority="4642">
      <formula>$F87="Direction"</formula>
    </cfRule>
    <cfRule type="expression" dxfId="4669" priority="4643">
      <formula>$F87="Ventes Sicli"</formula>
    </cfRule>
    <cfRule type="expression" dxfId="4668" priority="4644">
      <formula>$F87="Ventes Chubb"</formula>
    </cfRule>
    <cfRule type="expression" dxfId="4667" priority="4645">
      <formula>$F87="SAV Sicli"</formula>
    </cfRule>
    <cfRule type="expression" dxfId="4666" priority="4646">
      <formula>$F87="SAV Chubb"</formula>
    </cfRule>
    <cfRule type="expression" dxfId="4665" priority="4647">
      <formula>$F87="Réalisation"</formula>
    </cfRule>
    <cfRule type="expression" dxfId="4664" priority="4648">
      <formula>$F87="Désenfumage"</formula>
    </cfRule>
    <cfRule type="expression" dxfId="4663" priority="4649">
      <formula>$F87="Administratif"</formula>
    </cfRule>
  </conditionalFormatting>
  <conditionalFormatting sqref="C87:D87">
    <cfRule type="expression" dxfId="4662" priority="4640">
      <formula>$H87="non"</formula>
    </cfRule>
  </conditionalFormatting>
  <conditionalFormatting sqref="D85">
    <cfRule type="expression" dxfId="4661" priority="4631">
      <formula>$F85="Formation CCF"</formula>
    </cfRule>
    <cfRule type="expression" dxfId="4660" priority="4632">
      <formula>$F85="Direction"</formula>
    </cfRule>
    <cfRule type="expression" dxfId="4659" priority="4633">
      <formula>$F85="Ventes Sicli"</formula>
    </cfRule>
    <cfRule type="expression" dxfId="4658" priority="4634">
      <formula>$F85="Ventes Chubb"</formula>
    </cfRule>
    <cfRule type="expression" dxfId="4657" priority="4635">
      <formula>$F85="SAV Sicli"</formula>
    </cfRule>
    <cfRule type="expression" dxfId="4656" priority="4636">
      <formula>$F85="SAV Chubb"</formula>
    </cfRule>
    <cfRule type="expression" dxfId="4655" priority="4637">
      <formula>$F85="Réalisation"</formula>
    </cfRule>
    <cfRule type="expression" dxfId="4654" priority="4638">
      <formula>$F85="Désenfumage"</formula>
    </cfRule>
    <cfRule type="expression" dxfId="4653" priority="4639">
      <formula>$F85="Administratif"</formula>
    </cfRule>
  </conditionalFormatting>
  <conditionalFormatting sqref="D85">
    <cfRule type="expression" dxfId="4652" priority="4630">
      <formula>$H85="non"</formula>
    </cfRule>
  </conditionalFormatting>
  <conditionalFormatting sqref="D84">
    <cfRule type="expression" dxfId="4651" priority="4621">
      <formula>$F84="Formation CCF"</formula>
    </cfRule>
    <cfRule type="expression" dxfId="4650" priority="4622">
      <formula>$F84="Direction"</formula>
    </cfRule>
    <cfRule type="expression" dxfId="4649" priority="4623">
      <formula>$F84="Ventes Sicli"</formula>
    </cfRule>
    <cfRule type="expression" dxfId="4648" priority="4624">
      <formula>$F84="Ventes Chubb"</formula>
    </cfRule>
    <cfRule type="expression" dxfId="4647" priority="4625">
      <formula>$F84="SAV Sicli"</formula>
    </cfRule>
    <cfRule type="expression" dxfId="4646" priority="4626">
      <formula>$F84="SAV Chubb"</formula>
    </cfRule>
    <cfRule type="expression" dxfId="4645" priority="4627">
      <formula>$F84="Réalisation"</formula>
    </cfRule>
    <cfRule type="expression" dxfId="4644" priority="4628">
      <formula>$F84="Désenfumage"</formula>
    </cfRule>
    <cfRule type="expression" dxfId="4643" priority="4629">
      <formula>$F84="Administratif"</formula>
    </cfRule>
  </conditionalFormatting>
  <conditionalFormatting sqref="D84">
    <cfRule type="expression" dxfId="4642" priority="4620">
      <formula>$H84="non"</formula>
    </cfRule>
  </conditionalFormatting>
  <conditionalFormatting sqref="D83">
    <cfRule type="expression" dxfId="4641" priority="4611">
      <formula>$F83="Formation CCF"</formula>
    </cfRule>
    <cfRule type="expression" dxfId="4640" priority="4612">
      <formula>$F83="Direction"</formula>
    </cfRule>
    <cfRule type="expression" dxfId="4639" priority="4613">
      <formula>$F83="Ventes Sicli"</formula>
    </cfRule>
    <cfRule type="expression" dxfId="4638" priority="4614">
      <formula>$F83="Ventes Chubb"</formula>
    </cfRule>
    <cfRule type="expression" dxfId="4637" priority="4615">
      <formula>$F83="SAV Sicli"</formula>
    </cfRule>
    <cfRule type="expression" dxfId="4636" priority="4616">
      <formula>$F83="SAV Chubb"</formula>
    </cfRule>
    <cfRule type="expression" dxfId="4635" priority="4617">
      <formula>$F83="Réalisation"</formula>
    </cfRule>
    <cfRule type="expression" dxfId="4634" priority="4618">
      <formula>$F83="Désenfumage"</formula>
    </cfRule>
    <cfRule type="expression" dxfId="4633" priority="4619">
      <formula>$F83="Administratif"</formula>
    </cfRule>
  </conditionalFormatting>
  <conditionalFormatting sqref="D83">
    <cfRule type="expression" dxfId="4632" priority="4610">
      <formula>$H83="non"</formula>
    </cfRule>
  </conditionalFormatting>
  <conditionalFormatting sqref="D82">
    <cfRule type="expression" dxfId="4631" priority="4601">
      <formula>$F82="Formation CCF"</formula>
    </cfRule>
    <cfRule type="expression" dxfId="4630" priority="4602">
      <formula>$F82="Direction"</formula>
    </cfRule>
    <cfRule type="expression" dxfId="4629" priority="4603">
      <formula>$F82="Ventes Sicli"</formula>
    </cfRule>
    <cfRule type="expression" dxfId="4628" priority="4604">
      <formula>$F82="Ventes Chubb"</formula>
    </cfRule>
    <cfRule type="expression" dxfId="4627" priority="4605">
      <formula>$F82="SAV Sicli"</formula>
    </cfRule>
    <cfRule type="expression" dxfId="4626" priority="4606">
      <formula>$F82="SAV Chubb"</formula>
    </cfRule>
    <cfRule type="expression" dxfId="4625" priority="4607">
      <formula>$F82="Réalisation"</formula>
    </cfRule>
    <cfRule type="expression" dxfId="4624" priority="4608">
      <formula>$F82="Désenfumage"</formula>
    </cfRule>
    <cfRule type="expression" dxfId="4623" priority="4609">
      <formula>$F82="Administratif"</formula>
    </cfRule>
  </conditionalFormatting>
  <conditionalFormatting sqref="D82">
    <cfRule type="expression" dxfId="4622" priority="4600">
      <formula>$H82="non"</formula>
    </cfRule>
  </conditionalFormatting>
  <conditionalFormatting sqref="D81">
    <cfRule type="expression" dxfId="4621" priority="4591">
      <formula>$F81="Formation CCF"</formula>
    </cfRule>
    <cfRule type="expression" dxfId="4620" priority="4592">
      <formula>$F81="Direction"</formula>
    </cfRule>
    <cfRule type="expression" dxfId="4619" priority="4593">
      <formula>$F81="Ventes Sicli"</formula>
    </cfRule>
    <cfRule type="expression" dxfId="4618" priority="4594">
      <formula>$F81="Ventes Chubb"</formula>
    </cfRule>
    <cfRule type="expression" dxfId="4617" priority="4595">
      <formula>$F81="SAV Sicli"</formula>
    </cfRule>
    <cfRule type="expression" dxfId="4616" priority="4596">
      <formula>$F81="SAV Chubb"</formula>
    </cfRule>
    <cfRule type="expression" dxfId="4615" priority="4597">
      <formula>$F81="Réalisation"</formula>
    </cfRule>
    <cfRule type="expression" dxfId="4614" priority="4598">
      <formula>$F81="Désenfumage"</formula>
    </cfRule>
    <cfRule type="expression" dxfId="4613" priority="4599">
      <formula>$F81="Administratif"</formula>
    </cfRule>
  </conditionalFormatting>
  <conditionalFormatting sqref="D81">
    <cfRule type="expression" dxfId="4612" priority="4590">
      <formula>$H81="non"</formula>
    </cfRule>
  </conditionalFormatting>
  <conditionalFormatting sqref="D80">
    <cfRule type="expression" dxfId="4611" priority="4581">
      <formula>$F80="Formation CCF"</formula>
    </cfRule>
    <cfRule type="expression" dxfId="4610" priority="4582">
      <formula>$F80="Direction"</formula>
    </cfRule>
    <cfRule type="expression" dxfId="4609" priority="4583">
      <formula>$F80="Ventes Sicli"</formula>
    </cfRule>
    <cfRule type="expression" dxfId="4608" priority="4584">
      <formula>$F80="Ventes Chubb"</formula>
    </cfRule>
    <cfRule type="expression" dxfId="4607" priority="4585">
      <formula>$F80="SAV Sicli"</formula>
    </cfRule>
    <cfRule type="expression" dxfId="4606" priority="4586">
      <formula>$F80="SAV Chubb"</formula>
    </cfRule>
    <cfRule type="expression" dxfId="4605" priority="4587">
      <formula>$F80="Réalisation"</formula>
    </cfRule>
    <cfRule type="expression" dxfId="4604" priority="4588">
      <formula>$F80="Désenfumage"</formula>
    </cfRule>
    <cfRule type="expression" dxfId="4603" priority="4589">
      <formula>$F80="Administratif"</formula>
    </cfRule>
  </conditionalFormatting>
  <conditionalFormatting sqref="D80">
    <cfRule type="expression" dxfId="4602" priority="4580">
      <formula>$H80="non"</formula>
    </cfRule>
  </conditionalFormatting>
  <conditionalFormatting sqref="D79">
    <cfRule type="expression" dxfId="4601" priority="4571">
      <formula>$F79="Formation CCF"</formula>
    </cfRule>
    <cfRule type="expression" dxfId="4600" priority="4572">
      <formula>$F79="Direction"</formula>
    </cfRule>
    <cfRule type="expression" dxfId="4599" priority="4573">
      <formula>$F79="Ventes Sicli"</formula>
    </cfRule>
    <cfRule type="expression" dxfId="4598" priority="4574">
      <formula>$F79="Ventes Chubb"</formula>
    </cfRule>
    <cfRule type="expression" dxfId="4597" priority="4575">
      <formula>$F79="SAV Sicli"</formula>
    </cfRule>
    <cfRule type="expression" dxfId="4596" priority="4576">
      <formula>$F79="SAV Chubb"</formula>
    </cfRule>
    <cfRule type="expression" dxfId="4595" priority="4577">
      <formula>$F79="Réalisation"</formula>
    </cfRule>
    <cfRule type="expression" dxfId="4594" priority="4578">
      <formula>$F79="Désenfumage"</formula>
    </cfRule>
    <cfRule type="expression" dxfId="4593" priority="4579">
      <formula>$F79="Administratif"</formula>
    </cfRule>
  </conditionalFormatting>
  <conditionalFormatting sqref="D79">
    <cfRule type="expression" dxfId="4592" priority="4570">
      <formula>$H79="non"</formula>
    </cfRule>
  </conditionalFormatting>
  <conditionalFormatting sqref="D84">
    <cfRule type="expression" dxfId="4591" priority="4561">
      <formula>$F84="Formation CCF"</formula>
    </cfRule>
    <cfRule type="expression" dxfId="4590" priority="4562">
      <formula>$F84="Direction"</formula>
    </cfRule>
    <cfRule type="expression" dxfId="4589" priority="4563">
      <formula>$F84="Ventes Sicli"</formula>
    </cfRule>
    <cfRule type="expression" dxfId="4588" priority="4564">
      <formula>$F84="Ventes Chubb"</formula>
    </cfRule>
    <cfRule type="expression" dxfId="4587" priority="4565">
      <formula>$F84="SAV Sicli"</formula>
    </cfRule>
    <cfRule type="expression" dxfId="4586" priority="4566">
      <formula>$F84="SAV Chubb"</formula>
    </cfRule>
    <cfRule type="expression" dxfId="4585" priority="4567">
      <formula>$F84="Réalisation"</formula>
    </cfRule>
    <cfRule type="expression" dxfId="4584" priority="4568">
      <formula>$F84="Désenfumage"</formula>
    </cfRule>
    <cfRule type="expression" dxfId="4583" priority="4569">
      <formula>$F84="Administratif"</formula>
    </cfRule>
  </conditionalFormatting>
  <conditionalFormatting sqref="D84">
    <cfRule type="expression" dxfId="4582" priority="4560">
      <formula>$H84="non"</formula>
    </cfRule>
  </conditionalFormatting>
  <conditionalFormatting sqref="D83">
    <cfRule type="expression" dxfId="4581" priority="4551">
      <formula>$F83="Formation CCF"</formula>
    </cfRule>
    <cfRule type="expression" dxfId="4580" priority="4552">
      <formula>$F83="Direction"</formula>
    </cfRule>
    <cfRule type="expression" dxfId="4579" priority="4553">
      <formula>$F83="Ventes Sicli"</formula>
    </cfRule>
    <cfRule type="expression" dxfId="4578" priority="4554">
      <formula>$F83="Ventes Chubb"</formula>
    </cfRule>
    <cfRule type="expression" dxfId="4577" priority="4555">
      <formula>$F83="SAV Sicli"</formula>
    </cfRule>
    <cfRule type="expression" dxfId="4576" priority="4556">
      <formula>$F83="SAV Chubb"</formula>
    </cfRule>
    <cfRule type="expression" dxfId="4575" priority="4557">
      <formula>$F83="Réalisation"</formula>
    </cfRule>
    <cfRule type="expression" dxfId="4574" priority="4558">
      <formula>$F83="Désenfumage"</formula>
    </cfRule>
    <cfRule type="expression" dxfId="4573" priority="4559">
      <formula>$F83="Administratif"</formula>
    </cfRule>
  </conditionalFormatting>
  <conditionalFormatting sqref="D83">
    <cfRule type="expression" dxfId="4572" priority="4550">
      <formula>$H83="non"</formula>
    </cfRule>
  </conditionalFormatting>
  <conditionalFormatting sqref="D82">
    <cfRule type="expression" dxfId="4571" priority="4541">
      <formula>$F82="Formation CCF"</formula>
    </cfRule>
    <cfRule type="expression" dxfId="4570" priority="4542">
      <formula>$F82="Direction"</formula>
    </cfRule>
    <cfRule type="expression" dxfId="4569" priority="4543">
      <formula>$F82="Ventes Sicli"</formula>
    </cfRule>
    <cfRule type="expression" dxfId="4568" priority="4544">
      <formula>$F82="Ventes Chubb"</formula>
    </cfRule>
    <cfRule type="expression" dxfId="4567" priority="4545">
      <formula>$F82="SAV Sicli"</formula>
    </cfRule>
    <cfRule type="expression" dxfId="4566" priority="4546">
      <formula>$F82="SAV Chubb"</formula>
    </cfRule>
    <cfRule type="expression" dxfId="4565" priority="4547">
      <formula>$F82="Réalisation"</formula>
    </cfRule>
    <cfRule type="expression" dxfId="4564" priority="4548">
      <formula>$F82="Désenfumage"</formula>
    </cfRule>
    <cfRule type="expression" dxfId="4563" priority="4549">
      <formula>$F82="Administratif"</formula>
    </cfRule>
  </conditionalFormatting>
  <conditionalFormatting sqref="D82">
    <cfRule type="expression" dxfId="4562" priority="4540">
      <formula>$H82="non"</formula>
    </cfRule>
  </conditionalFormatting>
  <conditionalFormatting sqref="D81">
    <cfRule type="expression" dxfId="4561" priority="4531">
      <formula>$F81="Formation CCF"</formula>
    </cfRule>
    <cfRule type="expression" dxfId="4560" priority="4532">
      <formula>$F81="Direction"</formula>
    </cfRule>
    <cfRule type="expression" dxfId="4559" priority="4533">
      <formula>$F81="Ventes Sicli"</formula>
    </cfRule>
    <cfRule type="expression" dxfId="4558" priority="4534">
      <formula>$F81="Ventes Chubb"</formula>
    </cfRule>
    <cfRule type="expression" dxfId="4557" priority="4535">
      <formula>$F81="SAV Sicli"</formula>
    </cfRule>
    <cfRule type="expression" dxfId="4556" priority="4536">
      <formula>$F81="SAV Chubb"</formula>
    </cfRule>
    <cfRule type="expression" dxfId="4555" priority="4537">
      <formula>$F81="Réalisation"</formula>
    </cfRule>
    <cfRule type="expression" dxfId="4554" priority="4538">
      <formula>$F81="Désenfumage"</formula>
    </cfRule>
    <cfRule type="expression" dxfId="4553" priority="4539">
      <formula>$F81="Administratif"</formula>
    </cfRule>
  </conditionalFormatting>
  <conditionalFormatting sqref="D81">
    <cfRule type="expression" dxfId="4552" priority="4530">
      <formula>$H81="non"</formula>
    </cfRule>
  </conditionalFormatting>
  <conditionalFormatting sqref="D80">
    <cfRule type="expression" dxfId="4551" priority="4521">
      <formula>$F80="Formation CCF"</formula>
    </cfRule>
    <cfRule type="expression" dxfId="4550" priority="4522">
      <formula>$F80="Direction"</formula>
    </cfRule>
    <cfRule type="expression" dxfId="4549" priority="4523">
      <formula>$F80="Ventes Sicli"</formula>
    </cfRule>
    <cfRule type="expression" dxfId="4548" priority="4524">
      <formula>$F80="Ventes Chubb"</formula>
    </cfRule>
    <cfRule type="expression" dxfId="4547" priority="4525">
      <formula>$F80="SAV Sicli"</formula>
    </cfRule>
    <cfRule type="expression" dxfId="4546" priority="4526">
      <formula>$F80="SAV Chubb"</formula>
    </cfRule>
    <cfRule type="expression" dxfId="4545" priority="4527">
      <formula>$F80="Réalisation"</formula>
    </cfRule>
    <cfRule type="expression" dxfId="4544" priority="4528">
      <formula>$F80="Désenfumage"</formula>
    </cfRule>
    <cfRule type="expression" dxfId="4543" priority="4529">
      <formula>$F80="Administratif"</formula>
    </cfRule>
  </conditionalFormatting>
  <conditionalFormatting sqref="D80">
    <cfRule type="expression" dxfId="4542" priority="4520">
      <formula>$H80="non"</formula>
    </cfRule>
  </conditionalFormatting>
  <conditionalFormatting sqref="D79">
    <cfRule type="expression" dxfId="4541" priority="4511">
      <formula>$F79="Formation CCF"</formula>
    </cfRule>
    <cfRule type="expression" dxfId="4540" priority="4512">
      <formula>$F79="Direction"</formula>
    </cfRule>
    <cfRule type="expression" dxfId="4539" priority="4513">
      <formula>$F79="Ventes Sicli"</formula>
    </cfRule>
    <cfRule type="expression" dxfId="4538" priority="4514">
      <formula>$F79="Ventes Chubb"</formula>
    </cfRule>
    <cfRule type="expression" dxfId="4537" priority="4515">
      <formula>$F79="SAV Sicli"</formula>
    </cfRule>
    <cfRule type="expression" dxfId="4536" priority="4516">
      <formula>$F79="SAV Chubb"</formula>
    </cfRule>
    <cfRule type="expression" dxfId="4535" priority="4517">
      <formula>$F79="Réalisation"</formula>
    </cfRule>
    <cfRule type="expression" dxfId="4534" priority="4518">
      <formula>$F79="Désenfumage"</formula>
    </cfRule>
    <cfRule type="expression" dxfId="4533" priority="4519">
      <formula>$F79="Administratif"</formula>
    </cfRule>
  </conditionalFormatting>
  <conditionalFormatting sqref="D79">
    <cfRule type="expression" dxfId="4532" priority="4510">
      <formula>$H79="non"</formula>
    </cfRule>
  </conditionalFormatting>
  <conditionalFormatting sqref="C87:D87">
    <cfRule type="expression" dxfId="4531" priority="4501">
      <formula>$F87="Formation CCF"</formula>
    </cfRule>
    <cfRule type="expression" dxfId="4530" priority="4502">
      <formula>$F87="Direction"</formula>
    </cfRule>
    <cfRule type="expression" dxfId="4529" priority="4503">
      <formula>$F87="Ventes Sicli"</formula>
    </cfRule>
    <cfRule type="expression" dxfId="4528" priority="4504">
      <formula>$F87="Ventes Chubb"</formula>
    </cfRule>
    <cfRule type="expression" dxfId="4527" priority="4505">
      <formula>$F87="SAV Sicli"</formula>
    </cfRule>
    <cfRule type="expression" dxfId="4526" priority="4506">
      <formula>$F87="SAV Chubb"</formula>
    </cfRule>
    <cfRule type="expression" dxfId="4525" priority="4507">
      <formula>$F87="Réalisation"</formula>
    </cfRule>
    <cfRule type="expression" dxfId="4524" priority="4508">
      <formula>$F87="Désenfumage"</formula>
    </cfRule>
    <cfRule type="expression" dxfId="4523" priority="4509">
      <formula>$F87="Administratif"</formula>
    </cfRule>
  </conditionalFormatting>
  <conditionalFormatting sqref="C87:D87">
    <cfRule type="expression" dxfId="4522" priority="4500">
      <formula>$H87="non"</formula>
    </cfRule>
  </conditionalFormatting>
  <conditionalFormatting sqref="D85">
    <cfRule type="expression" dxfId="4521" priority="4491">
      <formula>$F85="Formation CCF"</formula>
    </cfRule>
    <cfRule type="expression" dxfId="4520" priority="4492">
      <formula>$F85="Direction"</formula>
    </cfRule>
    <cfRule type="expression" dxfId="4519" priority="4493">
      <formula>$F85="Ventes Sicli"</formula>
    </cfRule>
    <cfRule type="expression" dxfId="4518" priority="4494">
      <formula>$F85="Ventes Chubb"</formula>
    </cfRule>
    <cfRule type="expression" dxfId="4517" priority="4495">
      <formula>$F85="SAV Sicli"</formula>
    </cfRule>
    <cfRule type="expression" dxfId="4516" priority="4496">
      <formula>$F85="SAV Chubb"</formula>
    </cfRule>
    <cfRule type="expression" dxfId="4515" priority="4497">
      <formula>$F85="Réalisation"</formula>
    </cfRule>
    <cfRule type="expression" dxfId="4514" priority="4498">
      <formula>$F85="Désenfumage"</formula>
    </cfRule>
    <cfRule type="expression" dxfId="4513" priority="4499">
      <formula>$F85="Administratif"</formula>
    </cfRule>
  </conditionalFormatting>
  <conditionalFormatting sqref="D85">
    <cfRule type="expression" dxfId="4512" priority="4490">
      <formula>$H85="non"</formula>
    </cfRule>
  </conditionalFormatting>
  <conditionalFormatting sqref="D84">
    <cfRule type="expression" dxfId="4511" priority="4481">
      <formula>$F84="Formation CCF"</formula>
    </cfRule>
    <cfRule type="expression" dxfId="4510" priority="4482">
      <formula>$F84="Direction"</formula>
    </cfRule>
    <cfRule type="expression" dxfId="4509" priority="4483">
      <formula>$F84="Ventes Sicli"</formula>
    </cfRule>
    <cfRule type="expression" dxfId="4508" priority="4484">
      <formula>$F84="Ventes Chubb"</formula>
    </cfRule>
    <cfRule type="expression" dxfId="4507" priority="4485">
      <formula>$F84="SAV Sicli"</formula>
    </cfRule>
    <cfRule type="expression" dxfId="4506" priority="4486">
      <formula>$F84="SAV Chubb"</formula>
    </cfRule>
    <cfRule type="expression" dxfId="4505" priority="4487">
      <formula>$F84="Réalisation"</formula>
    </cfRule>
    <cfRule type="expression" dxfId="4504" priority="4488">
      <formula>$F84="Désenfumage"</formula>
    </cfRule>
    <cfRule type="expression" dxfId="4503" priority="4489">
      <formula>$F84="Administratif"</formula>
    </cfRule>
  </conditionalFormatting>
  <conditionalFormatting sqref="D84">
    <cfRule type="expression" dxfId="4502" priority="4480">
      <formula>$H84="non"</formula>
    </cfRule>
  </conditionalFormatting>
  <conditionalFormatting sqref="D83">
    <cfRule type="expression" dxfId="4501" priority="4471">
      <formula>$F83="Formation CCF"</formula>
    </cfRule>
    <cfRule type="expression" dxfId="4500" priority="4472">
      <formula>$F83="Direction"</formula>
    </cfRule>
    <cfRule type="expression" dxfId="4499" priority="4473">
      <formula>$F83="Ventes Sicli"</formula>
    </cfRule>
    <cfRule type="expression" dxfId="4498" priority="4474">
      <formula>$F83="Ventes Chubb"</formula>
    </cfRule>
    <cfRule type="expression" dxfId="4497" priority="4475">
      <formula>$F83="SAV Sicli"</formula>
    </cfRule>
    <cfRule type="expression" dxfId="4496" priority="4476">
      <formula>$F83="SAV Chubb"</formula>
    </cfRule>
    <cfRule type="expression" dxfId="4495" priority="4477">
      <formula>$F83="Réalisation"</formula>
    </cfRule>
    <cfRule type="expression" dxfId="4494" priority="4478">
      <formula>$F83="Désenfumage"</formula>
    </cfRule>
    <cfRule type="expression" dxfId="4493" priority="4479">
      <formula>$F83="Administratif"</formula>
    </cfRule>
  </conditionalFormatting>
  <conditionalFormatting sqref="D83">
    <cfRule type="expression" dxfId="4492" priority="4470">
      <formula>$H83="non"</formula>
    </cfRule>
  </conditionalFormatting>
  <conditionalFormatting sqref="D82">
    <cfRule type="expression" dxfId="4491" priority="4461">
      <formula>$F82="Formation CCF"</formula>
    </cfRule>
    <cfRule type="expression" dxfId="4490" priority="4462">
      <formula>$F82="Direction"</formula>
    </cfRule>
    <cfRule type="expression" dxfId="4489" priority="4463">
      <formula>$F82="Ventes Sicli"</formula>
    </cfRule>
    <cfRule type="expression" dxfId="4488" priority="4464">
      <formula>$F82="Ventes Chubb"</formula>
    </cfRule>
    <cfRule type="expression" dxfId="4487" priority="4465">
      <formula>$F82="SAV Sicli"</formula>
    </cfRule>
    <cfRule type="expression" dxfId="4486" priority="4466">
      <formula>$F82="SAV Chubb"</formula>
    </cfRule>
    <cfRule type="expression" dxfId="4485" priority="4467">
      <formula>$F82="Réalisation"</formula>
    </cfRule>
    <cfRule type="expression" dxfId="4484" priority="4468">
      <formula>$F82="Désenfumage"</formula>
    </cfRule>
    <cfRule type="expression" dxfId="4483" priority="4469">
      <formula>$F82="Administratif"</formula>
    </cfRule>
  </conditionalFormatting>
  <conditionalFormatting sqref="D82">
    <cfRule type="expression" dxfId="4482" priority="4460">
      <formula>$H82="non"</formula>
    </cfRule>
  </conditionalFormatting>
  <conditionalFormatting sqref="D81">
    <cfRule type="expression" dxfId="4481" priority="4451">
      <formula>$F81="Formation CCF"</formula>
    </cfRule>
    <cfRule type="expression" dxfId="4480" priority="4452">
      <formula>$F81="Direction"</formula>
    </cfRule>
    <cfRule type="expression" dxfId="4479" priority="4453">
      <formula>$F81="Ventes Sicli"</formula>
    </cfRule>
    <cfRule type="expression" dxfId="4478" priority="4454">
      <formula>$F81="Ventes Chubb"</formula>
    </cfRule>
    <cfRule type="expression" dxfId="4477" priority="4455">
      <formula>$F81="SAV Sicli"</formula>
    </cfRule>
    <cfRule type="expression" dxfId="4476" priority="4456">
      <formula>$F81="SAV Chubb"</formula>
    </cfRule>
    <cfRule type="expression" dxfId="4475" priority="4457">
      <formula>$F81="Réalisation"</formula>
    </cfRule>
    <cfRule type="expression" dxfId="4474" priority="4458">
      <formula>$F81="Désenfumage"</formula>
    </cfRule>
    <cfRule type="expression" dxfId="4473" priority="4459">
      <formula>$F81="Administratif"</formula>
    </cfRule>
  </conditionalFormatting>
  <conditionalFormatting sqref="D81">
    <cfRule type="expression" dxfId="4472" priority="4450">
      <formula>$H81="non"</formula>
    </cfRule>
  </conditionalFormatting>
  <conditionalFormatting sqref="D80">
    <cfRule type="expression" dxfId="4471" priority="4441">
      <formula>$F80="Formation CCF"</formula>
    </cfRule>
    <cfRule type="expression" dxfId="4470" priority="4442">
      <formula>$F80="Direction"</formula>
    </cfRule>
    <cfRule type="expression" dxfId="4469" priority="4443">
      <formula>$F80="Ventes Sicli"</formula>
    </cfRule>
    <cfRule type="expression" dxfId="4468" priority="4444">
      <formula>$F80="Ventes Chubb"</formula>
    </cfRule>
    <cfRule type="expression" dxfId="4467" priority="4445">
      <formula>$F80="SAV Sicli"</formula>
    </cfRule>
    <cfRule type="expression" dxfId="4466" priority="4446">
      <formula>$F80="SAV Chubb"</formula>
    </cfRule>
    <cfRule type="expression" dxfId="4465" priority="4447">
      <formula>$F80="Réalisation"</formula>
    </cfRule>
    <cfRule type="expression" dxfId="4464" priority="4448">
      <formula>$F80="Désenfumage"</formula>
    </cfRule>
    <cfRule type="expression" dxfId="4463" priority="4449">
      <formula>$F80="Administratif"</formula>
    </cfRule>
  </conditionalFormatting>
  <conditionalFormatting sqref="D80">
    <cfRule type="expression" dxfId="4462" priority="4440">
      <formula>$H80="non"</formula>
    </cfRule>
  </conditionalFormatting>
  <conditionalFormatting sqref="D79">
    <cfRule type="expression" dxfId="4461" priority="4431">
      <formula>$F79="Formation CCF"</formula>
    </cfRule>
    <cfRule type="expression" dxfId="4460" priority="4432">
      <formula>$F79="Direction"</formula>
    </cfRule>
    <cfRule type="expression" dxfId="4459" priority="4433">
      <formula>$F79="Ventes Sicli"</formula>
    </cfRule>
    <cfRule type="expression" dxfId="4458" priority="4434">
      <formula>$F79="Ventes Chubb"</formula>
    </cfRule>
    <cfRule type="expression" dxfId="4457" priority="4435">
      <formula>$F79="SAV Sicli"</formula>
    </cfRule>
    <cfRule type="expression" dxfId="4456" priority="4436">
      <formula>$F79="SAV Chubb"</formula>
    </cfRule>
    <cfRule type="expression" dxfId="4455" priority="4437">
      <formula>$F79="Réalisation"</formula>
    </cfRule>
    <cfRule type="expression" dxfId="4454" priority="4438">
      <formula>$F79="Désenfumage"</formula>
    </cfRule>
    <cfRule type="expression" dxfId="4453" priority="4439">
      <formula>$F79="Administratif"</formula>
    </cfRule>
  </conditionalFormatting>
  <conditionalFormatting sqref="D79">
    <cfRule type="expression" dxfId="4452" priority="4430">
      <formula>$H79="non"</formula>
    </cfRule>
  </conditionalFormatting>
  <conditionalFormatting sqref="D84">
    <cfRule type="expression" dxfId="4451" priority="4421">
      <formula>$F84="Formation CCF"</formula>
    </cfRule>
    <cfRule type="expression" dxfId="4450" priority="4422">
      <formula>$F84="Direction"</formula>
    </cfRule>
    <cfRule type="expression" dxfId="4449" priority="4423">
      <formula>$F84="Ventes Sicli"</formula>
    </cfRule>
    <cfRule type="expression" dxfId="4448" priority="4424">
      <formula>$F84="Ventes Chubb"</formula>
    </cfRule>
    <cfRule type="expression" dxfId="4447" priority="4425">
      <formula>$F84="SAV Sicli"</formula>
    </cfRule>
    <cfRule type="expression" dxfId="4446" priority="4426">
      <formula>$F84="SAV Chubb"</formula>
    </cfRule>
    <cfRule type="expression" dxfId="4445" priority="4427">
      <formula>$F84="Réalisation"</formula>
    </cfRule>
    <cfRule type="expression" dxfId="4444" priority="4428">
      <formula>$F84="Désenfumage"</formula>
    </cfRule>
    <cfRule type="expression" dxfId="4443" priority="4429">
      <formula>$F84="Administratif"</formula>
    </cfRule>
  </conditionalFormatting>
  <conditionalFormatting sqref="D84">
    <cfRule type="expression" dxfId="4442" priority="4420">
      <formula>$H84="non"</formula>
    </cfRule>
  </conditionalFormatting>
  <conditionalFormatting sqref="D83">
    <cfRule type="expression" dxfId="4441" priority="4411">
      <formula>$F83="Formation CCF"</formula>
    </cfRule>
    <cfRule type="expression" dxfId="4440" priority="4412">
      <formula>$F83="Direction"</formula>
    </cfRule>
    <cfRule type="expression" dxfId="4439" priority="4413">
      <formula>$F83="Ventes Sicli"</formula>
    </cfRule>
    <cfRule type="expression" dxfId="4438" priority="4414">
      <formula>$F83="Ventes Chubb"</formula>
    </cfRule>
    <cfRule type="expression" dxfId="4437" priority="4415">
      <formula>$F83="SAV Sicli"</formula>
    </cfRule>
    <cfRule type="expression" dxfId="4436" priority="4416">
      <formula>$F83="SAV Chubb"</formula>
    </cfRule>
    <cfRule type="expression" dxfId="4435" priority="4417">
      <formula>$F83="Réalisation"</formula>
    </cfRule>
    <cfRule type="expression" dxfId="4434" priority="4418">
      <formula>$F83="Désenfumage"</formula>
    </cfRule>
    <cfRule type="expression" dxfId="4433" priority="4419">
      <formula>$F83="Administratif"</formula>
    </cfRule>
  </conditionalFormatting>
  <conditionalFormatting sqref="D83">
    <cfRule type="expression" dxfId="4432" priority="4410">
      <formula>$H83="non"</formula>
    </cfRule>
  </conditionalFormatting>
  <conditionalFormatting sqref="D82">
    <cfRule type="expression" dxfId="4431" priority="4401">
      <formula>$F82="Formation CCF"</formula>
    </cfRule>
    <cfRule type="expression" dxfId="4430" priority="4402">
      <formula>$F82="Direction"</formula>
    </cfRule>
    <cfRule type="expression" dxfId="4429" priority="4403">
      <formula>$F82="Ventes Sicli"</formula>
    </cfRule>
    <cfRule type="expression" dxfId="4428" priority="4404">
      <formula>$F82="Ventes Chubb"</formula>
    </cfRule>
    <cfRule type="expression" dxfId="4427" priority="4405">
      <formula>$F82="SAV Sicli"</formula>
    </cfRule>
    <cfRule type="expression" dxfId="4426" priority="4406">
      <formula>$F82="SAV Chubb"</formula>
    </cfRule>
    <cfRule type="expression" dxfId="4425" priority="4407">
      <formula>$F82="Réalisation"</formula>
    </cfRule>
    <cfRule type="expression" dxfId="4424" priority="4408">
      <formula>$F82="Désenfumage"</formula>
    </cfRule>
    <cfRule type="expression" dxfId="4423" priority="4409">
      <formula>$F82="Administratif"</formula>
    </cfRule>
  </conditionalFormatting>
  <conditionalFormatting sqref="D82">
    <cfRule type="expression" dxfId="4422" priority="4400">
      <formula>$H82="non"</formula>
    </cfRule>
  </conditionalFormatting>
  <conditionalFormatting sqref="D81">
    <cfRule type="expression" dxfId="4421" priority="4391">
      <formula>$F81="Formation CCF"</formula>
    </cfRule>
    <cfRule type="expression" dxfId="4420" priority="4392">
      <formula>$F81="Direction"</formula>
    </cfRule>
    <cfRule type="expression" dxfId="4419" priority="4393">
      <formula>$F81="Ventes Sicli"</formula>
    </cfRule>
    <cfRule type="expression" dxfId="4418" priority="4394">
      <formula>$F81="Ventes Chubb"</formula>
    </cfRule>
    <cfRule type="expression" dxfId="4417" priority="4395">
      <formula>$F81="SAV Sicli"</formula>
    </cfRule>
    <cfRule type="expression" dxfId="4416" priority="4396">
      <formula>$F81="SAV Chubb"</formula>
    </cfRule>
    <cfRule type="expression" dxfId="4415" priority="4397">
      <formula>$F81="Réalisation"</formula>
    </cfRule>
    <cfRule type="expression" dxfId="4414" priority="4398">
      <formula>$F81="Désenfumage"</formula>
    </cfRule>
    <cfRule type="expression" dxfId="4413" priority="4399">
      <formula>$F81="Administratif"</formula>
    </cfRule>
  </conditionalFormatting>
  <conditionalFormatting sqref="D81">
    <cfRule type="expression" dxfId="4412" priority="4390">
      <formula>$H81="non"</formula>
    </cfRule>
  </conditionalFormatting>
  <conditionalFormatting sqref="D80">
    <cfRule type="expression" dxfId="4411" priority="4381">
      <formula>$F80="Formation CCF"</formula>
    </cfRule>
    <cfRule type="expression" dxfId="4410" priority="4382">
      <formula>$F80="Direction"</formula>
    </cfRule>
    <cfRule type="expression" dxfId="4409" priority="4383">
      <formula>$F80="Ventes Sicli"</formula>
    </cfRule>
    <cfRule type="expression" dxfId="4408" priority="4384">
      <formula>$F80="Ventes Chubb"</formula>
    </cfRule>
    <cfRule type="expression" dxfId="4407" priority="4385">
      <formula>$F80="SAV Sicli"</formula>
    </cfRule>
    <cfRule type="expression" dxfId="4406" priority="4386">
      <formula>$F80="SAV Chubb"</formula>
    </cfRule>
    <cfRule type="expression" dxfId="4405" priority="4387">
      <formula>$F80="Réalisation"</formula>
    </cfRule>
    <cfRule type="expression" dxfId="4404" priority="4388">
      <formula>$F80="Désenfumage"</formula>
    </cfRule>
    <cfRule type="expression" dxfId="4403" priority="4389">
      <formula>$F80="Administratif"</formula>
    </cfRule>
  </conditionalFormatting>
  <conditionalFormatting sqref="D80">
    <cfRule type="expression" dxfId="4402" priority="4380">
      <formula>$H80="non"</formula>
    </cfRule>
  </conditionalFormatting>
  <conditionalFormatting sqref="D79">
    <cfRule type="expression" dxfId="4401" priority="4371">
      <formula>$F79="Formation CCF"</formula>
    </cfRule>
    <cfRule type="expression" dxfId="4400" priority="4372">
      <formula>$F79="Direction"</formula>
    </cfRule>
    <cfRule type="expression" dxfId="4399" priority="4373">
      <formula>$F79="Ventes Sicli"</formula>
    </cfRule>
    <cfRule type="expression" dxfId="4398" priority="4374">
      <formula>$F79="Ventes Chubb"</formula>
    </cfRule>
    <cfRule type="expression" dxfId="4397" priority="4375">
      <formula>$F79="SAV Sicli"</formula>
    </cfRule>
    <cfRule type="expression" dxfId="4396" priority="4376">
      <formula>$F79="SAV Chubb"</formula>
    </cfRule>
    <cfRule type="expression" dxfId="4395" priority="4377">
      <formula>$F79="Réalisation"</formula>
    </cfRule>
    <cfRule type="expression" dxfId="4394" priority="4378">
      <formula>$F79="Désenfumage"</formula>
    </cfRule>
    <cfRule type="expression" dxfId="4393" priority="4379">
      <formula>$F79="Administratif"</formula>
    </cfRule>
  </conditionalFormatting>
  <conditionalFormatting sqref="D79">
    <cfRule type="expression" dxfId="4392" priority="4370">
      <formula>$H79="non"</formula>
    </cfRule>
  </conditionalFormatting>
  <conditionalFormatting sqref="C87:D87">
    <cfRule type="expression" dxfId="4391" priority="4361">
      <formula>$F87="Formation CCF"</formula>
    </cfRule>
    <cfRule type="expression" dxfId="4390" priority="4362">
      <formula>$F87="Direction"</formula>
    </cfRule>
    <cfRule type="expression" dxfId="4389" priority="4363">
      <formula>$F87="Ventes Sicli"</formula>
    </cfRule>
    <cfRule type="expression" dxfId="4388" priority="4364">
      <formula>$F87="Ventes Chubb"</formula>
    </cfRule>
    <cfRule type="expression" dxfId="4387" priority="4365">
      <formula>$F87="SAV Sicli"</formula>
    </cfRule>
    <cfRule type="expression" dxfId="4386" priority="4366">
      <formula>$F87="SAV Chubb"</formula>
    </cfRule>
    <cfRule type="expression" dxfId="4385" priority="4367">
      <formula>$F87="Réalisation"</formula>
    </cfRule>
    <cfRule type="expression" dxfId="4384" priority="4368">
      <formula>$F87="Désenfumage"</formula>
    </cfRule>
    <cfRule type="expression" dxfId="4383" priority="4369">
      <formula>$F87="Administratif"</formula>
    </cfRule>
  </conditionalFormatting>
  <conditionalFormatting sqref="C87:D87">
    <cfRule type="expression" dxfId="4382" priority="4360">
      <formula>$H87="non"</formula>
    </cfRule>
  </conditionalFormatting>
  <conditionalFormatting sqref="C86:D86">
    <cfRule type="expression" dxfId="4381" priority="4351">
      <formula>$F86="Formation CCF"</formula>
    </cfRule>
    <cfRule type="expression" dxfId="4380" priority="4352">
      <formula>$F86="Direction"</formula>
    </cfRule>
    <cfRule type="expression" dxfId="4379" priority="4353">
      <formula>$F86="Ventes Sicli"</formula>
    </cfRule>
    <cfRule type="expression" dxfId="4378" priority="4354">
      <formula>$F86="Ventes Chubb"</formula>
    </cfRule>
    <cfRule type="expression" dxfId="4377" priority="4355">
      <formula>$F86="SAV Sicli"</formula>
    </cfRule>
    <cfRule type="expression" dxfId="4376" priority="4356">
      <formula>$F86="SAV Chubb"</formula>
    </cfRule>
    <cfRule type="expression" dxfId="4375" priority="4357">
      <formula>$F86="Réalisation"</formula>
    </cfRule>
    <cfRule type="expression" dxfId="4374" priority="4358">
      <formula>$F86="Désenfumage"</formula>
    </cfRule>
    <cfRule type="expression" dxfId="4373" priority="4359">
      <formula>$F86="Administratif"</formula>
    </cfRule>
  </conditionalFormatting>
  <conditionalFormatting sqref="C86:D86">
    <cfRule type="expression" dxfId="4372" priority="4350">
      <formula>$H86="non"</formula>
    </cfRule>
  </conditionalFormatting>
  <conditionalFormatting sqref="D84">
    <cfRule type="expression" dxfId="4371" priority="4341">
      <formula>$F84="Formation CCF"</formula>
    </cfRule>
    <cfRule type="expression" dxfId="4370" priority="4342">
      <formula>$F84="Direction"</formula>
    </cfRule>
    <cfRule type="expression" dxfId="4369" priority="4343">
      <formula>$F84="Ventes Sicli"</formula>
    </cfRule>
    <cfRule type="expression" dxfId="4368" priority="4344">
      <formula>$F84="Ventes Chubb"</formula>
    </cfRule>
    <cfRule type="expression" dxfId="4367" priority="4345">
      <formula>$F84="SAV Sicli"</formula>
    </cfRule>
    <cfRule type="expression" dxfId="4366" priority="4346">
      <formula>$F84="SAV Chubb"</formula>
    </cfRule>
    <cfRule type="expression" dxfId="4365" priority="4347">
      <formula>$F84="Réalisation"</formula>
    </cfRule>
    <cfRule type="expression" dxfId="4364" priority="4348">
      <formula>$F84="Désenfumage"</formula>
    </cfRule>
    <cfRule type="expression" dxfId="4363" priority="4349">
      <formula>$F84="Administratif"</formula>
    </cfRule>
  </conditionalFormatting>
  <conditionalFormatting sqref="D84">
    <cfRule type="expression" dxfId="4362" priority="4340">
      <formula>$H84="non"</formula>
    </cfRule>
  </conditionalFormatting>
  <conditionalFormatting sqref="D83">
    <cfRule type="expression" dxfId="4361" priority="4331">
      <formula>$F83="Formation CCF"</formula>
    </cfRule>
    <cfRule type="expression" dxfId="4360" priority="4332">
      <formula>$F83="Direction"</formula>
    </cfRule>
    <cfRule type="expression" dxfId="4359" priority="4333">
      <formula>$F83="Ventes Sicli"</formula>
    </cfRule>
    <cfRule type="expression" dxfId="4358" priority="4334">
      <formula>$F83="Ventes Chubb"</formula>
    </cfRule>
    <cfRule type="expression" dxfId="4357" priority="4335">
      <formula>$F83="SAV Sicli"</formula>
    </cfRule>
    <cfRule type="expression" dxfId="4356" priority="4336">
      <formula>$F83="SAV Chubb"</formula>
    </cfRule>
    <cfRule type="expression" dxfId="4355" priority="4337">
      <formula>$F83="Réalisation"</formula>
    </cfRule>
    <cfRule type="expression" dxfId="4354" priority="4338">
      <formula>$F83="Désenfumage"</formula>
    </cfRule>
    <cfRule type="expression" dxfId="4353" priority="4339">
      <formula>$F83="Administratif"</formula>
    </cfRule>
  </conditionalFormatting>
  <conditionalFormatting sqref="D83">
    <cfRule type="expression" dxfId="4352" priority="4330">
      <formula>$H83="non"</formula>
    </cfRule>
  </conditionalFormatting>
  <conditionalFormatting sqref="D82">
    <cfRule type="expression" dxfId="4351" priority="4321">
      <formula>$F82="Formation CCF"</formula>
    </cfRule>
    <cfRule type="expression" dxfId="4350" priority="4322">
      <formula>$F82="Direction"</formula>
    </cfRule>
    <cfRule type="expression" dxfId="4349" priority="4323">
      <formula>$F82="Ventes Sicli"</formula>
    </cfRule>
    <cfRule type="expression" dxfId="4348" priority="4324">
      <formula>$F82="Ventes Chubb"</formula>
    </cfRule>
    <cfRule type="expression" dxfId="4347" priority="4325">
      <formula>$F82="SAV Sicli"</formula>
    </cfRule>
    <cfRule type="expression" dxfId="4346" priority="4326">
      <formula>$F82="SAV Chubb"</formula>
    </cfRule>
    <cfRule type="expression" dxfId="4345" priority="4327">
      <formula>$F82="Réalisation"</formula>
    </cfRule>
    <cfRule type="expression" dxfId="4344" priority="4328">
      <formula>$F82="Désenfumage"</formula>
    </cfRule>
    <cfRule type="expression" dxfId="4343" priority="4329">
      <formula>$F82="Administratif"</formula>
    </cfRule>
  </conditionalFormatting>
  <conditionalFormatting sqref="D82">
    <cfRule type="expression" dxfId="4342" priority="4320">
      <formula>$H82="non"</formula>
    </cfRule>
  </conditionalFormatting>
  <conditionalFormatting sqref="D81">
    <cfRule type="expression" dxfId="4341" priority="4311">
      <formula>$F81="Formation CCF"</formula>
    </cfRule>
    <cfRule type="expression" dxfId="4340" priority="4312">
      <formula>$F81="Direction"</formula>
    </cfRule>
    <cfRule type="expression" dxfId="4339" priority="4313">
      <formula>$F81="Ventes Sicli"</formula>
    </cfRule>
    <cfRule type="expression" dxfId="4338" priority="4314">
      <formula>$F81="Ventes Chubb"</formula>
    </cfRule>
    <cfRule type="expression" dxfId="4337" priority="4315">
      <formula>$F81="SAV Sicli"</formula>
    </cfRule>
    <cfRule type="expression" dxfId="4336" priority="4316">
      <formula>$F81="SAV Chubb"</formula>
    </cfRule>
    <cfRule type="expression" dxfId="4335" priority="4317">
      <formula>$F81="Réalisation"</formula>
    </cfRule>
    <cfRule type="expression" dxfId="4334" priority="4318">
      <formula>$F81="Désenfumage"</formula>
    </cfRule>
    <cfRule type="expression" dxfId="4333" priority="4319">
      <formula>$F81="Administratif"</formula>
    </cfRule>
  </conditionalFormatting>
  <conditionalFormatting sqref="D81">
    <cfRule type="expression" dxfId="4332" priority="4310">
      <formula>$H81="non"</formula>
    </cfRule>
  </conditionalFormatting>
  <conditionalFormatting sqref="D80">
    <cfRule type="expression" dxfId="4331" priority="4301">
      <formula>$F80="Formation CCF"</formula>
    </cfRule>
    <cfRule type="expression" dxfId="4330" priority="4302">
      <formula>$F80="Direction"</formula>
    </cfRule>
    <cfRule type="expression" dxfId="4329" priority="4303">
      <formula>$F80="Ventes Sicli"</formula>
    </cfRule>
    <cfRule type="expression" dxfId="4328" priority="4304">
      <formula>$F80="Ventes Chubb"</formula>
    </cfRule>
    <cfRule type="expression" dxfId="4327" priority="4305">
      <formula>$F80="SAV Sicli"</formula>
    </cfRule>
    <cfRule type="expression" dxfId="4326" priority="4306">
      <formula>$F80="SAV Chubb"</formula>
    </cfRule>
    <cfRule type="expression" dxfId="4325" priority="4307">
      <formula>$F80="Réalisation"</formula>
    </cfRule>
    <cfRule type="expression" dxfId="4324" priority="4308">
      <formula>$F80="Désenfumage"</formula>
    </cfRule>
    <cfRule type="expression" dxfId="4323" priority="4309">
      <formula>$F80="Administratif"</formula>
    </cfRule>
  </conditionalFormatting>
  <conditionalFormatting sqref="D80">
    <cfRule type="expression" dxfId="4322" priority="4300">
      <formula>$H80="non"</formula>
    </cfRule>
  </conditionalFormatting>
  <conditionalFormatting sqref="D79">
    <cfRule type="expression" dxfId="4321" priority="4291">
      <formula>$F79="Formation CCF"</formula>
    </cfRule>
    <cfRule type="expression" dxfId="4320" priority="4292">
      <formula>$F79="Direction"</formula>
    </cfRule>
    <cfRule type="expression" dxfId="4319" priority="4293">
      <formula>$F79="Ventes Sicli"</formula>
    </cfRule>
    <cfRule type="expression" dxfId="4318" priority="4294">
      <formula>$F79="Ventes Chubb"</formula>
    </cfRule>
    <cfRule type="expression" dxfId="4317" priority="4295">
      <formula>$F79="SAV Sicli"</formula>
    </cfRule>
    <cfRule type="expression" dxfId="4316" priority="4296">
      <formula>$F79="SAV Chubb"</formula>
    </cfRule>
    <cfRule type="expression" dxfId="4315" priority="4297">
      <formula>$F79="Réalisation"</formula>
    </cfRule>
    <cfRule type="expression" dxfId="4314" priority="4298">
      <formula>$F79="Désenfumage"</formula>
    </cfRule>
    <cfRule type="expression" dxfId="4313" priority="4299">
      <formula>$F79="Administratif"</formula>
    </cfRule>
  </conditionalFormatting>
  <conditionalFormatting sqref="D79">
    <cfRule type="expression" dxfId="4312" priority="4290">
      <formula>$H79="non"</formula>
    </cfRule>
  </conditionalFormatting>
  <conditionalFormatting sqref="D83">
    <cfRule type="expression" dxfId="4311" priority="4281">
      <formula>$F83="Formation CCF"</formula>
    </cfRule>
    <cfRule type="expression" dxfId="4310" priority="4282">
      <formula>$F83="Direction"</formula>
    </cfRule>
    <cfRule type="expression" dxfId="4309" priority="4283">
      <formula>$F83="Ventes Sicli"</formula>
    </cfRule>
    <cfRule type="expression" dxfId="4308" priority="4284">
      <formula>$F83="Ventes Chubb"</formula>
    </cfRule>
    <cfRule type="expression" dxfId="4307" priority="4285">
      <formula>$F83="SAV Sicli"</formula>
    </cfRule>
    <cfRule type="expression" dxfId="4306" priority="4286">
      <formula>$F83="SAV Chubb"</formula>
    </cfRule>
    <cfRule type="expression" dxfId="4305" priority="4287">
      <formula>$F83="Réalisation"</formula>
    </cfRule>
    <cfRule type="expression" dxfId="4304" priority="4288">
      <formula>$F83="Désenfumage"</formula>
    </cfRule>
    <cfRule type="expression" dxfId="4303" priority="4289">
      <formula>$F83="Administratif"</formula>
    </cfRule>
  </conditionalFormatting>
  <conditionalFormatting sqref="D83">
    <cfRule type="expression" dxfId="4302" priority="4280">
      <formula>$H83="non"</formula>
    </cfRule>
  </conditionalFormatting>
  <conditionalFormatting sqref="D82">
    <cfRule type="expression" dxfId="4301" priority="4271">
      <formula>$F82="Formation CCF"</formula>
    </cfRule>
    <cfRule type="expression" dxfId="4300" priority="4272">
      <formula>$F82="Direction"</formula>
    </cfRule>
    <cfRule type="expression" dxfId="4299" priority="4273">
      <formula>$F82="Ventes Sicli"</formula>
    </cfRule>
    <cfRule type="expression" dxfId="4298" priority="4274">
      <formula>$F82="Ventes Chubb"</formula>
    </cfRule>
    <cfRule type="expression" dxfId="4297" priority="4275">
      <formula>$F82="SAV Sicli"</formula>
    </cfRule>
    <cfRule type="expression" dxfId="4296" priority="4276">
      <formula>$F82="SAV Chubb"</formula>
    </cfRule>
    <cfRule type="expression" dxfId="4295" priority="4277">
      <formula>$F82="Réalisation"</formula>
    </cfRule>
    <cfRule type="expression" dxfId="4294" priority="4278">
      <formula>$F82="Désenfumage"</formula>
    </cfRule>
    <cfRule type="expression" dxfId="4293" priority="4279">
      <formula>$F82="Administratif"</formula>
    </cfRule>
  </conditionalFormatting>
  <conditionalFormatting sqref="D82">
    <cfRule type="expression" dxfId="4292" priority="4270">
      <formula>$H82="non"</formula>
    </cfRule>
  </conditionalFormatting>
  <conditionalFormatting sqref="D81">
    <cfRule type="expression" dxfId="4291" priority="4261">
      <formula>$F81="Formation CCF"</formula>
    </cfRule>
    <cfRule type="expression" dxfId="4290" priority="4262">
      <formula>$F81="Direction"</formula>
    </cfRule>
    <cfRule type="expression" dxfId="4289" priority="4263">
      <formula>$F81="Ventes Sicli"</formula>
    </cfRule>
    <cfRule type="expression" dxfId="4288" priority="4264">
      <formula>$F81="Ventes Chubb"</formula>
    </cfRule>
    <cfRule type="expression" dxfId="4287" priority="4265">
      <formula>$F81="SAV Sicli"</formula>
    </cfRule>
    <cfRule type="expression" dxfId="4286" priority="4266">
      <formula>$F81="SAV Chubb"</formula>
    </cfRule>
    <cfRule type="expression" dxfId="4285" priority="4267">
      <formula>$F81="Réalisation"</formula>
    </cfRule>
    <cfRule type="expression" dxfId="4284" priority="4268">
      <formula>$F81="Désenfumage"</formula>
    </cfRule>
    <cfRule type="expression" dxfId="4283" priority="4269">
      <formula>$F81="Administratif"</formula>
    </cfRule>
  </conditionalFormatting>
  <conditionalFormatting sqref="D81">
    <cfRule type="expression" dxfId="4282" priority="4260">
      <formula>$H81="non"</formula>
    </cfRule>
  </conditionalFormatting>
  <conditionalFormatting sqref="D80">
    <cfRule type="expression" dxfId="4281" priority="4251">
      <formula>$F80="Formation CCF"</formula>
    </cfRule>
    <cfRule type="expression" dxfId="4280" priority="4252">
      <formula>$F80="Direction"</formula>
    </cfRule>
    <cfRule type="expression" dxfId="4279" priority="4253">
      <formula>$F80="Ventes Sicli"</formula>
    </cfRule>
    <cfRule type="expression" dxfId="4278" priority="4254">
      <formula>$F80="Ventes Chubb"</formula>
    </cfRule>
    <cfRule type="expression" dxfId="4277" priority="4255">
      <formula>$F80="SAV Sicli"</formula>
    </cfRule>
    <cfRule type="expression" dxfId="4276" priority="4256">
      <formula>$F80="SAV Chubb"</formula>
    </cfRule>
    <cfRule type="expression" dxfId="4275" priority="4257">
      <formula>$F80="Réalisation"</formula>
    </cfRule>
    <cfRule type="expression" dxfId="4274" priority="4258">
      <formula>$F80="Désenfumage"</formula>
    </cfRule>
    <cfRule type="expression" dxfId="4273" priority="4259">
      <formula>$F80="Administratif"</formula>
    </cfRule>
  </conditionalFormatting>
  <conditionalFormatting sqref="D80">
    <cfRule type="expression" dxfId="4272" priority="4250">
      <formula>$H80="non"</formula>
    </cfRule>
  </conditionalFormatting>
  <conditionalFormatting sqref="D79">
    <cfRule type="expression" dxfId="4271" priority="4241">
      <formula>$F79="Formation CCF"</formula>
    </cfRule>
    <cfRule type="expression" dxfId="4270" priority="4242">
      <formula>$F79="Direction"</formula>
    </cfRule>
    <cfRule type="expression" dxfId="4269" priority="4243">
      <formula>$F79="Ventes Sicli"</formula>
    </cfRule>
    <cfRule type="expression" dxfId="4268" priority="4244">
      <formula>$F79="Ventes Chubb"</formula>
    </cfRule>
    <cfRule type="expression" dxfId="4267" priority="4245">
      <formula>$F79="SAV Sicli"</formula>
    </cfRule>
    <cfRule type="expression" dxfId="4266" priority="4246">
      <formula>$F79="SAV Chubb"</formula>
    </cfRule>
    <cfRule type="expression" dxfId="4265" priority="4247">
      <formula>$F79="Réalisation"</formula>
    </cfRule>
    <cfRule type="expression" dxfId="4264" priority="4248">
      <formula>$F79="Désenfumage"</formula>
    </cfRule>
    <cfRule type="expression" dxfId="4263" priority="4249">
      <formula>$F79="Administratif"</formula>
    </cfRule>
  </conditionalFormatting>
  <conditionalFormatting sqref="D79">
    <cfRule type="expression" dxfId="4262" priority="4240">
      <formula>$H79="non"</formula>
    </cfRule>
  </conditionalFormatting>
  <conditionalFormatting sqref="C107:D107">
    <cfRule type="expression" dxfId="4261" priority="4231">
      <formula>$F107="Formation CCF"</formula>
    </cfRule>
    <cfRule type="expression" dxfId="4260" priority="4232">
      <formula>$F107="Direction"</formula>
    </cfRule>
    <cfRule type="expression" dxfId="4259" priority="4233">
      <formula>$F107="Ventes Sicli"</formula>
    </cfRule>
    <cfRule type="expression" dxfId="4258" priority="4234">
      <formula>$F107="Ventes Chubb"</formula>
    </cfRule>
    <cfRule type="expression" dxfId="4257" priority="4235">
      <formula>$F107="SAV Sicli"</formula>
    </cfRule>
    <cfRule type="expression" dxfId="4256" priority="4236">
      <formula>$F107="SAV Chubb"</formula>
    </cfRule>
    <cfRule type="expression" dxfId="4255" priority="4237">
      <formula>$F107="Réalisation"</formula>
    </cfRule>
    <cfRule type="expression" dxfId="4254" priority="4238">
      <formula>$F107="Désenfumage"</formula>
    </cfRule>
    <cfRule type="expression" dxfId="4253" priority="4239">
      <formula>$F107="Administratif"</formula>
    </cfRule>
  </conditionalFormatting>
  <conditionalFormatting sqref="C107:D107">
    <cfRule type="expression" dxfId="4252" priority="4230">
      <formula>$H107="non"</formula>
    </cfRule>
  </conditionalFormatting>
  <conditionalFormatting sqref="C106:D106">
    <cfRule type="expression" dxfId="4251" priority="4221">
      <formula>$F106="Formation CCF"</formula>
    </cfRule>
    <cfRule type="expression" dxfId="4250" priority="4222">
      <formula>$F106="Direction"</formula>
    </cfRule>
    <cfRule type="expression" dxfId="4249" priority="4223">
      <formula>$F106="Ventes Sicli"</formula>
    </cfRule>
    <cfRule type="expression" dxfId="4248" priority="4224">
      <formula>$F106="Ventes Chubb"</formula>
    </cfRule>
    <cfRule type="expression" dxfId="4247" priority="4225">
      <formula>$F106="SAV Sicli"</formula>
    </cfRule>
    <cfRule type="expression" dxfId="4246" priority="4226">
      <formula>$F106="SAV Chubb"</formula>
    </cfRule>
    <cfRule type="expression" dxfId="4245" priority="4227">
      <formula>$F106="Réalisation"</formula>
    </cfRule>
    <cfRule type="expression" dxfId="4244" priority="4228">
      <formula>$F106="Désenfumage"</formula>
    </cfRule>
    <cfRule type="expression" dxfId="4243" priority="4229">
      <formula>$F106="Administratif"</formula>
    </cfRule>
  </conditionalFormatting>
  <conditionalFormatting sqref="C106:D106">
    <cfRule type="expression" dxfId="4242" priority="4220">
      <formula>$H106="non"</formula>
    </cfRule>
  </conditionalFormatting>
  <conditionalFormatting sqref="C105:D105">
    <cfRule type="expression" dxfId="4241" priority="4211">
      <formula>$F105="Formation CCF"</formula>
    </cfRule>
    <cfRule type="expression" dxfId="4240" priority="4212">
      <formula>$F105="Direction"</formula>
    </cfRule>
    <cfRule type="expression" dxfId="4239" priority="4213">
      <formula>$F105="Ventes Sicli"</formula>
    </cfRule>
    <cfRule type="expression" dxfId="4238" priority="4214">
      <formula>$F105="Ventes Chubb"</formula>
    </cfRule>
    <cfRule type="expression" dxfId="4237" priority="4215">
      <formula>$F105="SAV Sicli"</formula>
    </cfRule>
    <cfRule type="expression" dxfId="4236" priority="4216">
      <formula>$F105="SAV Chubb"</formula>
    </cfRule>
    <cfRule type="expression" dxfId="4235" priority="4217">
      <formula>$F105="Réalisation"</formula>
    </cfRule>
    <cfRule type="expression" dxfId="4234" priority="4218">
      <formula>$F105="Désenfumage"</formula>
    </cfRule>
    <cfRule type="expression" dxfId="4233" priority="4219">
      <formula>$F105="Administratif"</formula>
    </cfRule>
  </conditionalFormatting>
  <conditionalFormatting sqref="C105:D105">
    <cfRule type="expression" dxfId="4232" priority="4210">
      <formula>$H105="non"</formula>
    </cfRule>
  </conditionalFormatting>
  <conditionalFormatting sqref="C104:D104">
    <cfRule type="expression" dxfId="4231" priority="4201">
      <formula>$F104="Formation CCF"</formula>
    </cfRule>
    <cfRule type="expression" dxfId="4230" priority="4202">
      <formula>$F104="Direction"</formula>
    </cfRule>
    <cfRule type="expression" dxfId="4229" priority="4203">
      <formula>$F104="Ventes Sicli"</formula>
    </cfRule>
    <cfRule type="expression" dxfId="4228" priority="4204">
      <formula>$F104="Ventes Chubb"</formula>
    </cfRule>
    <cfRule type="expression" dxfId="4227" priority="4205">
      <formula>$F104="SAV Sicli"</formula>
    </cfRule>
    <cfRule type="expression" dxfId="4226" priority="4206">
      <formula>$F104="SAV Chubb"</formula>
    </cfRule>
    <cfRule type="expression" dxfId="4225" priority="4207">
      <formula>$F104="Réalisation"</formula>
    </cfRule>
    <cfRule type="expression" dxfId="4224" priority="4208">
      <formula>$F104="Désenfumage"</formula>
    </cfRule>
    <cfRule type="expression" dxfId="4223" priority="4209">
      <formula>$F104="Administratif"</formula>
    </cfRule>
  </conditionalFormatting>
  <conditionalFormatting sqref="C104:D104">
    <cfRule type="expression" dxfId="4222" priority="4200">
      <formula>$H104="non"</formula>
    </cfRule>
  </conditionalFormatting>
  <conditionalFormatting sqref="C103:D103">
    <cfRule type="expression" dxfId="4221" priority="4191">
      <formula>$F103="Formation CCF"</formula>
    </cfRule>
    <cfRule type="expression" dxfId="4220" priority="4192">
      <formula>$F103="Direction"</formula>
    </cfRule>
    <cfRule type="expression" dxfId="4219" priority="4193">
      <formula>$F103="Ventes Sicli"</formula>
    </cfRule>
    <cfRule type="expression" dxfId="4218" priority="4194">
      <formula>$F103="Ventes Chubb"</formula>
    </cfRule>
    <cfRule type="expression" dxfId="4217" priority="4195">
      <formula>$F103="SAV Sicli"</formula>
    </cfRule>
    <cfRule type="expression" dxfId="4216" priority="4196">
      <formula>$F103="SAV Chubb"</formula>
    </cfRule>
    <cfRule type="expression" dxfId="4215" priority="4197">
      <formula>$F103="Réalisation"</formula>
    </cfRule>
    <cfRule type="expression" dxfId="4214" priority="4198">
      <formula>$F103="Désenfumage"</formula>
    </cfRule>
    <cfRule type="expression" dxfId="4213" priority="4199">
      <formula>$F103="Administratif"</formula>
    </cfRule>
  </conditionalFormatting>
  <conditionalFormatting sqref="C103:D103">
    <cfRule type="expression" dxfId="4212" priority="4190">
      <formula>$H103="non"</formula>
    </cfRule>
  </conditionalFormatting>
  <conditionalFormatting sqref="C102:D102">
    <cfRule type="expression" dxfId="4211" priority="4181">
      <formula>$F102="Formation CCF"</formula>
    </cfRule>
    <cfRule type="expression" dxfId="4210" priority="4182">
      <formula>$F102="Direction"</formula>
    </cfRule>
    <cfRule type="expression" dxfId="4209" priority="4183">
      <formula>$F102="Ventes Sicli"</formula>
    </cfRule>
    <cfRule type="expression" dxfId="4208" priority="4184">
      <formula>$F102="Ventes Chubb"</formula>
    </cfRule>
    <cfRule type="expression" dxfId="4207" priority="4185">
      <formula>$F102="SAV Sicli"</formula>
    </cfRule>
    <cfRule type="expression" dxfId="4206" priority="4186">
      <formula>$F102="SAV Chubb"</formula>
    </cfRule>
    <cfRule type="expression" dxfId="4205" priority="4187">
      <formula>$F102="Réalisation"</formula>
    </cfRule>
    <cfRule type="expression" dxfId="4204" priority="4188">
      <formula>$F102="Désenfumage"</formula>
    </cfRule>
    <cfRule type="expression" dxfId="4203" priority="4189">
      <formula>$F102="Administratif"</formula>
    </cfRule>
  </conditionalFormatting>
  <conditionalFormatting sqref="C102:D102">
    <cfRule type="expression" dxfId="4202" priority="4180">
      <formula>$H102="non"</formula>
    </cfRule>
  </conditionalFormatting>
  <conditionalFormatting sqref="C101:D101">
    <cfRule type="expression" dxfId="4201" priority="4171">
      <formula>$F101="Formation CCF"</formula>
    </cfRule>
    <cfRule type="expression" dxfId="4200" priority="4172">
      <formula>$F101="Direction"</formula>
    </cfRule>
    <cfRule type="expression" dxfId="4199" priority="4173">
      <formula>$F101="Ventes Sicli"</formula>
    </cfRule>
    <cfRule type="expression" dxfId="4198" priority="4174">
      <formula>$F101="Ventes Chubb"</formula>
    </cfRule>
    <cfRule type="expression" dxfId="4197" priority="4175">
      <formula>$F101="SAV Sicli"</formula>
    </cfRule>
    <cfRule type="expression" dxfId="4196" priority="4176">
      <formula>$F101="SAV Chubb"</formula>
    </cfRule>
    <cfRule type="expression" dxfId="4195" priority="4177">
      <formula>$F101="Réalisation"</formula>
    </cfRule>
    <cfRule type="expression" dxfId="4194" priority="4178">
      <formula>$F101="Désenfumage"</formula>
    </cfRule>
    <cfRule type="expression" dxfId="4193" priority="4179">
      <formula>$F101="Administratif"</formula>
    </cfRule>
  </conditionalFormatting>
  <conditionalFormatting sqref="C101:D101">
    <cfRule type="expression" dxfId="4192" priority="4170">
      <formula>$H101="non"</formula>
    </cfRule>
  </conditionalFormatting>
  <conditionalFormatting sqref="D99">
    <cfRule type="expression" dxfId="4191" priority="4161">
      <formula>$F99="Formation CCF"</formula>
    </cfRule>
    <cfRule type="expression" dxfId="4190" priority="4162">
      <formula>$F99="Direction"</formula>
    </cfRule>
    <cfRule type="expression" dxfId="4189" priority="4163">
      <formula>$F99="Ventes Sicli"</formula>
    </cfRule>
    <cfRule type="expression" dxfId="4188" priority="4164">
      <formula>$F99="Ventes Chubb"</formula>
    </cfRule>
    <cfRule type="expression" dxfId="4187" priority="4165">
      <formula>$F99="SAV Sicli"</formula>
    </cfRule>
    <cfRule type="expression" dxfId="4186" priority="4166">
      <formula>$F99="SAV Chubb"</formula>
    </cfRule>
    <cfRule type="expression" dxfId="4185" priority="4167">
      <formula>$F99="Réalisation"</formula>
    </cfRule>
    <cfRule type="expression" dxfId="4184" priority="4168">
      <formula>$F99="Désenfumage"</formula>
    </cfRule>
    <cfRule type="expression" dxfId="4183" priority="4169">
      <formula>$F99="Administratif"</formula>
    </cfRule>
  </conditionalFormatting>
  <conditionalFormatting sqref="D99">
    <cfRule type="expression" dxfId="4182" priority="4160">
      <formula>$H99="non"</formula>
    </cfRule>
  </conditionalFormatting>
  <conditionalFormatting sqref="C104:D104">
    <cfRule type="expression" dxfId="4181" priority="4151">
      <formula>$F104="Formation CCF"</formula>
    </cfRule>
    <cfRule type="expression" dxfId="4180" priority="4152">
      <formula>$F104="Direction"</formula>
    </cfRule>
    <cfRule type="expression" dxfId="4179" priority="4153">
      <formula>$F104="Ventes Sicli"</formula>
    </cfRule>
    <cfRule type="expression" dxfId="4178" priority="4154">
      <formula>$F104="Ventes Chubb"</formula>
    </cfRule>
    <cfRule type="expression" dxfId="4177" priority="4155">
      <formula>$F104="SAV Sicli"</formula>
    </cfRule>
    <cfRule type="expression" dxfId="4176" priority="4156">
      <formula>$F104="SAV Chubb"</formula>
    </cfRule>
    <cfRule type="expression" dxfId="4175" priority="4157">
      <formula>$F104="Réalisation"</formula>
    </cfRule>
    <cfRule type="expression" dxfId="4174" priority="4158">
      <formula>$F104="Désenfumage"</formula>
    </cfRule>
    <cfRule type="expression" dxfId="4173" priority="4159">
      <formula>$F104="Administratif"</formula>
    </cfRule>
  </conditionalFormatting>
  <conditionalFormatting sqref="C104:D104">
    <cfRule type="expression" dxfId="4172" priority="4150">
      <formula>$H104="non"</formula>
    </cfRule>
  </conditionalFormatting>
  <conditionalFormatting sqref="C103:D103">
    <cfRule type="expression" dxfId="4171" priority="4141">
      <formula>$F103="Formation CCF"</formula>
    </cfRule>
    <cfRule type="expression" dxfId="4170" priority="4142">
      <formula>$F103="Direction"</formula>
    </cfRule>
    <cfRule type="expression" dxfId="4169" priority="4143">
      <formula>$F103="Ventes Sicli"</formula>
    </cfRule>
    <cfRule type="expression" dxfId="4168" priority="4144">
      <formula>$F103="Ventes Chubb"</formula>
    </cfRule>
    <cfRule type="expression" dxfId="4167" priority="4145">
      <formula>$F103="SAV Sicli"</formula>
    </cfRule>
    <cfRule type="expression" dxfId="4166" priority="4146">
      <formula>$F103="SAV Chubb"</formula>
    </cfRule>
    <cfRule type="expression" dxfId="4165" priority="4147">
      <formula>$F103="Réalisation"</formula>
    </cfRule>
    <cfRule type="expression" dxfId="4164" priority="4148">
      <formula>$F103="Désenfumage"</formula>
    </cfRule>
    <cfRule type="expression" dxfId="4163" priority="4149">
      <formula>$F103="Administratif"</formula>
    </cfRule>
  </conditionalFormatting>
  <conditionalFormatting sqref="C103:D103">
    <cfRule type="expression" dxfId="4162" priority="4140">
      <formula>$H103="non"</formula>
    </cfRule>
  </conditionalFormatting>
  <conditionalFormatting sqref="C102:D102">
    <cfRule type="expression" dxfId="4161" priority="4131">
      <formula>$F102="Formation CCF"</formula>
    </cfRule>
    <cfRule type="expression" dxfId="4160" priority="4132">
      <formula>$F102="Direction"</formula>
    </cfRule>
    <cfRule type="expression" dxfId="4159" priority="4133">
      <formula>$F102="Ventes Sicli"</formula>
    </cfRule>
    <cfRule type="expression" dxfId="4158" priority="4134">
      <formula>$F102="Ventes Chubb"</formula>
    </cfRule>
    <cfRule type="expression" dxfId="4157" priority="4135">
      <formula>$F102="SAV Sicli"</formula>
    </cfRule>
    <cfRule type="expression" dxfId="4156" priority="4136">
      <formula>$F102="SAV Chubb"</formula>
    </cfRule>
    <cfRule type="expression" dxfId="4155" priority="4137">
      <formula>$F102="Réalisation"</formula>
    </cfRule>
    <cfRule type="expression" dxfId="4154" priority="4138">
      <formula>$F102="Désenfumage"</formula>
    </cfRule>
    <cfRule type="expression" dxfId="4153" priority="4139">
      <formula>$F102="Administratif"</formula>
    </cfRule>
  </conditionalFormatting>
  <conditionalFormatting sqref="C102:D102">
    <cfRule type="expression" dxfId="4152" priority="4130">
      <formula>$H102="non"</formula>
    </cfRule>
  </conditionalFormatting>
  <conditionalFormatting sqref="C101:D101">
    <cfRule type="expression" dxfId="4151" priority="4121">
      <formula>$F101="Formation CCF"</formula>
    </cfRule>
    <cfRule type="expression" dxfId="4150" priority="4122">
      <formula>$F101="Direction"</formula>
    </cfRule>
    <cfRule type="expression" dxfId="4149" priority="4123">
      <formula>$F101="Ventes Sicli"</formula>
    </cfRule>
    <cfRule type="expression" dxfId="4148" priority="4124">
      <formula>$F101="Ventes Chubb"</formula>
    </cfRule>
    <cfRule type="expression" dxfId="4147" priority="4125">
      <formula>$F101="SAV Sicli"</formula>
    </cfRule>
    <cfRule type="expression" dxfId="4146" priority="4126">
      <formula>$F101="SAV Chubb"</formula>
    </cfRule>
    <cfRule type="expression" dxfId="4145" priority="4127">
      <formula>$F101="Réalisation"</formula>
    </cfRule>
    <cfRule type="expression" dxfId="4144" priority="4128">
      <formula>$F101="Désenfumage"</formula>
    </cfRule>
    <cfRule type="expression" dxfId="4143" priority="4129">
      <formula>$F101="Administratif"</formula>
    </cfRule>
  </conditionalFormatting>
  <conditionalFormatting sqref="C101:D101">
    <cfRule type="expression" dxfId="4142" priority="4120">
      <formula>$H101="non"</formula>
    </cfRule>
  </conditionalFormatting>
  <conditionalFormatting sqref="C100:D100">
    <cfRule type="expression" dxfId="4141" priority="4111">
      <formula>$F100="Formation CCF"</formula>
    </cfRule>
    <cfRule type="expression" dxfId="4140" priority="4112">
      <formula>$F100="Direction"</formula>
    </cfRule>
    <cfRule type="expression" dxfId="4139" priority="4113">
      <formula>$F100="Ventes Sicli"</formula>
    </cfRule>
    <cfRule type="expression" dxfId="4138" priority="4114">
      <formula>$F100="Ventes Chubb"</formula>
    </cfRule>
    <cfRule type="expression" dxfId="4137" priority="4115">
      <formula>$F100="SAV Sicli"</formula>
    </cfRule>
    <cfRule type="expression" dxfId="4136" priority="4116">
      <formula>$F100="SAV Chubb"</formula>
    </cfRule>
    <cfRule type="expression" dxfId="4135" priority="4117">
      <formula>$F100="Réalisation"</formula>
    </cfRule>
    <cfRule type="expression" dxfId="4134" priority="4118">
      <formula>$F100="Désenfumage"</formula>
    </cfRule>
    <cfRule type="expression" dxfId="4133" priority="4119">
      <formula>$F100="Administratif"</formula>
    </cfRule>
  </conditionalFormatting>
  <conditionalFormatting sqref="C100:D100">
    <cfRule type="expression" dxfId="4132" priority="4110">
      <formula>$H100="non"</formula>
    </cfRule>
  </conditionalFormatting>
  <conditionalFormatting sqref="C104:D104">
    <cfRule type="expression" dxfId="4131" priority="4101">
      <formula>$F104="Formation CCF"</formula>
    </cfRule>
    <cfRule type="expression" dxfId="4130" priority="4102">
      <formula>$F104="Direction"</formula>
    </cfRule>
    <cfRule type="expression" dxfId="4129" priority="4103">
      <formula>$F104="Ventes Sicli"</formula>
    </cfRule>
    <cfRule type="expression" dxfId="4128" priority="4104">
      <formula>$F104="Ventes Chubb"</formula>
    </cfRule>
    <cfRule type="expression" dxfId="4127" priority="4105">
      <formula>$F104="SAV Sicli"</formula>
    </cfRule>
    <cfRule type="expression" dxfId="4126" priority="4106">
      <formula>$F104="SAV Chubb"</formula>
    </cfRule>
    <cfRule type="expression" dxfId="4125" priority="4107">
      <formula>$F104="Réalisation"</formula>
    </cfRule>
    <cfRule type="expression" dxfId="4124" priority="4108">
      <formula>$F104="Désenfumage"</formula>
    </cfRule>
    <cfRule type="expression" dxfId="4123" priority="4109">
      <formula>$F104="Administratif"</formula>
    </cfRule>
  </conditionalFormatting>
  <conditionalFormatting sqref="C104:D104">
    <cfRule type="expression" dxfId="4122" priority="4100">
      <formula>$H104="non"</formula>
    </cfRule>
  </conditionalFormatting>
  <conditionalFormatting sqref="C103:D103">
    <cfRule type="expression" dxfId="4121" priority="4091">
      <formula>$F103="Formation CCF"</formula>
    </cfRule>
    <cfRule type="expression" dxfId="4120" priority="4092">
      <formula>$F103="Direction"</formula>
    </cfRule>
    <cfRule type="expression" dxfId="4119" priority="4093">
      <formula>$F103="Ventes Sicli"</formula>
    </cfRule>
    <cfRule type="expression" dxfId="4118" priority="4094">
      <formula>$F103="Ventes Chubb"</formula>
    </cfRule>
    <cfRule type="expression" dxfId="4117" priority="4095">
      <formula>$F103="SAV Sicli"</formula>
    </cfRule>
    <cfRule type="expression" dxfId="4116" priority="4096">
      <formula>$F103="SAV Chubb"</formula>
    </cfRule>
    <cfRule type="expression" dxfId="4115" priority="4097">
      <formula>$F103="Réalisation"</formula>
    </cfRule>
    <cfRule type="expression" dxfId="4114" priority="4098">
      <formula>$F103="Désenfumage"</formula>
    </cfRule>
    <cfRule type="expression" dxfId="4113" priority="4099">
      <formula>$F103="Administratif"</formula>
    </cfRule>
  </conditionalFormatting>
  <conditionalFormatting sqref="C103:D103">
    <cfRule type="expression" dxfId="4112" priority="4090">
      <formula>$H103="non"</formula>
    </cfRule>
  </conditionalFormatting>
  <conditionalFormatting sqref="C102:D102">
    <cfRule type="expression" dxfId="4111" priority="4081">
      <formula>$F102="Formation CCF"</formula>
    </cfRule>
    <cfRule type="expression" dxfId="4110" priority="4082">
      <formula>$F102="Direction"</formula>
    </cfRule>
    <cfRule type="expression" dxfId="4109" priority="4083">
      <formula>$F102="Ventes Sicli"</formula>
    </cfRule>
    <cfRule type="expression" dxfId="4108" priority="4084">
      <formula>$F102="Ventes Chubb"</formula>
    </cfRule>
    <cfRule type="expression" dxfId="4107" priority="4085">
      <formula>$F102="SAV Sicli"</formula>
    </cfRule>
    <cfRule type="expression" dxfId="4106" priority="4086">
      <formula>$F102="SAV Chubb"</formula>
    </cfRule>
    <cfRule type="expression" dxfId="4105" priority="4087">
      <formula>$F102="Réalisation"</formula>
    </cfRule>
    <cfRule type="expression" dxfId="4104" priority="4088">
      <formula>$F102="Désenfumage"</formula>
    </cfRule>
    <cfRule type="expression" dxfId="4103" priority="4089">
      <formula>$F102="Administratif"</formula>
    </cfRule>
  </conditionalFormatting>
  <conditionalFormatting sqref="C102:D102">
    <cfRule type="expression" dxfId="4102" priority="4080">
      <formula>$H102="non"</formula>
    </cfRule>
  </conditionalFormatting>
  <conditionalFormatting sqref="C101:D101">
    <cfRule type="expression" dxfId="4101" priority="4071">
      <formula>$F101="Formation CCF"</formula>
    </cfRule>
    <cfRule type="expression" dxfId="4100" priority="4072">
      <formula>$F101="Direction"</formula>
    </cfRule>
    <cfRule type="expression" dxfId="4099" priority="4073">
      <formula>$F101="Ventes Sicli"</formula>
    </cfRule>
    <cfRule type="expression" dxfId="4098" priority="4074">
      <formula>$F101="Ventes Chubb"</formula>
    </cfRule>
    <cfRule type="expression" dxfId="4097" priority="4075">
      <formula>$F101="SAV Sicli"</formula>
    </cfRule>
    <cfRule type="expression" dxfId="4096" priority="4076">
      <formula>$F101="SAV Chubb"</formula>
    </cfRule>
    <cfRule type="expression" dxfId="4095" priority="4077">
      <formula>$F101="Réalisation"</formula>
    </cfRule>
    <cfRule type="expression" dxfId="4094" priority="4078">
      <formula>$F101="Désenfumage"</formula>
    </cfRule>
    <cfRule type="expression" dxfId="4093" priority="4079">
      <formula>$F101="Administratif"</formula>
    </cfRule>
  </conditionalFormatting>
  <conditionalFormatting sqref="C101:D101">
    <cfRule type="expression" dxfId="4092" priority="4070">
      <formula>$H101="non"</formula>
    </cfRule>
  </conditionalFormatting>
  <conditionalFormatting sqref="C100:D100">
    <cfRule type="expression" dxfId="4091" priority="4061">
      <formula>$F100="Formation CCF"</formula>
    </cfRule>
    <cfRule type="expression" dxfId="4090" priority="4062">
      <formula>$F100="Direction"</formula>
    </cfRule>
    <cfRule type="expression" dxfId="4089" priority="4063">
      <formula>$F100="Ventes Sicli"</formula>
    </cfRule>
    <cfRule type="expression" dxfId="4088" priority="4064">
      <formula>$F100="Ventes Chubb"</formula>
    </cfRule>
    <cfRule type="expression" dxfId="4087" priority="4065">
      <formula>$F100="SAV Sicli"</formula>
    </cfRule>
    <cfRule type="expression" dxfId="4086" priority="4066">
      <formula>$F100="SAV Chubb"</formula>
    </cfRule>
    <cfRule type="expression" dxfId="4085" priority="4067">
      <formula>$F100="Réalisation"</formula>
    </cfRule>
    <cfRule type="expression" dxfId="4084" priority="4068">
      <formula>$F100="Désenfumage"</formula>
    </cfRule>
    <cfRule type="expression" dxfId="4083" priority="4069">
      <formula>$F100="Administratif"</formula>
    </cfRule>
  </conditionalFormatting>
  <conditionalFormatting sqref="C100:D100">
    <cfRule type="expression" dxfId="4082" priority="4060">
      <formula>$H100="non"</formula>
    </cfRule>
  </conditionalFormatting>
  <conditionalFormatting sqref="C103:D103">
    <cfRule type="expression" dxfId="4081" priority="4051">
      <formula>$F103="Formation CCF"</formula>
    </cfRule>
    <cfRule type="expression" dxfId="4080" priority="4052">
      <formula>$F103="Direction"</formula>
    </cfRule>
    <cfRule type="expression" dxfId="4079" priority="4053">
      <formula>$F103="Ventes Sicli"</formula>
    </cfRule>
    <cfRule type="expression" dxfId="4078" priority="4054">
      <formula>$F103="Ventes Chubb"</formula>
    </cfRule>
    <cfRule type="expression" dxfId="4077" priority="4055">
      <formula>$F103="SAV Sicli"</formula>
    </cfRule>
    <cfRule type="expression" dxfId="4076" priority="4056">
      <formula>$F103="SAV Chubb"</formula>
    </cfRule>
    <cfRule type="expression" dxfId="4075" priority="4057">
      <formula>$F103="Réalisation"</formula>
    </cfRule>
    <cfRule type="expression" dxfId="4074" priority="4058">
      <formula>$F103="Désenfumage"</formula>
    </cfRule>
    <cfRule type="expression" dxfId="4073" priority="4059">
      <formula>$F103="Administratif"</formula>
    </cfRule>
  </conditionalFormatting>
  <conditionalFormatting sqref="C103:D103">
    <cfRule type="expression" dxfId="4072" priority="4050">
      <formula>$H103="non"</formula>
    </cfRule>
  </conditionalFormatting>
  <conditionalFormatting sqref="C102:D102">
    <cfRule type="expression" dxfId="4071" priority="4041">
      <formula>$F102="Formation CCF"</formula>
    </cfRule>
    <cfRule type="expression" dxfId="4070" priority="4042">
      <formula>$F102="Direction"</formula>
    </cfRule>
    <cfRule type="expression" dxfId="4069" priority="4043">
      <formula>$F102="Ventes Sicli"</formula>
    </cfRule>
    <cfRule type="expression" dxfId="4068" priority="4044">
      <formula>$F102="Ventes Chubb"</formula>
    </cfRule>
    <cfRule type="expression" dxfId="4067" priority="4045">
      <formula>$F102="SAV Sicli"</formula>
    </cfRule>
    <cfRule type="expression" dxfId="4066" priority="4046">
      <formula>$F102="SAV Chubb"</formula>
    </cfRule>
    <cfRule type="expression" dxfId="4065" priority="4047">
      <formula>$F102="Réalisation"</formula>
    </cfRule>
    <cfRule type="expression" dxfId="4064" priority="4048">
      <formula>$F102="Désenfumage"</formula>
    </cfRule>
    <cfRule type="expression" dxfId="4063" priority="4049">
      <formula>$F102="Administratif"</formula>
    </cfRule>
  </conditionalFormatting>
  <conditionalFormatting sqref="C102:D102">
    <cfRule type="expression" dxfId="4062" priority="4040">
      <formula>$H102="non"</formula>
    </cfRule>
  </conditionalFormatting>
  <conditionalFormatting sqref="C101:D101">
    <cfRule type="expression" dxfId="4061" priority="4031">
      <formula>$F101="Formation CCF"</formula>
    </cfRule>
    <cfRule type="expression" dxfId="4060" priority="4032">
      <formula>$F101="Direction"</formula>
    </cfRule>
    <cfRule type="expression" dxfId="4059" priority="4033">
      <formula>$F101="Ventes Sicli"</formula>
    </cfRule>
    <cfRule type="expression" dxfId="4058" priority="4034">
      <formula>$F101="Ventes Chubb"</formula>
    </cfRule>
    <cfRule type="expression" dxfId="4057" priority="4035">
      <formula>$F101="SAV Sicli"</formula>
    </cfRule>
    <cfRule type="expression" dxfId="4056" priority="4036">
      <formula>$F101="SAV Chubb"</formula>
    </cfRule>
    <cfRule type="expression" dxfId="4055" priority="4037">
      <formula>$F101="Réalisation"</formula>
    </cfRule>
    <cfRule type="expression" dxfId="4054" priority="4038">
      <formula>$F101="Désenfumage"</formula>
    </cfRule>
    <cfRule type="expression" dxfId="4053" priority="4039">
      <formula>$F101="Administratif"</formula>
    </cfRule>
  </conditionalFormatting>
  <conditionalFormatting sqref="C101:D101">
    <cfRule type="expression" dxfId="4052" priority="4030">
      <formula>$H101="non"</formula>
    </cfRule>
  </conditionalFormatting>
  <conditionalFormatting sqref="C100:D100">
    <cfRule type="expression" dxfId="4051" priority="4021">
      <formula>$F100="Formation CCF"</formula>
    </cfRule>
    <cfRule type="expression" dxfId="4050" priority="4022">
      <formula>$F100="Direction"</formula>
    </cfRule>
    <cfRule type="expression" dxfId="4049" priority="4023">
      <formula>$F100="Ventes Sicli"</formula>
    </cfRule>
    <cfRule type="expression" dxfId="4048" priority="4024">
      <formula>$F100="Ventes Chubb"</formula>
    </cfRule>
    <cfRule type="expression" dxfId="4047" priority="4025">
      <formula>$F100="SAV Sicli"</formula>
    </cfRule>
    <cfRule type="expression" dxfId="4046" priority="4026">
      <formula>$F100="SAV Chubb"</formula>
    </cfRule>
    <cfRule type="expression" dxfId="4045" priority="4027">
      <formula>$F100="Réalisation"</formula>
    </cfRule>
    <cfRule type="expression" dxfId="4044" priority="4028">
      <formula>$F100="Désenfumage"</formula>
    </cfRule>
    <cfRule type="expression" dxfId="4043" priority="4029">
      <formula>$F100="Administratif"</formula>
    </cfRule>
  </conditionalFormatting>
  <conditionalFormatting sqref="C100:D100">
    <cfRule type="expression" dxfId="4042" priority="4020">
      <formula>$H100="non"</formula>
    </cfRule>
  </conditionalFormatting>
  <conditionalFormatting sqref="C99:D99">
    <cfRule type="expression" dxfId="4041" priority="4011">
      <formula>$F99="Formation CCF"</formula>
    </cfRule>
    <cfRule type="expression" dxfId="4040" priority="4012">
      <formula>$F99="Direction"</formula>
    </cfRule>
    <cfRule type="expression" dxfId="4039" priority="4013">
      <formula>$F99="Ventes Sicli"</formula>
    </cfRule>
    <cfRule type="expression" dxfId="4038" priority="4014">
      <formula>$F99="Ventes Chubb"</formula>
    </cfRule>
    <cfRule type="expression" dxfId="4037" priority="4015">
      <formula>$F99="SAV Sicli"</formula>
    </cfRule>
    <cfRule type="expression" dxfId="4036" priority="4016">
      <formula>$F99="SAV Chubb"</formula>
    </cfRule>
    <cfRule type="expression" dxfId="4035" priority="4017">
      <formula>$F99="Réalisation"</formula>
    </cfRule>
    <cfRule type="expression" dxfId="4034" priority="4018">
      <formula>$F99="Désenfumage"</formula>
    </cfRule>
    <cfRule type="expression" dxfId="4033" priority="4019">
      <formula>$F99="Administratif"</formula>
    </cfRule>
  </conditionalFormatting>
  <conditionalFormatting sqref="C99:D99">
    <cfRule type="expression" dxfId="4032" priority="4010">
      <formula>$H99="non"</formula>
    </cfRule>
  </conditionalFormatting>
  <conditionalFormatting sqref="C107:D107">
    <cfRule type="expression" dxfId="4031" priority="4001">
      <formula>$F107="Formation CCF"</formula>
    </cfRule>
    <cfRule type="expression" dxfId="4030" priority="4002">
      <formula>$F107="Direction"</formula>
    </cfRule>
    <cfRule type="expression" dxfId="4029" priority="4003">
      <formula>$F107="Ventes Sicli"</formula>
    </cfRule>
    <cfRule type="expression" dxfId="4028" priority="4004">
      <formula>$F107="Ventes Chubb"</formula>
    </cfRule>
    <cfRule type="expression" dxfId="4027" priority="4005">
      <formula>$F107="SAV Sicli"</formula>
    </cfRule>
    <cfRule type="expression" dxfId="4026" priority="4006">
      <formula>$F107="SAV Chubb"</formula>
    </cfRule>
    <cfRule type="expression" dxfId="4025" priority="4007">
      <formula>$F107="Réalisation"</formula>
    </cfRule>
    <cfRule type="expression" dxfId="4024" priority="4008">
      <formula>$F107="Désenfumage"</formula>
    </cfRule>
    <cfRule type="expression" dxfId="4023" priority="4009">
      <formula>$F107="Administratif"</formula>
    </cfRule>
  </conditionalFormatting>
  <conditionalFormatting sqref="C107:D107">
    <cfRule type="expression" dxfId="4022" priority="4000">
      <formula>$H107="non"</formula>
    </cfRule>
  </conditionalFormatting>
  <conditionalFormatting sqref="C106:D106">
    <cfRule type="expression" dxfId="4021" priority="3991">
      <formula>$F106="Formation CCF"</formula>
    </cfRule>
    <cfRule type="expression" dxfId="4020" priority="3992">
      <formula>$F106="Direction"</formula>
    </cfRule>
    <cfRule type="expression" dxfId="4019" priority="3993">
      <formula>$F106="Ventes Sicli"</formula>
    </cfRule>
    <cfRule type="expression" dxfId="4018" priority="3994">
      <formula>$F106="Ventes Chubb"</formula>
    </cfRule>
    <cfRule type="expression" dxfId="4017" priority="3995">
      <formula>$F106="SAV Sicli"</formula>
    </cfRule>
    <cfRule type="expression" dxfId="4016" priority="3996">
      <formula>$F106="SAV Chubb"</formula>
    </cfRule>
    <cfRule type="expression" dxfId="4015" priority="3997">
      <formula>$F106="Réalisation"</formula>
    </cfRule>
    <cfRule type="expression" dxfId="4014" priority="3998">
      <formula>$F106="Désenfumage"</formula>
    </cfRule>
    <cfRule type="expression" dxfId="4013" priority="3999">
      <formula>$F106="Administratif"</formula>
    </cfRule>
  </conditionalFormatting>
  <conditionalFormatting sqref="C106:D106">
    <cfRule type="expression" dxfId="4012" priority="3990">
      <formula>$H106="non"</formula>
    </cfRule>
  </conditionalFormatting>
  <conditionalFormatting sqref="C105:D105">
    <cfRule type="expression" dxfId="4011" priority="3981">
      <formula>$F105="Formation CCF"</formula>
    </cfRule>
    <cfRule type="expression" dxfId="4010" priority="3982">
      <formula>$F105="Direction"</formula>
    </cfRule>
    <cfRule type="expression" dxfId="4009" priority="3983">
      <formula>$F105="Ventes Sicli"</formula>
    </cfRule>
    <cfRule type="expression" dxfId="4008" priority="3984">
      <formula>$F105="Ventes Chubb"</formula>
    </cfRule>
    <cfRule type="expression" dxfId="4007" priority="3985">
      <formula>$F105="SAV Sicli"</formula>
    </cfRule>
    <cfRule type="expression" dxfId="4006" priority="3986">
      <formula>$F105="SAV Chubb"</formula>
    </cfRule>
    <cfRule type="expression" dxfId="4005" priority="3987">
      <formula>$F105="Réalisation"</formula>
    </cfRule>
    <cfRule type="expression" dxfId="4004" priority="3988">
      <formula>$F105="Désenfumage"</formula>
    </cfRule>
    <cfRule type="expression" dxfId="4003" priority="3989">
      <formula>$F105="Administratif"</formula>
    </cfRule>
  </conditionalFormatting>
  <conditionalFormatting sqref="C105:D105">
    <cfRule type="expression" dxfId="4002" priority="3980">
      <formula>$H105="non"</formula>
    </cfRule>
  </conditionalFormatting>
  <conditionalFormatting sqref="C104:D104">
    <cfRule type="expression" dxfId="4001" priority="3971">
      <formula>$F104="Formation CCF"</formula>
    </cfRule>
    <cfRule type="expression" dxfId="4000" priority="3972">
      <formula>$F104="Direction"</formula>
    </cfRule>
    <cfRule type="expression" dxfId="3999" priority="3973">
      <formula>$F104="Ventes Sicli"</formula>
    </cfRule>
    <cfRule type="expression" dxfId="3998" priority="3974">
      <formula>$F104="Ventes Chubb"</formula>
    </cfRule>
    <cfRule type="expression" dxfId="3997" priority="3975">
      <formula>$F104="SAV Sicli"</formula>
    </cfRule>
    <cfRule type="expression" dxfId="3996" priority="3976">
      <formula>$F104="SAV Chubb"</formula>
    </cfRule>
    <cfRule type="expression" dxfId="3995" priority="3977">
      <formula>$F104="Réalisation"</formula>
    </cfRule>
    <cfRule type="expression" dxfId="3994" priority="3978">
      <formula>$F104="Désenfumage"</formula>
    </cfRule>
    <cfRule type="expression" dxfId="3993" priority="3979">
      <formula>$F104="Administratif"</formula>
    </cfRule>
  </conditionalFormatting>
  <conditionalFormatting sqref="C104:D104">
    <cfRule type="expression" dxfId="3992" priority="3970">
      <formula>$H104="non"</formula>
    </cfRule>
  </conditionalFormatting>
  <conditionalFormatting sqref="C103:D103">
    <cfRule type="expression" dxfId="3991" priority="3961">
      <formula>$F103="Formation CCF"</formula>
    </cfRule>
    <cfRule type="expression" dxfId="3990" priority="3962">
      <formula>$F103="Direction"</formula>
    </cfRule>
    <cfRule type="expression" dxfId="3989" priority="3963">
      <formula>$F103="Ventes Sicli"</formula>
    </cfRule>
    <cfRule type="expression" dxfId="3988" priority="3964">
      <formula>$F103="Ventes Chubb"</formula>
    </cfRule>
    <cfRule type="expression" dxfId="3987" priority="3965">
      <formula>$F103="SAV Sicli"</formula>
    </cfRule>
    <cfRule type="expression" dxfId="3986" priority="3966">
      <formula>$F103="SAV Chubb"</formula>
    </cfRule>
    <cfRule type="expression" dxfId="3985" priority="3967">
      <formula>$F103="Réalisation"</formula>
    </cfRule>
    <cfRule type="expression" dxfId="3984" priority="3968">
      <formula>$F103="Désenfumage"</formula>
    </cfRule>
    <cfRule type="expression" dxfId="3983" priority="3969">
      <formula>$F103="Administratif"</formula>
    </cfRule>
  </conditionalFormatting>
  <conditionalFormatting sqref="C103:D103">
    <cfRule type="expression" dxfId="3982" priority="3960">
      <formula>$H103="non"</formula>
    </cfRule>
  </conditionalFormatting>
  <conditionalFormatting sqref="C102:D102">
    <cfRule type="expression" dxfId="3981" priority="3951">
      <formula>$F102="Formation CCF"</formula>
    </cfRule>
    <cfRule type="expression" dxfId="3980" priority="3952">
      <formula>$F102="Direction"</formula>
    </cfRule>
    <cfRule type="expression" dxfId="3979" priority="3953">
      <formula>$F102="Ventes Sicli"</formula>
    </cfRule>
    <cfRule type="expression" dxfId="3978" priority="3954">
      <formula>$F102="Ventes Chubb"</formula>
    </cfRule>
    <cfRule type="expression" dxfId="3977" priority="3955">
      <formula>$F102="SAV Sicli"</formula>
    </cfRule>
    <cfRule type="expression" dxfId="3976" priority="3956">
      <formula>$F102="SAV Chubb"</formula>
    </cfRule>
    <cfRule type="expression" dxfId="3975" priority="3957">
      <formula>$F102="Réalisation"</formula>
    </cfRule>
    <cfRule type="expression" dxfId="3974" priority="3958">
      <formula>$F102="Désenfumage"</formula>
    </cfRule>
    <cfRule type="expression" dxfId="3973" priority="3959">
      <formula>$F102="Administratif"</formula>
    </cfRule>
  </conditionalFormatting>
  <conditionalFormatting sqref="C102:D102">
    <cfRule type="expression" dxfId="3972" priority="3950">
      <formula>$H102="non"</formula>
    </cfRule>
  </conditionalFormatting>
  <conditionalFormatting sqref="D100">
    <cfRule type="expression" dxfId="3971" priority="3941">
      <formula>$F100="Formation CCF"</formula>
    </cfRule>
    <cfRule type="expression" dxfId="3970" priority="3942">
      <formula>$F100="Direction"</formula>
    </cfRule>
    <cfRule type="expression" dxfId="3969" priority="3943">
      <formula>$F100="Ventes Sicli"</formula>
    </cfRule>
    <cfRule type="expression" dxfId="3968" priority="3944">
      <formula>$F100="Ventes Chubb"</formula>
    </cfRule>
    <cfRule type="expression" dxfId="3967" priority="3945">
      <formula>$F100="SAV Sicli"</formula>
    </cfRule>
    <cfRule type="expression" dxfId="3966" priority="3946">
      <formula>$F100="SAV Chubb"</formula>
    </cfRule>
    <cfRule type="expression" dxfId="3965" priority="3947">
      <formula>$F100="Réalisation"</formula>
    </cfRule>
    <cfRule type="expression" dxfId="3964" priority="3948">
      <formula>$F100="Désenfumage"</formula>
    </cfRule>
    <cfRule type="expression" dxfId="3963" priority="3949">
      <formula>$F100="Administratif"</formula>
    </cfRule>
  </conditionalFormatting>
  <conditionalFormatting sqref="D100">
    <cfRule type="expression" dxfId="3962" priority="3940">
      <formula>$H100="non"</formula>
    </cfRule>
  </conditionalFormatting>
  <conditionalFormatting sqref="D99">
    <cfRule type="expression" dxfId="3961" priority="3931">
      <formula>$F99="Formation CCF"</formula>
    </cfRule>
    <cfRule type="expression" dxfId="3960" priority="3932">
      <formula>$F99="Direction"</formula>
    </cfRule>
    <cfRule type="expression" dxfId="3959" priority="3933">
      <formula>$F99="Ventes Sicli"</formula>
    </cfRule>
    <cfRule type="expression" dxfId="3958" priority="3934">
      <formula>$F99="Ventes Chubb"</formula>
    </cfRule>
    <cfRule type="expression" dxfId="3957" priority="3935">
      <formula>$F99="SAV Sicli"</formula>
    </cfRule>
    <cfRule type="expression" dxfId="3956" priority="3936">
      <formula>$F99="SAV Chubb"</formula>
    </cfRule>
    <cfRule type="expression" dxfId="3955" priority="3937">
      <formula>$F99="Réalisation"</formula>
    </cfRule>
    <cfRule type="expression" dxfId="3954" priority="3938">
      <formula>$F99="Désenfumage"</formula>
    </cfRule>
    <cfRule type="expression" dxfId="3953" priority="3939">
      <formula>$F99="Administratif"</formula>
    </cfRule>
  </conditionalFormatting>
  <conditionalFormatting sqref="D99">
    <cfRule type="expression" dxfId="3952" priority="3930">
      <formula>$H99="non"</formula>
    </cfRule>
  </conditionalFormatting>
  <conditionalFormatting sqref="D99">
    <cfRule type="expression" dxfId="3951" priority="3921">
      <formula>$F99="Formation CCF"</formula>
    </cfRule>
    <cfRule type="expression" dxfId="3950" priority="3922">
      <formula>$F99="Direction"</formula>
    </cfRule>
    <cfRule type="expression" dxfId="3949" priority="3923">
      <formula>$F99="Ventes Sicli"</formula>
    </cfRule>
    <cfRule type="expression" dxfId="3948" priority="3924">
      <formula>$F99="Ventes Chubb"</formula>
    </cfRule>
    <cfRule type="expression" dxfId="3947" priority="3925">
      <formula>$F99="SAV Sicli"</formula>
    </cfRule>
    <cfRule type="expression" dxfId="3946" priority="3926">
      <formula>$F99="SAV Chubb"</formula>
    </cfRule>
    <cfRule type="expression" dxfId="3945" priority="3927">
      <formula>$F99="Réalisation"</formula>
    </cfRule>
    <cfRule type="expression" dxfId="3944" priority="3928">
      <formula>$F99="Désenfumage"</formula>
    </cfRule>
    <cfRule type="expression" dxfId="3943" priority="3929">
      <formula>$F99="Administratif"</formula>
    </cfRule>
  </conditionalFormatting>
  <conditionalFormatting sqref="D99">
    <cfRule type="expression" dxfId="3942" priority="3920">
      <formula>$H99="non"</formula>
    </cfRule>
  </conditionalFormatting>
  <conditionalFormatting sqref="C105:D105">
    <cfRule type="expression" dxfId="3941" priority="3911">
      <formula>$F105="Formation CCF"</formula>
    </cfRule>
    <cfRule type="expression" dxfId="3940" priority="3912">
      <formula>$F105="Direction"</formula>
    </cfRule>
    <cfRule type="expression" dxfId="3939" priority="3913">
      <formula>$F105="Ventes Sicli"</formula>
    </cfRule>
    <cfRule type="expression" dxfId="3938" priority="3914">
      <formula>$F105="Ventes Chubb"</formula>
    </cfRule>
    <cfRule type="expression" dxfId="3937" priority="3915">
      <formula>$F105="SAV Sicli"</formula>
    </cfRule>
    <cfRule type="expression" dxfId="3936" priority="3916">
      <formula>$F105="SAV Chubb"</formula>
    </cfRule>
    <cfRule type="expression" dxfId="3935" priority="3917">
      <formula>$F105="Réalisation"</formula>
    </cfRule>
    <cfRule type="expression" dxfId="3934" priority="3918">
      <formula>$F105="Désenfumage"</formula>
    </cfRule>
    <cfRule type="expression" dxfId="3933" priority="3919">
      <formula>$F105="Administratif"</formula>
    </cfRule>
  </conditionalFormatting>
  <conditionalFormatting sqref="C105:D105">
    <cfRule type="expression" dxfId="3932" priority="3910">
      <formula>$H105="non"</formula>
    </cfRule>
  </conditionalFormatting>
  <conditionalFormatting sqref="C104:D104">
    <cfRule type="expression" dxfId="3931" priority="3901">
      <formula>$F104="Formation CCF"</formula>
    </cfRule>
    <cfRule type="expression" dxfId="3930" priority="3902">
      <formula>$F104="Direction"</formula>
    </cfRule>
    <cfRule type="expression" dxfId="3929" priority="3903">
      <formula>$F104="Ventes Sicli"</formula>
    </cfRule>
    <cfRule type="expression" dxfId="3928" priority="3904">
      <formula>$F104="Ventes Chubb"</formula>
    </cfRule>
    <cfRule type="expression" dxfId="3927" priority="3905">
      <formula>$F104="SAV Sicli"</formula>
    </cfRule>
    <cfRule type="expression" dxfId="3926" priority="3906">
      <formula>$F104="SAV Chubb"</formula>
    </cfRule>
    <cfRule type="expression" dxfId="3925" priority="3907">
      <formula>$F104="Réalisation"</formula>
    </cfRule>
    <cfRule type="expression" dxfId="3924" priority="3908">
      <formula>$F104="Désenfumage"</formula>
    </cfRule>
    <cfRule type="expression" dxfId="3923" priority="3909">
      <formula>$F104="Administratif"</formula>
    </cfRule>
  </conditionalFormatting>
  <conditionalFormatting sqref="C104:D104">
    <cfRule type="expression" dxfId="3922" priority="3900">
      <formula>$H104="non"</formula>
    </cfRule>
  </conditionalFormatting>
  <conditionalFormatting sqref="C103:D103">
    <cfRule type="expression" dxfId="3921" priority="3891">
      <formula>$F103="Formation CCF"</formula>
    </cfRule>
    <cfRule type="expression" dxfId="3920" priority="3892">
      <formula>$F103="Direction"</formula>
    </cfRule>
    <cfRule type="expression" dxfId="3919" priority="3893">
      <formula>$F103="Ventes Sicli"</formula>
    </cfRule>
    <cfRule type="expression" dxfId="3918" priority="3894">
      <formula>$F103="Ventes Chubb"</formula>
    </cfRule>
    <cfRule type="expression" dxfId="3917" priority="3895">
      <formula>$F103="SAV Sicli"</formula>
    </cfRule>
    <cfRule type="expression" dxfId="3916" priority="3896">
      <formula>$F103="SAV Chubb"</formula>
    </cfRule>
    <cfRule type="expression" dxfId="3915" priority="3897">
      <formula>$F103="Réalisation"</formula>
    </cfRule>
    <cfRule type="expression" dxfId="3914" priority="3898">
      <formula>$F103="Désenfumage"</formula>
    </cfRule>
    <cfRule type="expression" dxfId="3913" priority="3899">
      <formula>$F103="Administratif"</formula>
    </cfRule>
  </conditionalFormatting>
  <conditionalFormatting sqref="C103:D103">
    <cfRule type="expression" dxfId="3912" priority="3890">
      <formula>$H103="non"</formula>
    </cfRule>
  </conditionalFormatting>
  <conditionalFormatting sqref="C102:D102">
    <cfRule type="expression" dxfId="3911" priority="3881">
      <formula>$F102="Formation CCF"</formula>
    </cfRule>
    <cfRule type="expression" dxfId="3910" priority="3882">
      <formula>$F102="Direction"</formula>
    </cfRule>
    <cfRule type="expression" dxfId="3909" priority="3883">
      <formula>$F102="Ventes Sicli"</formula>
    </cfRule>
    <cfRule type="expression" dxfId="3908" priority="3884">
      <formula>$F102="Ventes Chubb"</formula>
    </cfRule>
    <cfRule type="expression" dxfId="3907" priority="3885">
      <formula>$F102="SAV Sicli"</formula>
    </cfRule>
    <cfRule type="expression" dxfId="3906" priority="3886">
      <formula>$F102="SAV Chubb"</formula>
    </cfRule>
    <cfRule type="expression" dxfId="3905" priority="3887">
      <formula>$F102="Réalisation"</formula>
    </cfRule>
    <cfRule type="expression" dxfId="3904" priority="3888">
      <formula>$F102="Désenfumage"</formula>
    </cfRule>
    <cfRule type="expression" dxfId="3903" priority="3889">
      <formula>$F102="Administratif"</formula>
    </cfRule>
  </conditionalFormatting>
  <conditionalFormatting sqref="C102:D102">
    <cfRule type="expression" dxfId="3902" priority="3880">
      <formula>$H102="non"</formula>
    </cfRule>
  </conditionalFormatting>
  <conditionalFormatting sqref="C101:D101">
    <cfRule type="expression" dxfId="3901" priority="3871">
      <formula>$F101="Formation CCF"</formula>
    </cfRule>
    <cfRule type="expression" dxfId="3900" priority="3872">
      <formula>$F101="Direction"</formula>
    </cfRule>
    <cfRule type="expression" dxfId="3899" priority="3873">
      <formula>$F101="Ventes Sicli"</formula>
    </cfRule>
    <cfRule type="expression" dxfId="3898" priority="3874">
      <formula>$F101="Ventes Chubb"</formula>
    </cfRule>
    <cfRule type="expression" dxfId="3897" priority="3875">
      <formula>$F101="SAV Sicli"</formula>
    </cfRule>
    <cfRule type="expression" dxfId="3896" priority="3876">
      <formula>$F101="SAV Chubb"</formula>
    </cfRule>
    <cfRule type="expression" dxfId="3895" priority="3877">
      <formula>$F101="Réalisation"</formula>
    </cfRule>
    <cfRule type="expression" dxfId="3894" priority="3878">
      <formula>$F101="Désenfumage"</formula>
    </cfRule>
    <cfRule type="expression" dxfId="3893" priority="3879">
      <formula>$F101="Administratif"</formula>
    </cfRule>
  </conditionalFormatting>
  <conditionalFormatting sqref="C101:D101">
    <cfRule type="expression" dxfId="3892" priority="3870">
      <formula>$H101="non"</formula>
    </cfRule>
  </conditionalFormatting>
  <conditionalFormatting sqref="D99">
    <cfRule type="expression" dxfId="3891" priority="3861">
      <formula>$F99="Formation CCF"</formula>
    </cfRule>
    <cfRule type="expression" dxfId="3890" priority="3862">
      <formula>$F99="Direction"</formula>
    </cfRule>
    <cfRule type="expression" dxfId="3889" priority="3863">
      <formula>$F99="Ventes Sicli"</formula>
    </cfRule>
    <cfRule type="expression" dxfId="3888" priority="3864">
      <formula>$F99="Ventes Chubb"</formula>
    </cfRule>
    <cfRule type="expression" dxfId="3887" priority="3865">
      <formula>$F99="SAV Sicli"</formula>
    </cfRule>
    <cfRule type="expression" dxfId="3886" priority="3866">
      <formula>$F99="SAV Chubb"</formula>
    </cfRule>
    <cfRule type="expression" dxfId="3885" priority="3867">
      <formula>$F99="Réalisation"</formula>
    </cfRule>
    <cfRule type="expression" dxfId="3884" priority="3868">
      <formula>$F99="Désenfumage"</formula>
    </cfRule>
    <cfRule type="expression" dxfId="3883" priority="3869">
      <formula>$F99="Administratif"</formula>
    </cfRule>
  </conditionalFormatting>
  <conditionalFormatting sqref="D99">
    <cfRule type="expression" dxfId="3882" priority="3860">
      <formula>$H99="non"</formula>
    </cfRule>
  </conditionalFormatting>
  <conditionalFormatting sqref="C105:D105">
    <cfRule type="expression" dxfId="3881" priority="3851">
      <formula>$F105="Formation CCF"</formula>
    </cfRule>
    <cfRule type="expression" dxfId="3880" priority="3852">
      <formula>$F105="Direction"</formula>
    </cfRule>
    <cfRule type="expression" dxfId="3879" priority="3853">
      <formula>$F105="Ventes Sicli"</formula>
    </cfRule>
    <cfRule type="expression" dxfId="3878" priority="3854">
      <formula>$F105="Ventes Chubb"</formula>
    </cfRule>
    <cfRule type="expression" dxfId="3877" priority="3855">
      <formula>$F105="SAV Sicli"</formula>
    </cfRule>
    <cfRule type="expression" dxfId="3876" priority="3856">
      <formula>$F105="SAV Chubb"</formula>
    </cfRule>
    <cfRule type="expression" dxfId="3875" priority="3857">
      <formula>$F105="Réalisation"</formula>
    </cfRule>
    <cfRule type="expression" dxfId="3874" priority="3858">
      <formula>$F105="Désenfumage"</formula>
    </cfRule>
    <cfRule type="expression" dxfId="3873" priority="3859">
      <formula>$F105="Administratif"</formula>
    </cfRule>
  </conditionalFormatting>
  <conditionalFormatting sqref="C105:D105">
    <cfRule type="expression" dxfId="3872" priority="3850">
      <formula>$H105="non"</formula>
    </cfRule>
  </conditionalFormatting>
  <conditionalFormatting sqref="C104:D104">
    <cfRule type="expression" dxfId="3871" priority="3841">
      <formula>$F104="Formation CCF"</formula>
    </cfRule>
    <cfRule type="expression" dxfId="3870" priority="3842">
      <formula>$F104="Direction"</formula>
    </cfRule>
    <cfRule type="expression" dxfId="3869" priority="3843">
      <formula>$F104="Ventes Sicli"</formula>
    </cfRule>
    <cfRule type="expression" dxfId="3868" priority="3844">
      <formula>$F104="Ventes Chubb"</formula>
    </cfRule>
    <cfRule type="expression" dxfId="3867" priority="3845">
      <formula>$F104="SAV Sicli"</formula>
    </cfRule>
    <cfRule type="expression" dxfId="3866" priority="3846">
      <formula>$F104="SAV Chubb"</formula>
    </cfRule>
    <cfRule type="expression" dxfId="3865" priority="3847">
      <formula>$F104="Réalisation"</formula>
    </cfRule>
    <cfRule type="expression" dxfId="3864" priority="3848">
      <formula>$F104="Désenfumage"</formula>
    </cfRule>
    <cfRule type="expression" dxfId="3863" priority="3849">
      <formula>$F104="Administratif"</formula>
    </cfRule>
  </conditionalFormatting>
  <conditionalFormatting sqref="C104:D104">
    <cfRule type="expression" dxfId="3862" priority="3840">
      <formula>$H104="non"</formula>
    </cfRule>
  </conditionalFormatting>
  <conditionalFormatting sqref="C103:D103">
    <cfRule type="expression" dxfId="3861" priority="3831">
      <formula>$F103="Formation CCF"</formula>
    </cfRule>
    <cfRule type="expression" dxfId="3860" priority="3832">
      <formula>$F103="Direction"</formula>
    </cfRule>
    <cfRule type="expression" dxfId="3859" priority="3833">
      <formula>$F103="Ventes Sicli"</formula>
    </cfRule>
    <cfRule type="expression" dxfId="3858" priority="3834">
      <formula>$F103="Ventes Chubb"</formula>
    </cfRule>
    <cfRule type="expression" dxfId="3857" priority="3835">
      <formula>$F103="SAV Sicli"</formula>
    </cfRule>
    <cfRule type="expression" dxfId="3856" priority="3836">
      <formula>$F103="SAV Chubb"</formula>
    </cfRule>
    <cfRule type="expression" dxfId="3855" priority="3837">
      <formula>$F103="Réalisation"</formula>
    </cfRule>
    <cfRule type="expression" dxfId="3854" priority="3838">
      <formula>$F103="Désenfumage"</formula>
    </cfRule>
    <cfRule type="expression" dxfId="3853" priority="3839">
      <formula>$F103="Administratif"</formula>
    </cfRule>
  </conditionalFormatting>
  <conditionalFormatting sqref="C103:D103">
    <cfRule type="expression" dxfId="3852" priority="3830">
      <formula>$H103="non"</formula>
    </cfRule>
  </conditionalFormatting>
  <conditionalFormatting sqref="C102:D102">
    <cfRule type="expression" dxfId="3851" priority="3821">
      <formula>$F102="Formation CCF"</formula>
    </cfRule>
    <cfRule type="expression" dxfId="3850" priority="3822">
      <formula>$F102="Direction"</formula>
    </cfRule>
    <cfRule type="expression" dxfId="3849" priority="3823">
      <formula>$F102="Ventes Sicli"</formula>
    </cfRule>
    <cfRule type="expression" dxfId="3848" priority="3824">
      <formula>$F102="Ventes Chubb"</formula>
    </cfRule>
    <cfRule type="expression" dxfId="3847" priority="3825">
      <formula>$F102="SAV Sicli"</formula>
    </cfRule>
    <cfRule type="expression" dxfId="3846" priority="3826">
      <formula>$F102="SAV Chubb"</formula>
    </cfRule>
    <cfRule type="expression" dxfId="3845" priority="3827">
      <formula>$F102="Réalisation"</formula>
    </cfRule>
    <cfRule type="expression" dxfId="3844" priority="3828">
      <formula>$F102="Désenfumage"</formula>
    </cfRule>
    <cfRule type="expression" dxfId="3843" priority="3829">
      <formula>$F102="Administratif"</formula>
    </cfRule>
  </conditionalFormatting>
  <conditionalFormatting sqref="C102:D102">
    <cfRule type="expression" dxfId="3842" priority="3820">
      <formula>$H102="non"</formula>
    </cfRule>
  </conditionalFormatting>
  <conditionalFormatting sqref="C101:D101">
    <cfRule type="expression" dxfId="3841" priority="3811">
      <formula>$F101="Formation CCF"</formula>
    </cfRule>
    <cfRule type="expression" dxfId="3840" priority="3812">
      <formula>$F101="Direction"</formula>
    </cfRule>
    <cfRule type="expression" dxfId="3839" priority="3813">
      <formula>$F101="Ventes Sicli"</formula>
    </cfRule>
    <cfRule type="expression" dxfId="3838" priority="3814">
      <formula>$F101="Ventes Chubb"</formula>
    </cfRule>
    <cfRule type="expression" dxfId="3837" priority="3815">
      <formula>$F101="SAV Sicli"</formula>
    </cfRule>
    <cfRule type="expression" dxfId="3836" priority="3816">
      <formula>$F101="SAV Chubb"</formula>
    </cfRule>
    <cfRule type="expression" dxfId="3835" priority="3817">
      <formula>$F101="Réalisation"</formula>
    </cfRule>
    <cfRule type="expression" dxfId="3834" priority="3818">
      <formula>$F101="Désenfumage"</formula>
    </cfRule>
    <cfRule type="expression" dxfId="3833" priority="3819">
      <formula>$F101="Administratif"</formula>
    </cfRule>
  </conditionalFormatting>
  <conditionalFormatting sqref="C101:D101">
    <cfRule type="expression" dxfId="3832" priority="3810">
      <formula>$H101="non"</formula>
    </cfRule>
  </conditionalFormatting>
  <conditionalFormatting sqref="D99">
    <cfRule type="expression" dxfId="3831" priority="3801">
      <formula>$F99="Formation CCF"</formula>
    </cfRule>
    <cfRule type="expression" dxfId="3830" priority="3802">
      <formula>$F99="Direction"</formula>
    </cfRule>
    <cfRule type="expression" dxfId="3829" priority="3803">
      <formula>$F99="Ventes Sicli"</formula>
    </cfRule>
    <cfRule type="expression" dxfId="3828" priority="3804">
      <formula>$F99="Ventes Chubb"</formula>
    </cfRule>
    <cfRule type="expression" dxfId="3827" priority="3805">
      <formula>$F99="SAV Sicli"</formula>
    </cfRule>
    <cfRule type="expression" dxfId="3826" priority="3806">
      <formula>$F99="SAV Chubb"</formula>
    </cfRule>
    <cfRule type="expression" dxfId="3825" priority="3807">
      <formula>$F99="Réalisation"</formula>
    </cfRule>
    <cfRule type="expression" dxfId="3824" priority="3808">
      <formula>$F99="Désenfumage"</formula>
    </cfRule>
    <cfRule type="expression" dxfId="3823" priority="3809">
      <formula>$F99="Administratif"</formula>
    </cfRule>
  </conditionalFormatting>
  <conditionalFormatting sqref="D99">
    <cfRule type="expression" dxfId="3822" priority="3800">
      <formula>$H99="non"</formula>
    </cfRule>
  </conditionalFormatting>
  <conditionalFormatting sqref="C104:D104">
    <cfRule type="expression" dxfId="3821" priority="3791">
      <formula>$F104="Formation CCF"</formula>
    </cfRule>
    <cfRule type="expression" dxfId="3820" priority="3792">
      <formula>$F104="Direction"</formula>
    </cfRule>
    <cfRule type="expression" dxfId="3819" priority="3793">
      <formula>$F104="Ventes Sicli"</formula>
    </cfRule>
    <cfRule type="expression" dxfId="3818" priority="3794">
      <formula>$F104="Ventes Chubb"</formula>
    </cfRule>
    <cfRule type="expression" dxfId="3817" priority="3795">
      <formula>$F104="SAV Sicli"</formula>
    </cfRule>
    <cfRule type="expression" dxfId="3816" priority="3796">
      <formula>$F104="SAV Chubb"</formula>
    </cfRule>
    <cfRule type="expression" dxfId="3815" priority="3797">
      <formula>$F104="Réalisation"</formula>
    </cfRule>
    <cfRule type="expression" dxfId="3814" priority="3798">
      <formula>$F104="Désenfumage"</formula>
    </cfRule>
    <cfRule type="expression" dxfId="3813" priority="3799">
      <formula>$F104="Administratif"</formula>
    </cfRule>
  </conditionalFormatting>
  <conditionalFormatting sqref="C104:D104">
    <cfRule type="expression" dxfId="3812" priority="3790">
      <formula>$H104="non"</formula>
    </cfRule>
  </conditionalFormatting>
  <conditionalFormatting sqref="C103:D103">
    <cfRule type="expression" dxfId="3811" priority="3781">
      <formula>$F103="Formation CCF"</formula>
    </cfRule>
    <cfRule type="expression" dxfId="3810" priority="3782">
      <formula>$F103="Direction"</formula>
    </cfRule>
    <cfRule type="expression" dxfId="3809" priority="3783">
      <formula>$F103="Ventes Sicli"</formula>
    </cfRule>
    <cfRule type="expression" dxfId="3808" priority="3784">
      <formula>$F103="Ventes Chubb"</formula>
    </cfRule>
    <cfRule type="expression" dxfId="3807" priority="3785">
      <formula>$F103="SAV Sicli"</formula>
    </cfRule>
    <cfRule type="expression" dxfId="3806" priority="3786">
      <formula>$F103="SAV Chubb"</formula>
    </cfRule>
    <cfRule type="expression" dxfId="3805" priority="3787">
      <formula>$F103="Réalisation"</formula>
    </cfRule>
    <cfRule type="expression" dxfId="3804" priority="3788">
      <formula>$F103="Désenfumage"</formula>
    </cfRule>
    <cfRule type="expression" dxfId="3803" priority="3789">
      <formula>$F103="Administratif"</formula>
    </cfRule>
  </conditionalFormatting>
  <conditionalFormatting sqref="C103:D103">
    <cfRule type="expression" dxfId="3802" priority="3780">
      <formula>$H103="non"</formula>
    </cfRule>
  </conditionalFormatting>
  <conditionalFormatting sqref="C102:D102">
    <cfRule type="expression" dxfId="3801" priority="3771">
      <formula>$F102="Formation CCF"</formula>
    </cfRule>
    <cfRule type="expression" dxfId="3800" priority="3772">
      <formula>$F102="Direction"</formula>
    </cfRule>
    <cfRule type="expression" dxfId="3799" priority="3773">
      <formula>$F102="Ventes Sicli"</formula>
    </cfRule>
    <cfRule type="expression" dxfId="3798" priority="3774">
      <formula>$F102="Ventes Chubb"</formula>
    </cfRule>
    <cfRule type="expression" dxfId="3797" priority="3775">
      <formula>$F102="SAV Sicli"</formula>
    </cfRule>
    <cfRule type="expression" dxfId="3796" priority="3776">
      <formula>$F102="SAV Chubb"</formula>
    </cfRule>
    <cfRule type="expression" dxfId="3795" priority="3777">
      <formula>$F102="Réalisation"</formula>
    </cfRule>
    <cfRule type="expression" dxfId="3794" priority="3778">
      <formula>$F102="Désenfumage"</formula>
    </cfRule>
    <cfRule type="expression" dxfId="3793" priority="3779">
      <formula>$F102="Administratif"</formula>
    </cfRule>
  </conditionalFormatting>
  <conditionalFormatting sqref="C102:D102">
    <cfRule type="expression" dxfId="3792" priority="3770">
      <formula>$H102="non"</formula>
    </cfRule>
  </conditionalFormatting>
  <conditionalFormatting sqref="C101:D101">
    <cfRule type="expression" dxfId="3791" priority="3761">
      <formula>$F101="Formation CCF"</formula>
    </cfRule>
    <cfRule type="expression" dxfId="3790" priority="3762">
      <formula>$F101="Direction"</formula>
    </cfRule>
    <cfRule type="expression" dxfId="3789" priority="3763">
      <formula>$F101="Ventes Sicli"</formula>
    </cfRule>
    <cfRule type="expression" dxfId="3788" priority="3764">
      <formula>$F101="Ventes Chubb"</formula>
    </cfRule>
    <cfRule type="expression" dxfId="3787" priority="3765">
      <formula>$F101="SAV Sicli"</formula>
    </cfRule>
    <cfRule type="expression" dxfId="3786" priority="3766">
      <formula>$F101="SAV Chubb"</formula>
    </cfRule>
    <cfRule type="expression" dxfId="3785" priority="3767">
      <formula>$F101="Réalisation"</formula>
    </cfRule>
    <cfRule type="expression" dxfId="3784" priority="3768">
      <formula>$F101="Désenfumage"</formula>
    </cfRule>
    <cfRule type="expression" dxfId="3783" priority="3769">
      <formula>$F101="Administratif"</formula>
    </cfRule>
  </conditionalFormatting>
  <conditionalFormatting sqref="C101:D101">
    <cfRule type="expression" dxfId="3782" priority="3760">
      <formula>$H101="non"</formula>
    </cfRule>
  </conditionalFormatting>
  <conditionalFormatting sqref="C100:D100">
    <cfRule type="expression" dxfId="3781" priority="3751">
      <formula>$F100="Formation CCF"</formula>
    </cfRule>
    <cfRule type="expression" dxfId="3780" priority="3752">
      <formula>$F100="Direction"</formula>
    </cfRule>
    <cfRule type="expression" dxfId="3779" priority="3753">
      <formula>$F100="Ventes Sicli"</formula>
    </cfRule>
    <cfRule type="expression" dxfId="3778" priority="3754">
      <formula>$F100="Ventes Chubb"</formula>
    </cfRule>
    <cfRule type="expression" dxfId="3777" priority="3755">
      <formula>$F100="SAV Sicli"</formula>
    </cfRule>
    <cfRule type="expression" dxfId="3776" priority="3756">
      <formula>$F100="SAV Chubb"</formula>
    </cfRule>
    <cfRule type="expression" dxfId="3775" priority="3757">
      <formula>$F100="Réalisation"</formula>
    </cfRule>
    <cfRule type="expression" dxfId="3774" priority="3758">
      <formula>$F100="Désenfumage"</formula>
    </cfRule>
    <cfRule type="expression" dxfId="3773" priority="3759">
      <formula>$F100="Administratif"</formula>
    </cfRule>
  </conditionalFormatting>
  <conditionalFormatting sqref="C100:D100">
    <cfRule type="expression" dxfId="3772" priority="3750">
      <formula>$H100="non"</formula>
    </cfRule>
  </conditionalFormatting>
  <conditionalFormatting sqref="C92:D92">
    <cfRule type="expression" dxfId="3771" priority="3741">
      <formula>$F92="Formation CCF"</formula>
    </cfRule>
    <cfRule type="expression" dxfId="3770" priority="3742">
      <formula>$F92="Direction"</formula>
    </cfRule>
    <cfRule type="expression" dxfId="3769" priority="3743">
      <formula>$F92="Ventes Sicli"</formula>
    </cfRule>
    <cfRule type="expression" dxfId="3768" priority="3744">
      <formula>$F92="Ventes Chubb"</formula>
    </cfRule>
    <cfRule type="expression" dxfId="3767" priority="3745">
      <formula>$F92="SAV Sicli"</formula>
    </cfRule>
    <cfRule type="expression" dxfId="3766" priority="3746">
      <formula>$F92="SAV Chubb"</formula>
    </cfRule>
    <cfRule type="expression" dxfId="3765" priority="3747">
      <formula>$F92="Réalisation"</formula>
    </cfRule>
    <cfRule type="expression" dxfId="3764" priority="3748">
      <formula>$F92="Désenfumage"</formula>
    </cfRule>
    <cfRule type="expression" dxfId="3763" priority="3749">
      <formula>$F92="Administratif"</formula>
    </cfRule>
  </conditionalFormatting>
  <conditionalFormatting sqref="C92:D92">
    <cfRule type="expression" dxfId="3762" priority="3740">
      <formula>$H92="non"</formula>
    </cfRule>
  </conditionalFormatting>
  <conditionalFormatting sqref="C91:D91">
    <cfRule type="expression" dxfId="3761" priority="3731">
      <formula>$F91="Formation CCF"</formula>
    </cfRule>
    <cfRule type="expression" dxfId="3760" priority="3732">
      <formula>$F91="Direction"</formula>
    </cfRule>
    <cfRule type="expression" dxfId="3759" priority="3733">
      <formula>$F91="Ventes Sicli"</formula>
    </cfRule>
    <cfRule type="expression" dxfId="3758" priority="3734">
      <formula>$F91="Ventes Chubb"</formula>
    </cfRule>
    <cfRule type="expression" dxfId="3757" priority="3735">
      <formula>$F91="SAV Sicli"</formula>
    </cfRule>
    <cfRule type="expression" dxfId="3756" priority="3736">
      <formula>$F91="SAV Chubb"</formula>
    </cfRule>
    <cfRule type="expression" dxfId="3755" priority="3737">
      <formula>$F91="Réalisation"</formula>
    </cfRule>
    <cfRule type="expression" dxfId="3754" priority="3738">
      <formula>$F91="Désenfumage"</formula>
    </cfRule>
    <cfRule type="expression" dxfId="3753" priority="3739">
      <formula>$F91="Administratif"</formula>
    </cfRule>
  </conditionalFormatting>
  <conditionalFormatting sqref="C91:D91">
    <cfRule type="expression" dxfId="3752" priority="3730">
      <formula>$H91="non"</formula>
    </cfRule>
  </conditionalFormatting>
  <conditionalFormatting sqref="D94">
    <cfRule type="expression" dxfId="3751" priority="3721">
      <formula>$F94="Formation CCF"</formula>
    </cfRule>
    <cfRule type="expression" dxfId="3750" priority="3722">
      <formula>$F94="Direction"</formula>
    </cfRule>
    <cfRule type="expression" dxfId="3749" priority="3723">
      <formula>$F94="Ventes Sicli"</formula>
    </cfRule>
    <cfRule type="expression" dxfId="3748" priority="3724">
      <formula>$F94="Ventes Chubb"</formula>
    </cfRule>
    <cfRule type="expression" dxfId="3747" priority="3725">
      <formula>$F94="SAV Sicli"</formula>
    </cfRule>
    <cfRule type="expression" dxfId="3746" priority="3726">
      <formula>$F94="SAV Chubb"</formula>
    </cfRule>
    <cfRule type="expression" dxfId="3745" priority="3727">
      <formula>$F94="Réalisation"</formula>
    </cfRule>
    <cfRule type="expression" dxfId="3744" priority="3728">
      <formula>$F94="Désenfumage"</formula>
    </cfRule>
    <cfRule type="expression" dxfId="3743" priority="3729">
      <formula>$F94="Administratif"</formula>
    </cfRule>
  </conditionalFormatting>
  <conditionalFormatting sqref="D94">
    <cfRule type="expression" dxfId="3742" priority="3720">
      <formula>$H94="non"</formula>
    </cfRule>
  </conditionalFormatting>
  <conditionalFormatting sqref="D92">
    <cfRule type="expression" dxfId="3741" priority="3711">
      <formula>$F92="Formation CCF"</formula>
    </cfRule>
    <cfRule type="expression" dxfId="3740" priority="3712">
      <formula>$F92="Direction"</formula>
    </cfRule>
    <cfRule type="expression" dxfId="3739" priority="3713">
      <formula>$F92="Ventes Sicli"</formula>
    </cfRule>
    <cfRule type="expression" dxfId="3738" priority="3714">
      <formula>$F92="Ventes Chubb"</formula>
    </cfRule>
    <cfRule type="expression" dxfId="3737" priority="3715">
      <formula>$F92="SAV Sicli"</formula>
    </cfRule>
    <cfRule type="expression" dxfId="3736" priority="3716">
      <formula>$F92="SAV Chubb"</formula>
    </cfRule>
    <cfRule type="expression" dxfId="3735" priority="3717">
      <formula>$F92="Réalisation"</formula>
    </cfRule>
    <cfRule type="expression" dxfId="3734" priority="3718">
      <formula>$F92="Désenfumage"</formula>
    </cfRule>
    <cfRule type="expression" dxfId="3733" priority="3719">
      <formula>$F92="Administratif"</formula>
    </cfRule>
  </conditionalFormatting>
  <conditionalFormatting sqref="D92">
    <cfRule type="expression" dxfId="3732" priority="3710">
      <formula>$H92="non"</formula>
    </cfRule>
  </conditionalFormatting>
  <conditionalFormatting sqref="D98">
    <cfRule type="expression" dxfId="3731" priority="3701">
      <formula>$F98="Formation CCF"</formula>
    </cfRule>
    <cfRule type="expression" dxfId="3730" priority="3702">
      <formula>$F98="Direction"</formula>
    </cfRule>
    <cfRule type="expression" dxfId="3729" priority="3703">
      <formula>$F98="Ventes Sicli"</formula>
    </cfRule>
    <cfRule type="expression" dxfId="3728" priority="3704">
      <formula>$F98="Ventes Chubb"</formula>
    </cfRule>
    <cfRule type="expression" dxfId="3727" priority="3705">
      <formula>$F98="SAV Sicli"</formula>
    </cfRule>
    <cfRule type="expression" dxfId="3726" priority="3706">
      <formula>$F98="SAV Chubb"</formula>
    </cfRule>
    <cfRule type="expression" dxfId="3725" priority="3707">
      <formula>$F98="Réalisation"</formula>
    </cfRule>
    <cfRule type="expression" dxfId="3724" priority="3708">
      <formula>$F98="Désenfumage"</formula>
    </cfRule>
    <cfRule type="expression" dxfId="3723" priority="3709">
      <formula>$F98="Administratif"</formula>
    </cfRule>
  </conditionalFormatting>
  <conditionalFormatting sqref="D98">
    <cfRule type="expression" dxfId="3722" priority="3700">
      <formula>$H98="non"</formula>
    </cfRule>
  </conditionalFormatting>
  <conditionalFormatting sqref="D97">
    <cfRule type="expression" dxfId="3721" priority="3691">
      <formula>$F97="Formation CCF"</formula>
    </cfRule>
    <cfRule type="expression" dxfId="3720" priority="3692">
      <formula>$F97="Direction"</formula>
    </cfRule>
    <cfRule type="expression" dxfId="3719" priority="3693">
      <formula>$F97="Ventes Sicli"</formula>
    </cfRule>
    <cfRule type="expression" dxfId="3718" priority="3694">
      <formula>$F97="Ventes Chubb"</formula>
    </cfRule>
    <cfRule type="expression" dxfId="3717" priority="3695">
      <formula>$F97="SAV Sicli"</formula>
    </cfRule>
    <cfRule type="expression" dxfId="3716" priority="3696">
      <formula>$F97="SAV Chubb"</formula>
    </cfRule>
    <cfRule type="expression" dxfId="3715" priority="3697">
      <formula>$F97="Réalisation"</formula>
    </cfRule>
    <cfRule type="expression" dxfId="3714" priority="3698">
      <formula>$F97="Désenfumage"</formula>
    </cfRule>
    <cfRule type="expression" dxfId="3713" priority="3699">
      <formula>$F97="Administratif"</formula>
    </cfRule>
  </conditionalFormatting>
  <conditionalFormatting sqref="D97">
    <cfRule type="expression" dxfId="3712" priority="3690">
      <formula>$H97="non"</formula>
    </cfRule>
  </conditionalFormatting>
  <conditionalFormatting sqref="D96">
    <cfRule type="expression" dxfId="3711" priority="3681">
      <formula>$F96="Formation CCF"</formula>
    </cfRule>
    <cfRule type="expression" dxfId="3710" priority="3682">
      <formula>$F96="Direction"</formula>
    </cfRule>
    <cfRule type="expression" dxfId="3709" priority="3683">
      <formula>$F96="Ventes Sicli"</formula>
    </cfRule>
    <cfRule type="expression" dxfId="3708" priority="3684">
      <formula>$F96="Ventes Chubb"</formula>
    </cfRule>
    <cfRule type="expression" dxfId="3707" priority="3685">
      <formula>$F96="SAV Sicli"</formula>
    </cfRule>
    <cfRule type="expression" dxfId="3706" priority="3686">
      <formula>$F96="SAV Chubb"</formula>
    </cfRule>
    <cfRule type="expression" dxfId="3705" priority="3687">
      <formula>$F96="Réalisation"</formula>
    </cfRule>
    <cfRule type="expression" dxfId="3704" priority="3688">
      <formula>$F96="Désenfumage"</formula>
    </cfRule>
    <cfRule type="expression" dxfId="3703" priority="3689">
      <formula>$F96="Administratif"</formula>
    </cfRule>
  </conditionalFormatting>
  <conditionalFormatting sqref="D96">
    <cfRule type="expression" dxfId="3702" priority="3680">
      <formula>$H96="non"</formula>
    </cfRule>
  </conditionalFormatting>
  <conditionalFormatting sqref="D95">
    <cfRule type="expression" dxfId="3701" priority="3671">
      <formula>$F95="Formation CCF"</formula>
    </cfRule>
    <cfRule type="expression" dxfId="3700" priority="3672">
      <formula>$F95="Direction"</formula>
    </cfRule>
    <cfRule type="expression" dxfId="3699" priority="3673">
      <formula>$F95="Ventes Sicli"</formula>
    </cfRule>
    <cfRule type="expression" dxfId="3698" priority="3674">
      <formula>$F95="Ventes Chubb"</formula>
    </cfRule>
    <cfRule type="expression" dxfId="3697" priority="3675">
      <formula>$F95="SAV Sicli"</formula>
    </cfRule>
    <cfRule type="expression" dxfId="3696" priority="3676">
      <formula>$F95="SAV Chubb"</formula>
    </cfRule>
    <cfRule type="expression" dxfId="3695" priority="3677">
      <formula>$F95="Réalisation"</formula>
    </cfRule>
    <cfRule type="expression" dxfId="3694" priority="3678">
      <formula>$F95="Désenfumage"</formula>
    </cfRule>
    <cfRule type="expression" dxfId="3693" priority="3679">
      <formula>$F95="Administratif"</formula>
    </cfRule>
  </conditionalFormatting>
  <conditionalFormatting sqref="D95">
    <cfRule type="expression" dxfId="3692" priority="3670">
      <formula>$H95="non"</formula>
    </cfRule>
  </conditionalFormatting>
  <conditionalFormatting sqref="D94">
    <cfRule type="expression" dxfId="3691" priority="3661">
      <formula>$F94="Formation CCF"</formula>
    </cfRule>
    <cfRule type="expression" dxfId="3690" priority="3662">
      <formula>$F94="Direction"</formula>
    </cfRule>
    <cfRule type="expression" dxfId="3689" priority="3663">
      <formula>$F94="Ventes Sicli"</formula>
    </cfRule>
    <cfRule type="expression" dxfId="3688" priority="3664">
      <formula>$F94="Ventes Chubb"</formula>
    </cfRule>
    <cfRule type="expression" dxfId="3687" priority="3665">
      <formula>$F94="SAV Sicli"</formula>
    </cfRule>
    <cfRule type="expression" dxfId="3686" priority="3666">
      <formula>$F94="SAV Chubb"</formula>
    </cfRule>
    <cfRule type="expression" dxfId="3685" priority="3667">
      <formula>$F94="Réalisation"</formula>
    </cfRule>
    <cfRule type="expression" dxfId="3684" priority="3668">
      <formula>$F94="Désenfumage"</formula>
    </cfRule>
    <cfRule type="expression" dxfId="3683" priority="3669">
      <formula>$F94="Administratif"</formula>
    </cfRule>
  </conditionalFormatting>
  <conditionalFormatting sqref="D94">
    <cfRule type="expression" dxfId="3682" priority="3660">
      <formula>$H94="non"</formula>
    </cfRule>
  </conditionalFormatting>
  <conditionalFormatting sqref="D93">
    <cfRule type="expression" dxfId="3681" priority="3651">
      <formula>$F93="Formation CCF"</formula>
    </cfRule>
    <cfRule type="expression" dxfId="3680" priority="3652">
      <formula>$F93="Direction"</formula>
    </cfRule>
    <cfRule type="expression" dxfId="3679" priority="3653">
      <formula>$F93="Ventes Sicli"</formula>
    </cfRule>
    <cfRule type="expression" dxfId="3678" priority="3654">
      <formula>$F93="Ventes Chubb"</formula>
    </cfRule>
    <cfRule type="expression" dxfId="3677" priority="3655">
      <formula>$F93="SAV Sicli"</formula>
    </cfRule>
    <cfRule type="expression" dxfId="3676" priority="3656">
      <formula>$F93="SAV Chubb"</formula>
    </cfRule>
    <cfRule type="expression" dxfId="3675" priority="3657">
      <formula>$F93="Réalisation"</formula>
    </cfRule>
    <cfRule type="expression" dxfId="3674" priority="3658">
      <formula>$F93="Désenfumage"</formula>
    </cfRule>
    <cfRule type="expression" dxfId="3673" priority="3659">
      <formula>$F93="Administratif"</formula>
    </cfRule>
  </conditionalFormatting>
  <conditionalFormatting sqref="D93">
    <cfRule type="expression" dxfId="3672" priority="3650">
      <formula>$H93="non"</formula>
    </cfRule>
  </conditionalFormatting>
  <conditionalFormatting sqref="D92">
    <cfRule type="expression" dxfId="3671" priority="3641">
      <formula>$F92="Formation CCF"</formula>
    </cfRule>
    <cfRule type="expression" dxfId="3670" priority="3642">
      <formula>$F92="Direction"</formula>
    </cfRule>
    <cfRule type="expression" dxfId="3669" priority="3643">
      <formula>$F92="Ventes Sicli"</formula>
    </cfRule>
    <cfRule type="expression" dxfId="3668" priority="3644">
      <formula>$F92="Ventes Chubb"</formula>
    </cfRule>
    <cfRule type="expression" dxfId="3667" priority="3645">
      <formula>$F92="SAV Sicli"</formula>
    </cfRule>
    <cfRule type="expression" dxfId="3666" priority="3646">
      <formula>$F92="SAV Chubb"</formula>
    </cfRule>
    <cfRule type="expression" dxfId="3665" priority="3647">
      <formula>$F92="Réalisation"</formula>
    </cfRule>
    <cfRule type="expression" dxfId="3664" priority="3648">
      <formula>$F92="Désenfumage"</formula>
    </cfRule>
    <cfRule type="expression" dxfId="3663" priority="3649">
      <formula>$F92="Administratif"</formula>
    </cfRule>
  </conditionalFormatting>
  <conditionalFormatting sqref="D92">
    <cfRule type="expression" dxfId="3662" priority="3640">
      <formula>$H92="non"</formula>
    </cfRule>
  </conditionalFormatting>
  <conditionalFormatting sqref="D91">
    <cfRule type="expression" dxfId="3661" priority="3631">
      <formula>$F91="Formation CCF"</formula>
    </cfRule>
    <cfRule type="expression" dxfId="3660" priority="3632">
      <formula>$F91="Direction"</formula>
    </cfRule>
    <cfRule type="expression" dxfId="3659" priority="3633">
      <formula>$F91="Ventes Sicli"</formula>
    </cfRule>
    <cfRule type="expression" dxfId="3658" priority="3634">
      <formula>$F91="Ventes Chubb"</formula>
    </cfRule>
    <cfRule type="expression" dxfId="3657" priority="3635">
      <formula>$F91="SAV Sicli"</formula>
    </cfRule>
    <cfRule type="expression" dxfId="3656" priority="3636">
      <formula>$F91="SAV Chubb"</formula>
    </cfRule>
    <cfRule type="expression" dxfId="3655" priority="3637">
      <formula>$F91="Réalisation"</formula>
    </cfRule>
    <cfRule type="expression" dxfId="3654" priority="3638">
      <formula>$F91="Désenfumage"</formula>
    </cfRule>
    <cfRule type="expression" dxfId="3653" priority="3639">
      <formula>$F91="Administratif"</formula>
    </cfRule>
  </conditionalFormatting>
  <conditionalFormatting sqref="D91">
    <cfRule type="expression" dxfId="3652" priority="3630">
      <formula>$H91="non"</formula>
    </cfRule>
  </conditionalFormatting>
  <conditionalFormatting sqref="D98">
    <cfRule type="expression" dxfId="3651" priority="3621">
      <formula>$F98="Formation CCF"</formula>
    </cfRule>
    <cfRule type="expression" dxfId="3650" priority="3622">
      <formula>$F98="Direction"</formula>
    </cfRule>
    <cfRule type="expression" dxfId="3649" priority="3623">
      <formula>$F98="Ventes Sicli"</formula>
    </cfRule>
    <cfRule type="expression" dxfId="3648" priority="3624">
      <formula>$F98="Ventes Chubb"</formula>
    </cfRule>
    <cfRule type="expression" dxfId="3647" priority="3625">
      <formula>$F98="SAV Sicli"</formula>
    </cfRule>
    <cfRule type="expression" dxfId="3646" priority="3626">
      <formula>$F98="SAV Chubb"</formula>
    </cfRule>
    <cfRule type="expression" dxfId="3645" priority="3627">
      <formula>$F98="Réalisation"</formula>
    </cfRule>
    <cfRule type="expression" dxfId="3644" priority="3628">
      <formula>$F98="Désenfumage"</formula>
    </cfRule>
    <cfRule type="expression" dxfId="3643" priority="3629">
      <formula>$F98="Administratif"</formula>
    </cfRule>
  </conditionalFormatting>
  <conditionalFormatting sqref="D98">
    <cfRule type="expression" dxfId="3642" priority="3620">
      <formula>$H98="non"</formula>
    </cfRule>
  </conditionalFormatting>
  <conditionalFormatting sqref="D97">
    <cfRule type="expression" dxfId="3641" priority="3611">
      <formula>$F97="Formation CCF"</formula>
    </cfRule>
    <cfRule type="expression" dxfId="3640" priority="3612">
      <formula>$F97="Direction"</formula>
    </cfRule>
    <cfRule type="expression" dxfId="3639" priority="3613">
      <formula>$F97="Ventes Sicli"</formula>
    </cfRule>
    <cfRule type="expression" dxfId="3638" priority="3614">
      <formula>$F97="Ventes Chubb"</formula>
    </cfRule>
    <cfRule type="expression" dxfId="3637" priority="3615">
      <formula>$F97="SAV Sicli"</formula>
    </cfRule>
    <cfRule type="expression" dxfId="3636" priority="3616">
      <formula>$F97="SAV Chubb"</formula>
    </cfRule>
    <cfRule type="expression" dxfId="3635" priority="3617">
      <formula>$F97="Réalisation"</formula>
    </cfRule>
    <cfRule type="expression" dxfId="3634" priority="3618">
      <formula>$F97="Désenfumage"</formula>
    </cfRule>
    <cfRule type="expression" dxfId="3633" priority="3619">
      <formula>$F97="Administratif"</formula>
    </cfRule>
  </conditionalFormatting>
  <conditionalFormatting sqref="D97">
    <cfRule type="expression" dxfId="3632" priority="3610">
      <formula>$H97="non"</formula>
    </cfRule>
  </conditionalFormatting>
  <conditionalFormatting sqref="D96">
    <cfRule type="expression" dxfId="3631" priority="3601">
      <formula>$F96="Formation CCF"</formula>
    </cfRule>
    <cfRule type="expression" dxfId="3630" priority="3602">
      <formula>$F96="Direction"</formula>
    </cfRule>
    <cfRule type="expression" dxfId="3629" priority="3603">
      <formula>$F96="Ventes Sicli"</formula>
    </cfRule>
    <cfRule type="expression" dxfId="3628" priority="3604">
      <formula>$F96="Ventes Chubb"</formula>
    </cfRule>
    <cfRule type="expression" dxfId="3627" priority="3605">
      <formula>$F96="SAV Sicli"</formula>
    </cfRule>
    <cfRule type="expression" dxfId="3626" priority="3606">
      <formula>$F96="SAV Chubb"</formula>
    </cfRule>
    <cfRule type="expression" dxfId="3625" priority="3607">
      <formula>$F96="Réalisation"</formula>
    </cfRule>
    <cfRule type="expression" dxfId="3624" priority="3608">
      <formula>$F96="Désenfumage"</formula>
    </cfRule>
    <cfRule type="expression" dxfId="3623" priority="3609">
      <formula>$F96="Administratif"</formula>
    </cfRule>
  </conditionalFormatting>
  <conditionalFormatting sqref="D96">
    <cfRule type="expression" dxfId="3622" priority="3600">
      <formula>$H96="non"</formula>
    </cfRule>
  </conditionalFormatting>
  <conditionalFormatting sqref="D95">
    <cfRule type="expression" dxfId="3621" priority="3591">
      <formula>$F95="Formation CCF"</formula>
    </cfRule>
    <cfRule type="expression" dxfId="3620" priority="3592">
      <formula>$F95="Direction"</formula>
    </cfRule>
    <cfRule type="expression" dxfId="3619" priority="3593">
      <formula>$F95="Ventes Sicli"</formula>
    </cfRule>
    <cfRule type="expression" dxfId="3618" priority="3594">
      <formula>$F95="Ventes Chubb"</formula>
    </cfRule>
    <cfRule type="expression" dxfId="3617" priority="3595">
      <formula>$F95="SAV Sicli"</formula>
    </cfRule>
    <cfRule type="expression" dxfId="3616" priority="3596">
      <formula>$F95="SAV Chubb"</formula>
    </cfRule>
    <cfRule type="expression" dxfId="3615" priority="3597">
      <formula>$F95="Réalisation"</formula>
    </cfRule>
    <cfRule type="expression" dxfId="3614" priority="3598">
      <formula>$F95="Désenfumage"</formula>
    </cfRule>
    <cfRule type="expression" dxfId="3613" priority="3599">
      <formula>$F95="Administratif"</formula>
    </cfRule>
  </conditionalFormatting>
  <conditionalFormatting sqref="D95">
    <cfRule type="expression" dxfId="3612" priority="3590">
      <formula>$H95="non"</formula>
    </cfRule>
  </conditionalFormatting>
  <conditionalFormatting sqref="D94">
    <cfRule type="expression" dxfId="3611" priority="3581">
      <formula>$F94="Formation CCF"</formula>
    </cfRule>
    <cfRule type="expression" dxfId="3610" priority="3582">
      <formula>$F94="Direction"</formula>
    </cfRule>
    <cfRule type="expression" dxfId="3609" priority="3583">
      <formula>$F94="Ventes Sicli"</formula>
    </cfRule>
    <cfRule type="expression" dxfId="3608" priority="3584">
      <formula>$F94="Ventes Chubb"</formula>
    </cfRule>
    <cfRule type="expression" dxfId="3607" priority="3585">
      <formula>$F94="SAV Sicli"</formula>
    </cfRule>
    <cfRule type="expression" dxfId="3606" priority="3586">
      <formula>$F94="SAV Chubb"</formula>
    </cfRule>
    <cfRule type="expression" dxfId="3605" priority="3587">
      <formula>$F94="Réalisation"</formula>
    </cfRule>
    <cfRule type="expression" dxfId="3604" priority="3588">
      <formula>$F94="Désenfumage"</formula>
    </cfRule>
    <cfRule type="expression" dxfId="3603" priority="3589">
      <formula>$F94="Administratif"</formula>
    </cfRule>
  </conditionalFormatting>
  <conditionalFormatting sqref="D94">
    <cfRule type="expression" dxfId="3602" priority="3580">
      <formula>$H94="non"</formula>
    </cfRule>
  </conditionalFormatting>
  <conditionalFormatting sqref="D93">
    <cfRule type="expression" dxfId="3601" priority="3571">
      <formula>$F93="Formation CCF"</formula>
    </cfRule>
    <cfRule type="expression" dxfId="3600" priority="3572">
      <formula>$F93="Direction"</formula>
    </cfRule>
    <cfRule type="expression" dxfId="3599" priority="3573">
      <formula>$F93="Ventes Sicli"</formula>
    </cfRule>
    <cfRule type="expression" dxfId="3598" priority="3574">
      <formula>$F93="Ventes Chubb"</formula>
    </cfRule>
    <cfRule type="expression" dxfId="3597" priority="3575">
      <formula>$F93="SAV Sicli"</formula>
    </cfRule>
    <cfRule type="expression" dxfId="3596" priority="3576">
      <formula>$F93="SAV Chubb"</formula>
    </cfRule>
    <cfRule type="expression" dxfId="3595" priority="3577">
      <formula>$F93="Réalisation"</formula>
    </cfRule>
    <cfRule type="expression" dxfId="3594" priority="3578">
      <formula>$F93="Désenfumage"</formula>
    </cfRule>
    <cfRule type="expression" dxfId="3593" priority="3579">
      <formula>$F93="Administratif"</formula>
    </cfRule>
  </conditionalFormatting>
  <conditionalFormatting sqref="D93">
    <cfRule type="expression" dxfId="3592" priority="3570">
      <formula>$H93="non"</formula>
    </cfRule>
  </conditionalFormatting>
  <conditionalFormatting sqref="D92">
    <cfRule type="expression" dxfId="3591" priority="3561">
      <formula>$F92="Formation CCF"</formula>
    </cfRule>
    <cfRule type="expression" dxfId="3590" priority="3562">
      <formula>$F92="Direction"</formula>
    </cfRule>
    <cfRule type="expression" dxfId="3589" priority="3563">
      <formula>$F92="Ventes Sicli"</formula>
    </cfRule>
    <cfRule type="expression" dxfId="3588" priority="3564">
      <formula>$F92="Ventes Chubb"</formula>
    </cfRule>
    <cfRule type="expression" dxfId="3587" priority="3565">
      <formula>$F92="SAV Sicli"</formula>
    </cfRule>
    <cfRule type="expression" dxfId="3586" priority="3566">
      <formula>$F92="SAV Chubb"</formula>
    </cfRule>
    <cfRule type="expression" dxfId="3585" priority="3567">
      <formula>$F92="Réalisation"</formula>
    </cfRule>
    <cfRule type="expression" dxfId="3584" priority="3568">
      <formula>$F92="Désenfumage"</formula>
    </cfRule>
    <cfRule type="expression" dxfId="3583" priority="3569">
      <formula>$F92="Administratif"</formula>
    </cfRule>
  </conditionalFormatting>
  <conditionalFormatting sqref="D92">
    <cfRule type="expression" dxfId="3582" priority="3560">
      <formula>$H92="non"</formula>
    </cfRule>
  </conditionalFormatting>
  <conditionalFormatting sqref="D91">
    <cfRule type="expression" dxfId="3581" priority="3551">
      <formula>$F91="Formation CCF"</formula>
    </cfRule>
    <cfRule type="expression" dxfId="3580" priority="3552">
      <formula>$F91="Direction"</formula>
    </cfRule>
    <cfRule type="expression" dxfId="3579" priority="3553">
      <formula>$F91="Ventes Sicli"</formula>
    </cfRule>
    <cfRule type="expression" dxfId="3578" priority="3554">
      <formula>$F91="Ventes Chubb"</formula>
    </cfRule>
    <cfRule type="expression" dxfId="3577" priority="3555">
      <formula>$F91="SAV Sicli"</formula>
    </cfRule>
    <cfRule type="expression" dxfId="3576" priority="3556">
      <formula>$F91="SAV Chubb"</formula>
    </cfRule>
    <cfRule type="expression" dxfId="3575" priority="3557">
      <formula>$F91="Réalisation"</formula>
    </cfRule>
    <cfRule type="expression" dxfId="3574" priority="3558">
      <formula>$F91="Désenfumage"</formula>
    </cfRule>
    <cfRule type="expression" dxfId="3573" priority="3559">
      <formula>$F91="Administratif"</formula>
    </cfRule>
  </conditionalFormatting>
  <conditionalFormatting sqref="D91">
    <cfRule type="expression" dxfId="3572" priority="3550">
      <formula>$H91="non"</formula>
    </cfRule>
  </conditionalFormatting>
  <conditionalFormatting sqref="D98">
    <cfRule type="expression" dxfId="3571" priority="3541">
      <formula>$F98="Formation CCF"</formula>
    </cfRule>
    <cfRule type="expression" dxfId="3570" priority="3542">
      <formula>$F98="Direction"</formula>
    </cfRule>
    <cfRule type="expression" dxfId="3569" priority="3543">
      <formula>$F98="Ventes Sicli"</formula>
    </cfRule>
    <cfRule type="expression" dxfId="3568" priority="3544">
      <formula>$F98="Ventes Chubb"</formula>
    </cfRule>
    <cfRule type="expression" dxfId="3567" priority="3545">
      <formula>$F98="SAV Sicli"</formula>
    </cfRule>
    <cfRule type="expression" dxfId="3566" priority="3546">
      <formula>$F98="SAV Chubb"</formula>
    </cfRule>
    <cfRule type="expression" dxfId="3565" priority="3547">
      <formula>$F98="Réalisation"</formula>
    </cfRule>
    <cfRule type="expression" dxfId="3564" priority="3548">
      <formula>$F98="Désenfumage"</formula>
    </cfRule>
    <cfRule type="expression" dxfId="3563" priority="3549">
      <formula>$F98="Administratif"</formula>
    </cfRule>
  </conditionalFormatting>
  <conditionalFormatting sqref="D98">
    <cfRule type="expression" dxfId="3562" priority="3540">
      <formula>$H98="non"</formula>
    </cfRule>
  </conditionalFormatting>
  <conditionalFormatting sqref="D97">
    <cfRule type="expression" dxfId="3561" priority="3531">
      <formula>$F97="Formation CCF"</formula>
    </cfRule>
    <cfRule type="expression" dxfId="3560" priority="3532">
      <formula>$F97="Direction"</formula>
    </cfRule>
    <cfRule type="expression" dxfId="3559" priority="3533">
      <formula>$F97="Ventes Sicli"</formula>
    </cfRule>
    <cfRule type="expression" dxfId="3558" priority="3534">
      <formula>$F97="Ventes Chubb"</formula>
    </cfRule>
    <cfRule type="expression" dxfId="3557" priority="3535">
      <formula>$F97="SAV Sicli"</formula>
    </cfRule>
    <cfRule type="expression" dxfId="3556" priority="3536">
      <formula>$F97="SAV Chubb"</formula>
    </cfRule>
    <cfRule type="expression" dxfId="3555" priority="3537">
      <formula>$F97="Réalisation"</formula>
    </cfRule>
    <cfRule type="expression" dxfId="3554" priority="3538">
      <formula>$F97="Désenfumage"</formula>
    </cfRule>
    <cfRule type="expression" dxfId="3553" priority="3539">
      <formula>$F97="Administratif"</formula>
    </cfRule>
  </conditionalFormatting>
  <conditionalFormatting sqref="D97">
    <cfRule type="expression" dxfId="3552" priority="3530">
      <formula>$H97="non"</formula>
    </cfRule>
  </conditionalFormatting>
  <conditionalFormatting sqref="D96">
    <cfRule type="expression" dxfId="3551" priority="3521">
      <formula>$F96="Formation CCF"</formula>
    </cfRule>
    <cfRule type="expression" dxfId="3550" priority="3522">
      <formula>$F96="Direction"</formula>
    </cfRule>
    <cfRule type="expression" dxfId="3549" priority="3523">
      <formula>$F96="Ventes Sicli"</formula>
    </cfRule>
    <cfRule type="expression" dxfId="3548" priority="3524">
      <formula>$F96="Ventes Chubb"</formula>
    </cfRule>
    <cfRule type="expression" dxfId="3547" priority="3525">
      <formula>$F96="SAV Sicli"</formula>
    </cfRule>
    <cfRule type="expression" dxfId="3546" priority="3526">
      <formula>$F96="SAV Chubb"</formula>
    </cfRule>
    <cfRule type="expression" dxfId="3545" priority="3527">
      <formula>$F96="Réalisation"</formula>
    </cfRule>
    <cfRule type="expression" dxfId="3544" priority="3528">
      <formula>$F96="Désenfumage"</formula>
    </cfRule>
    <cfRule type="expression" dxfId="3543" priority="3529">
      <formula>$F96="Administratif"</formula>
    </cfRule>
  </conditionalFormatting>
  <conditionalFormatting sqref="D96">
    <cfRule type="expression" dxfId="3542" priority="3520">
      <formula>$H96="non"</formula>
    </cfRule>
  </conditionalFormatting>
  <conditionalFormatting sqref="D95">
    <cfRule type="expression" dxfId="3541" priority="3511">
      <formula>$F95="Formation CCF"</formula>
    </cfRule>
    <cfRule type="expression" dxfId="3540" priority="3512">
      <formula>$F95="Direction"</formula>
    </cfRule>
    <cfRule type="expression" dxfId="3539" priority="3513">
      <formula>$F95="Ventes Sicli"</formula>
    </cfRule>
    <cfRule type="expression" dxfId="3538" priority="3514">
      <formula>$F95="Ventes Chubb"</formula>
    </cfRule>
    <cfRule type="expression" dxfId="3537" priority="3515">
      <formula>$F95="SAV Sicli"</formula>
    </cfRule>
    <cfRule type="expression" dxfId="3536" priority="3516">
      <formula>$F95="SAV Chubb"</formula>
    </cfRule>
    <cfRule type="expression" dxfId="3535" priority="3517">
      <formula>$F95="Réalisation"</formula>
    </cfRule>
    <cfRule type="expression" dxfId="3534" priority="3518">
      <formula>$F95="Désenfumage"</formula>
    </cfRule>
    <cfRule type="expression" dxfId="3533" priority="3519">
      <formula>$F95="Administratif"</formula>
    </cfRule>
  </conditionalFormatting>
  <conditionalFormatting sqref="D95">
    <cfRule type="expression" dxfId="3532" priority="3510">
      <formula>$H95="non"</formula>
    </cfRule>
  </conditionalFormatting>
  <conditionalFormatting sqref="D94">
    <cfRule type="expression" dxfId="3531" priority="3501">
      <formula>$F94="Formation CCF"</formula>
    </cfRule>
    <cfRule type="expression" dxfId="3530" priority="3502">
      <formula>$F94="Direction"</formula>
    </cfRule>
    <cfRule type="expression" dxfId="3529" priority="3503">
      <formula>$F94="Ventes Sicli"</formula>
    </cfRule>
    <cfRule type="expression" dxfId="3528" priority="3504">
      <formula>$F94="Ventes Chubb"</formula>
    </cfRule>
    <cfRule type="expression" dxfId="3527" priority="3505">
      <formula>$F94="SAV Sicli"</formula>
    </cfRule>
    <cfRule type="expression" dxfId="3526" priority="3506">
      <formula>$F94="SAV Chubb"</formula>
    </cfRule>
    <cfRule type="expression" dxfId="3525" priority="3507">
      <formula>$F94="Réalisation"</formula>
    </cfRule>
    <cfRule type="expression" dxfId="3524" priority="3508">
      <formula>$F94="Désenfumage"</formula>
    </cfRule>
    <cfRule type="expression" dxfId="3523" priority="3509">
      <formula>$F94="Administratif"</formula>
    </cfRule>
  </conditionalFormatting>
  <conditionalFormatting sqref="D94">
    <cfRule type="expression" dxfId="3522" priority="3500">
      <formula>$H94="non"</formula>
    </cfRule>
  </conditionalFormatting>
  <conditionalFormatting sqref="D93">
    <cfRule type="expression" dxfId="3521" priority="3491">
      <formula>$F93="Formation CCF"</formula>
    </cfRule>
    <cfRule type="expression" dxfId="3520" priority="3492">
      <formula>$F93="Direction"</formula>
    </cfRule>
    <cfRule type="expression" dxfId="3519" priority="3493">
      <formula>$F93="Ventes Sicli"</formula>
    </cfRule>
    <cfRule type="expression" dxfId="3518" priority="3494">
      <formula>$F93="Ventes Chubb"</formula>
    </cfRule>
    <cfRule type="expression" dxfId="3517" priority="3495">
      <formula>$F93="SAV Sicli"</formula>
    </cfRule>
    <cfRule type="expression" dxfId="3516" priority="3496">
      <formula>$F93="SAV Chubb"</formula>
    </cfRule>
    <cfRule type="expression" dxfId="3515" priority="3497">
      <formula>$F93="Réalisation"</formula>
    </cfRule>
    <cfRule type="expression" dxfId="3514" priority="3498">
      <formula>$F93="Désenfumage"</formula>
    </cfRule>
    <cfRule type="expression" dxfId="3513" priority="3499">
      <formula>$F93="Administratif"</formula>
    </cfRule>
  </conditionalFormatting>
  <conditionalFormatting sqref="D93">
    <cfRule type="expression" dxfId="3512" priority="3490">
      <formula>$H93="non"</formula>
    </cfRule>
  </conditionalFormatting>
  <conditionalFormatting sqref="D92">
    <cfRule type="expression" dxfId="3511" priority="3481">
      <formula>$F92="Formation CCF"</formula>
    </cfRule>
    <cfRule type="expression" dxfId="3510" priority="3482">
      <formula>$F92="Direction"</formula>
    </cfRule>
    <cfRule type="expression" dxfId="3509" priority="3483">
      <formula>$F92="Ventes Sicli"</formula>
    </cfRule>
    <cfRule type="expression" dxfId="3508" priority="3484">
      <formula>$F92="Ventes Chubb"</formula>
    </cfRule>
    <cfRule type="expression" dxfId="3507" priority="3485">
      <formula>$F92="SAV Sicli"</formula>
    </cfRule>
    <cfRule type="expression" dxfId="3506" priority="3486">
      <formula>$F92="SAV Chubb"</formula>
    </cfRule>
    <cfRule type="expression" dxfId="3505" priority="3487">
      <formula>$F92="Réalisation"</formula>
    </cfRule>
    <cfRule type="expression" dxfId="3504" priority="3488">
      <formula>$F92="Désenfumage"</formula>
    </cfRule>
    <cfRule type="expression" dxfId="3503" priority="3489">
      <formula>$F92="Administratif"</formula>
    </cfRule>
  </conditionalFormatting>
  <conditionalFormatting sqref="D92">
    <cfRule type="expression" dxfId="3502" priority="3480">
      <formula>$H92="non"</formula>
    </cfRule>
  </conditionalFormatting>
  <conditionalFormatting sqref="D91">
    <cfRule type="expression" dxfId="3501" priority="3471">
      <formula>$F91="Formation CCF"</formula>
    </cfRule>
    <cfRule type="expression" dxfId="3500" priority="3472">
      <formula>$F91="Direction"</formula>
    </cfRule>
    <cfRule type="expression" dxfId="3499" priority="3473">
      <formula>$F91="Ventes Sicli"</formula>
    </cfRule>
    <cfRule type="expression" dxfId="3498" priority="3474">
      <formula>$F91="Ventes Chubb"</formula>
    </cfRule>
    <cfRule type="expression" dxfId="3497" priority="3475">
      <formula>$F91="SAV Sicli"</formula>
    </cfRule>
    <cfRule type="expression" dxfId="3496" priority="3476">
      <formula>$F91="SAV Chubb"</formula>
    </cfRule>
    <cfRule type="expression" dxfId="3495" priority="3477">
      <formula>$F91="Réalisation"</formula>
    </cfRule>
    <cfRule type="expression" dxfId="3494" priority="3478">
      <formula>$F91="Désenfumage"</formula>
    </cfRule>
    <cfRule type="expression" dxfId="3493" priority="3479">
      <formula>$F91="Administratif"</formula>
    </cfRule>
  </conditionalFormatting>
  <conditionalFormatting sqref="D91">
    <cfRule type="expression" dxfId="3492" priority="3470">
      <formula>$H91="non"</formula>
    </cfRule>
  </conditionalFormatting>
  <conditionalFormatting sqref="D97">
    <cfRule type="expression" dxfId="3491" priority="3461">
      <formula>$F97="Formation CCF"</formula>
    </cfRule>
    <cfRule type="expression" dxfId="3490" priority="3462">
      <formula>$F97="Direction"</formula>
    </cfRule>
    <cfRule type="expression" dxfId="3489" priority="3463">
      <formula>$F97="Ventes Sicli"</formula>
    </cfRule>
    <cfRule type="expression" dxfId="3488" priority="3464">
      <formula>$F97="Ventes Chubb"</formula>
    </cfRule>
    <cfRule type="expression" dxfId="3487" priority="3465">
      <formula>$F97="SAV Sicli"</formula>
    </cfRule>
    <cfRule type="expression" dxfId="3486" priority="3466">
      <formula>$F97="SAV Chubb"</formula>
    </cfRule>
    <cfRule type="expression" dxfId="3485" priority="3467">
      <formula>$F97="Réalisation"</formula>
    </cfRule>
    <cfRule type="expression" dxfId="3484" priority="3468">
      <formula>$F97="Désenfumage"</formula>
    </cfRule>
    <cfRule type="expression" dxfId="3483" priority="3469">
      <formula>$F97="Administratif"</formula>
    </cfRule>
  </conditionalFormatting>
  <conditionalFormatting sqref="D97">
    <cfRule type="expression" dxfId="3482" priority="3460">
      <formula>$H97="non"</formula>
    </cfRule>
  </conditionalFormatting>
  <conditionalFormatting sqref="D96">
    <cfRule type="expression" dxfId="3481" priority="3451">
      <formula>$F96="Formation CCF"</formula>
    </cfRule>
    <cfRule type="expression" dxfId="3480" priority="3452">
      <formula>$F96="Direction"</formula>
    </cfRule>
    <cfRule type="expression" dxfId="3479" priority="3453">
      <formula>$F96="Ventes Sicli"</formula>
    </cfRule>
    <cfRule type="expression" dxfId="3478" priority="3454">
      <formula>$F96="Ventes Chubb"</formula>
    </cfRule>
    <cfRule type="expression" dxfId="3477" priority="3455">
      <formula>$F96="SAV Sicli"</formula>
    </cfRule>
    <cfRule type="expression" dxfId="3476" priority="3456">
      <formula>$F96="SAV Chubb"</formula>
    </cfRule>
    <cfRule type="expression" dxfId="3475" priority="3457">
      <formula>$F96="Réalisation"</formula>
    </cfRule>
    <cfRule type="expression" dxfId="3474" priority="3458">
      <formula>$F96="Désenfumage"</formula>
    </cfRule>
    <cfRule type="expression" dxfId="3473" priority="3459">
      <formula>$F96="Administratif"</formula>
    </cfRule>
  </conditionalFormatting>
  <conditionalFormatting sqref="D96">
    <cfRule type="expression" dxfId="3472" priority="3450">
      <formula>$H96="non"</formula>
    </cfRule>
  </conditionalFormatting>
  <conditionalFormatting sqref="D95">
    <cfRule type="expression" dxfId="3471" priority="3441">
      <formula>$F95="Formation CCF"</formula>
    </cfRule>
    <cfRule type="expression" dxfId="3470" priority="3442">
      <formula>$F95="Direction"</formula>
    </cfRule>
    <cfRule type="expression" dxfId="3469" priority="3443">
      <formula>$F95="Ventes Sicli"</formula>
    </cfRule>
    <cfRule type="expression" dxfId="3468" priority="3444">
      <formula>$F95="Ventes Chubb"</formula>
    </cfRule>
    <cfRule type="expression" dxfId="3467" priority="3445">
      <formula>$F95="SAV Sicli"</formula>
    </cfRule>
    <cfRule type="expression" dxfId="3466" priority="3446">
      <formula>$F95="SAV Chubb"</formula>
    </cfRule>
    <cfRule type="expression" dxfId="3465" priority="3447">
      <formula>$F95="Réalisation"</formula>
    </cfRule>
    <cfRule type="expression" dxfId="3464" priority="3448">
      <formula>$F95="Désenfumage"</formula>
    </cfRule>
    <cfRule type="expression" dxfId="3463" priority="3449">
      <formula>$F95="Administratif"</formula>
    </cfRule>
  </conditionalFormatting>
  <conditionalFormatting sqref="D95">
    <cfRule type="expression" dxfId="3462" priority="3440">
      <formula>$H95="non"</formula>
    </cfRule>
  </conditionalFormatting>
  <conditionalFormatting sqref="D93">
    <cfRule type="expression" dxfId="3461" priority="3431">
      <formula>$F93="Formation CCF"</formula>
    </cfRule>
    <cfRule type="expression" dxfId="3460" priority="3432">
      <formula>$F93="Direction"</formula>
    </cfRule>
    <cfRule type="expression" dxfId="3459" priority="3433">
      <formula>$F93="Ventes Sicli"</formula>
    </cfRule>
    <cfRule type="expression" dxfId="3458" priority="3434">
      <formula>$F93="Ventes Chubb"</formula>
    </cfRule>
    <cfRule type="expression" dxfId="3457" priority="3435">
      <formula>$F93="SAV Sicli"</formula>
    </cfRule>
    <cfRule type="expression" dxfId="3456" priority="3436">
      <formula>$F93="SAV Chubb"</formula>
    </cfRule>
    <cfRule type="expression" dxfId="3455" priority="3437">
      <formula>$F93="Réalisation"</formula>
    </cfRule>
    <cfRule type="expression" dxfId="3454" priority="3438">
      <formula>$F93="Désenfumage"</formula>
    </cfRule>
    <cfRule type="expression" dxfId="3453" priority="3439">
      <formula>$F93="Administratif"</formula>
    </cfRule>
  </conditionalFormatting>
  <conditionalFormatting sqref="D93">
    <cfRule type="expression" dxfId="3452" priority="3430">
      <formula>$H93="non"</formula>
    </cfRule>
  </conditionalFormatting>
  <conditionalFormatting sqref="D92">
    <cfRule type="expression" dxfId="3451" priority="3421">
      <formula>$F92="Formation CCF"</formula>
    </cfRule>
    <cfRule type="expression" dxfId="3450" priority="3422">
      <formula>$F92="Direction"</formula>
    </cfRule>
    <cfRule type="expression" dxfId="3449" priority="3423">
      <formula>$F92="Ventes Sicli"</formula>
    </cfRule>
    <cfRule type="expression" dxfId="3448" priority="3424">
      <formula>$F92="Ventes Chubb"</formula>
    </cfRule>
    <cfRule type="expression" dxfId="3447" priority="3425">
      <formula>$F92="SAV Sicli"</formula>
    </cfRule>
    <cfRule type="expression" dxfId="3446" priority="3426">
      <formula>$F92="SAV Chubb"</formula>
    </cfRule>
    <cfRule type="expression" dxfId="3445" priority="3427">
      <formula>$F92="Réalisation"</formula>
    </cfRule>
    <cfRule type="expression" dxfId="3444" priority="3428">
      <formula>$F92="Désenfumage"</formula>
    </cfRule>
    <cfRule type="expression" dxfId="3443" priority="3429">
      <formula>$F92="Administratif"</formula>
    </cfRule>
  </conditionalFormatting>
  <conditionalFormatting sqref="D92">
    <cfRule type="expression" dxfId="3442" priority="3420">
      <formula>$H92="non"</formula>
    </cfRule>
  </conditionalFormatting>
  <conditionalFormatting sqref="D91">
    <cfRule type="expression" dxfId="3441" priority="3411">
      <formula>$F91="Formation CCF"</formula>
    </cfRule>
    <cfRule type="expression" dxfId="3440" priority="3412">
      <formula>$F91="Direction"</formula>
    </cfRule>
    <cfRule type="expression" dxfId="3439" priority="3413">
      <formula>$F91="Ventes Sicli"</formula>
    </cfRule>
    <cfRule type="expression" dxfId="3438" priority="3414">
      <formula>$F91="Ventes Chubb"</formula>
    </cfRule>
    <cfRule type="expression" dxfId="3437" priority="3415">
      <formula>$F91="SAV Sicli"</formula>
    </cfRule>
    <cfRule type="expression" dxfId="3436" priority="3416">
      <formula>$F91="SAV Chubb"</formula>
    </cfRule>
    <cfRule type="expression" dxfId="3435" priority="3417">
      <formula>$F91="Réalisation"</formula>
    </cfRule>
    <cfRule type="expression" dxfId="3434" priority="3418">
      <formula>$F91="Désenfumage"</formula>
    </cfRule>
    <cfRule type="expression" dxfId="3433" priority="3419">
      <formula>$F91="Administratif"</formula>
    </cfRule>
  </conditionalFormatting>
  <conditionalFormatting sqref="D91">
    <cfRule type="expression" dxfId="3432" priority="3410">
      <formula>$H91="non"</formula>
    </cfRule>
  </conditionalFormatting>
  <conditionalFormatting sqref="D98">
    <cfRule type="expression" dxfId="3431" priority="3401">
      <formula>$F98="Formation CCF"</formula>
    </cfRule>
    <cfRule type="expression" dxfId="3430" priority="3402">
      <formula>$F98="Direction"</formula>
    </cfRule>
    <cfRule type="expression" dxfId="3429" priority="3403">
      <formula>$F98="Ventes Sicli"</formula>
    </cfRule>
    <cfRule type="expression" dxfId="3428" priority="3404">
      <formula>$F98="Ventes Chubb"</formula>
    </cfRule>
    <cfRule type="expression" dxfId="3427" priority="3405">
      <formula>$F98="SAV Sicli"</formula>
    </cfRule>
    <cfRule type="expression" dxfId="3426" priority="3406">
      <formula>$F98="SAV Chubb"</formula>
    </cfRule>
    <cfRule type="expression" dxfId="3425" priority="3407">
      <formula>$F98="Réalisation"</formula>
    </cfRule>
    <cfRule type="expression" dxfId="3424" priority="3408">
      <formula>$F98="Désenfumage"</formula>
    </cfRule>
    <cfRule type="expression" dxfId="3423" priority="3409">
      <formula>$F98="Administratif"</formula>
    </cfRule>
  </conditionalFormatting>
  <conditionalFormatting sqref="D98">
    <cfRule type="expression" dxfId="3422" priority="3400">
      <formula>$H98="non"</formula>
    </cfRule>
  </conditionalFormatting>
  <conditionalFormatting sqref="D97">
    <cfRule type="expression" dxfId="3421" priority="3391">
      <formula>$F97="Formation CCF"</formula>
    </cfRule>
    <cfRule type="expression" dxfId="3420" priority="3392">
      <formula>$F97="Direction"</formula>
    </cfRule>
    <cfRule type="expression" dxfId="3419" priority="3393">
      <formula>$F97="Ventes Sicli"</formula>
    </cfRule>
    <cfRule type="expression" dxfId="3418" priority="3394">
      <formula>$F97="Ventes Chubb"</formula>
    </cfRule>
    <cfRule type="expression" dxfId="3417" priority="3395">
      <formula>$F97="SAV Sicli"</formula>
    </cfRule>
    <cfRule type="expression" dxfId="3416" priority="3396">
      <formula>$F97="SAV Chubb"</formula>
    </cfRule>
    <cfRule type="expression" dxfId="3415" priority="3397">
      <formula>$F97="Réalisation"</formula>
    </cfRule>
    <cfRule type="expression" dxfId="3414" priority="3398">
      <formula>$F97="Désenfumage"</formula>
    </cfRule>
    <cfRule type="expression" dxfId="3413" priority="3399">
      <formula>$F97="Administratif"</formula>
    </cfRule>
  </conditionalFormatting>
  <conditionalFormatting sqref="D97">
    <cfRule type="expression" dxfId="3412" priority="3390">
      <formula>$H97="non"</formula>
    </cfRule>
  </conditionalFormatting>
  <conditionalFormatting sqref="D96">
    <cfRule type="expression" dxfId="3411" priority="3381">
      <formula>$F96="Formation CCF"</formula>
    </cfRule>
    <cfRule type="expression" dxfId="3410" priority="3382">
      <formula>$F96="Direction"</formula>
    </cfRule>
    <cfRule type="expression" dxfId="3409" priority="3383">
      <formula>$F96="Ventes Sicli"</formula>
    </cfRule>
    <cfRule type="expression" dxfId="3408" priority="3384">
      <formula>$F96="Ventes Chubb"</formula>
    </cfRule>
    <cfRule type="expression" dxfId="3407" priority="3385">
      <formula>$F96="SAV Sicli"</formula>
    </cfRule>
    <cfRule type="expression" dxfId="3406" priority="3386">
      <formula>$F96="SAV Chubb"</formula>
    </cfRule>
    <cfRule type="expression" dxfId="3405" priority="3387">
      <formula>$F96="Réalisation"</formula>
    </cfRule>
    <cfRule type="expression" dxfId="3404" priority="3388">
      <formula>$F96="Désenfumage"</formula>
    </cfRule>
    <cfRule type="expression" dxfId="3403" priority="3389">
      <formula>$F96="Administratif"</formula>
    </cfRule>
  </conditionalFormatting>
  <conditionalFormatting sqref="D96">
    <cfRule type="expression" dxfId="3402" priority="3380">
      <formula>$H96="non"</formula>
    </cfRule>
  </conditionalFormatting>
  <conditionalFormatting sqref="D95">
    <cfRule type="expression" dxfId="3401" priority="3371">
      <formula>$F95="Formation CCF"</formula>
    </cfRule>
    <cfRule type="expression" dxfId="3400" priority="3372">
      <formula>$F95="Direction"</formula>
    </cfRule>
    <cfRule type="expression" dxfId="3399" priority="3373">
      <formula>$F95="Ventes Sicli"</formula>
    </cfRule>
    <cfRule type="expression" dxfId="3398" priority="3374">
      <formula>$F95="Ventes Chubb"</formula>
    </cfRule>
    <cfRule type="expression" dxfId="3397" priority="3375">
      <formula>$F95="SAV Sicli"</formula>
    </cfRule>
    <cfRule type="expression" dxfId="3396" priority="3376">
      <formula>$F95="SAV Chubb"</formula>
    </cfRule>
    <cfRule type="expression" dxfId="3395" priority="3377">
      <formula>$F95="Réalisation"</formula>
    </cfRule>
    <cfRule type="expression" dxfId="3394" priority="3378">
      <formula>$F95="Désenfumage"</formula>
    </cfRule>
    <cfRule type="expression" dxfId="3393" priority="3379">
      <formula>$F95="Administratif"</formula>
    </cfRule>
  </conditionalFormatting>
  <conditionalFormatting sqref="D95">
    <cfRule type="expression" dxfId="3392" priority="3370">
      <formula>$H95="non"</formula>
    </cfRule>
  </conditionalFormatting>
  <conditionalFormatting sqref="D94">
    <cfRule type="expression" dxfId="3391" priority="3361">
      <formula>$F94="Formation CCF"</formula>
    </cfRule>
    <cfRule type="expression" dxfId="3390" priority="3362">
      <formula>$F94="Direction"</formula>
    </cfRule>
    <cfRule type="expression" dxfId="3389" priority="3363">
      <formula>$F94="Ventes Sicli"</formula>
    </cfRule>
    <cfRule type="expression" dxfId="3388" priority="3364">
      <formula>$F94="Ventes Chubb"</formula>
    </cfRule>
    <cfRule type="expression" dxfId="3387" priority="3365">
      <formula>$F94="SAV Sicli"</formula>
    </cfRule>
    <cfRule type="expression" dxfId="3386" priority="3366">
      <formula>$F94="SAV Chubb"</formula>
    </cfRule>
    <cfRule type="expression" dxfId="3385" priority="3367">
      <formula>$F94="Réalisation"</formula>
    </cfRule>
    <cfRule type="expression" dxfId="3384" priority="3368">
      <formula>$F94="Désenfumage"</formula>
    </cfRule>
    <cfRule type="expression" dxfId="3383" priority="3369">
      <formula>$F94="Administratif"</formula>
    </cfRule>
  </conditionalFormatting>
  <conditionalFormatting sqref="D94">
    <cfRule type="expression" dxfId="3382" priority="3360">
      <formula>$H94="non"</formula>
    </cfRule>
  </conditionalFormatting>
  <conditionalFormatting sqref="D93">
    <cfRule type="expression" dxfId="3381" priority="3351">
      <formula>$F93="Formation CCF"</formula>
    </cfRule>
    <cfRule type="expression" dxfId="3380" priority="3352">
      <formula>$F93="Direction"</formula>
    </cfRule>
    <cfRule type="expression" dxfId="3379" priority="3353">
      <formula>$F93="Ventes Sicli"</formula>
    </cfRule>
    <cfRule type="expression" dxfId="3378" priority="3354">
      <formula>$F93="Ventes Chubb"</formula>
    </cfRule>
    <cfRule type="expression" dxfId="3377" priority="3355">
      <formula>$F93="SAV Sicli"</formula>
    </cfRule>
    <cfRule type="expression" dxfId="3376" priority="3356">
      <formula>$F93="SAV Chubb"</formula>
    </cfRule>
    <cfRule type="expression" dxfId="3375" priority="3357">
      <formula>$F93="Réalisation"</formula>
    </cfRule>
    <cfRule type="expression" dxfId="3374" priority="3358">
      <formula>$F93="Désenfumage"</formula>
    </cfRule>
    <cfRule type="expression" dxfId="3373" priority="3359">
      <formula>$F93="Administratif"</formula>
    </cfRule>
  </conditionalFormatting>
  <conditionalFormatting sqref="D93">
    <cfRule type="expression" dxfId="3372" priority="3350">
      <formula>$H93="non"</formula>
    </cfRule>
  </conditionalFormatting>
  <conditionalFormatting sqref="D92">
    <cfRule type="expression" dxfId="3371" priority="3341">
      <formula>$F92="Formation CCF"</formula>
    </cfRule>
    <cfRule type="expression" dxfId="3370" priority="3342">
      <formula>$F92="Direction"</formula>
    </cfRule>
    <cfRule type="expression" dxfId="3369" priority="3343">
      <formula>$F92="Ventes Sicli"</formula>
    </cfRule>
    <cfRule type="expression" dxfId="3368" priority="3344">
      <formula>$F92="Ventes Chubb"</formula>
    </cfRule>
    <cfRule type="expression" dxfId="3367" priority="3345">
      <formula>$F92="SAV Sicli"</formula>
    </cfRule>
    <cfRule type="expression" dxfId="3366" priority="3346">
      <formula>$F92="SAV Chubb"</formula>
    </cfRule>
    <cfRule type="expression" dxfId="3365" priority="3347">
      <formula>$F92="Réalisation"</formula>
    </cfRule>
    <cfRule type="expression" dxfId="3364" priority="3348">
      <formula>$F92="Désenfumage"</formula>
    </cfRule>
    <cfRule type="expression" dxfId="3363" priority="3349">
      <formula>$F92="Administratif"</formula>
    </cfRule>
  </conditionalFormatting>
  <conditionalFormatting sqref="D92">
    <cfRule type="expression" dxfId="3362" priority="3340">
      <formula>$H92="non"</formula>
    </cfRule>
  </conditionalFormatting>
  <conditionalFormatting sqref="D91">
    <cfRule type="expression" dxfId="3361" priority="3331">
      <formula>$F91="Formation CCF"</formula>
    </cfRule>
    <cfRule type="expression" dxfId="3360" priority="3332">
      <formula>$F91="Direction"</formula>
    </cfRule>
    <cfRule type="expression" dxfId="3359" priority="3333">
      <formula>$F91="Ventes Sicli"</formula>
    </cfRule>
    <cfRule type="expression" dxfId="3358" priority="3334">
      <formula>$F91="Ventes Chubb"</formula>
    </cfRule>
    <cfRule type="expression" dxfId="3357" priority="3335">
      <formula>$F91="SAV Sicli"</formula>
    </cfRule>
    <cfRule type="expression" dxfId="3356" priority="3336">
      <formula>$F91="SAV Chubb"</formula>
    </cfRule>
    <cfRule type="expression" dxfId="3355" priority="3337">
      <formula>$F91="Réalisation"</formula>
    </cfRule>
    <cfRule type="expression" dxfId="3354" priority="3338">
      <formula>$F91="Désenfumage"</formula>
    </cfRule>
    <cfRule type="expression" dxfId="3353" priority="3339">
      <formula>$F91="Administratif"</formula>
    </cfRule>
  </conditionalFormatting>
  <conditionalFormatting sqref="D91">
    <cfRule type="expression" dxfId="3352" priority="3330">
      <formula>$H91="non"</formula>
    </cfRule>
  </conditionalFormatting>
  <conditionalFormatting sqref="D97">
    <cfRule type="expression" dxfId="3351" priority="3321">
      <formula>$F97="Formation CCF"</formula>
    </cfRule>
    <cfRule type="expression" dxfId="3350" priority="3322">
      <formula>$F97="Direction"</formula>
    </cfRule>
    <cfRule type="expression" dxfId="3349" priority="3323">
      <formula>$F97="Ventes Sicli"</formula>
    </cfRule>
    <cfRule type="expression" dxfId="3348" priority="3324">
      <formula>$F97="Ventes Chubb"</formula>
    </cfRule>
    <cfRule type="expression" dxfId="3347" priority="3325">
      <formula>$F97="SAV Sicli"</formula>
    </cfRule>
    <cfRule type="expression" dxfId="3346" priority="3326">
      <formula>$F97="SAV Chubb"</formula>
    </cfRule>
    <cfRule type="expression" dxfId="3345" priority="3327">
      <formula>$F97="Réalisation"</formula>
    </cfRule>
    <cfRule type="expression" dxfId="3344" priority="3328">
      <formula>$F97="Désenfumage"</formula>
    </cfRule>
    <cfRule type="expression" dxfId="3343" priority="3329">
      <formula>$F97="Administratif"</formula>
    </cfRule>
  </conditionalFormatting>
  <conditionalFormatting sqref="D97">
    <cfRule type="expression" dxfId="3342" priority="3320">
      <formula>$H97="non"</formula>
    </cfRule>
  </conditionalFormatting>
  <conditionalFormatting sqref="D96">
    <cfRule type="expression" dxfId="3341" priority="3311">
      <formula>$F96="Formation CCF"</formula>
    </cfRule>
    <cfRule type="expression" dxfId="3340" priority="3312">
      <formula>$F96="Direction"</formula>
    </cfRule>
    <cfRule type="expression" dxfId="3339" priority="3313">
      <formula>$F96="Ventes Sicli"</formula>
    </cfRule>
    <cfRule type="expression" dxfId="3338" priority="3314">
      <formula>$F96="Ventes Chubb"</formula>
    </cfRule>
    <cfRule type="expression" dxfId="3337" priority="3315">
      <formula>$F96="SAV Sicli"</formula>
    </cfRule>
    <cfRule type="expression" dxfId="3336" priority="3316">
      <formula>$F96="SAV Chubb"</formula>
    </cfRule>
    <cfRule type="expression" dxfId="3335" priority="3317">
      <formula>$F96="Réalisation"</formula>
    </cfRule>
    <cfRule type="expression" dxfId="3334" priority="3318">
      <formula>$F96="Désenfumage"</formula>
    </cfRule>
    <cfRule type="expression" dxfId="3333" priority="3319">
      <formula>$F96="Administratif"</formula>
    </cfRule>
  </conditionalFormatting>
  <conditionalFormatting sqref="D96">
    <cfRule type="expression" dxfId="3332" priority="3310">
      <formula>$H96="non"</formula>
    </cfRule>
  </conditionalFormatting>
  <conditionalFormatting sqref="D95">
    <cfRule type="expression" dxfId="3331" priority="3301">
      <formula>$F95="Formation CCF"</formula>
    </cfRule>
    <cfRule type="expression" dxfId="3330" priority="3302">
      <formula>$F95="Direction"</formula>
    </cfRule>
    <cfRule type="expression" dxfId="3329" priority="3303">
      <formula>$F95="Ventes Sicli"</formula>
    </cfRule>
    <cfRule type="expression" dxfId="3328" priority="3304">
      <formula>$F95="Ventes Chubb"</formula>
    </cfRule>
    <cfRule type="expression" dxfId="3327" priority="3305">
      <formula>$F95="SAV Sicli"</formula>
    </cfRule>
    <cfRule type="expression" dxfId="3326" priority="3306">
      <formula>$F95="SAV Chubb"</formula>
    </cfRule>
    <cfRule type="expression" dxfId="3325" priority="3307">
      <formula>$F95="Réalisation"</formula>
    </cfRule>
    <cfRule type="expression" dxfId="3324" priority="3308">
      <formula>$F95="Désenfumage"</formula>
    </cfRule>
    <cfRule type="expression" dxfId="3323" priority="3309">
      <formula>$F95="Administratif"</formula>
    </cfRule>
  </conditionalFormatting>
  <conditionalFormatting sqref="D95">
    <cfRule type="expression" dxfId="3322" priority="3300">
      <formula>$H95="non"</formula>
    </cfRule>
  </conditionalFormatting>
  <conditionalFormatting sqref="D94">
    <cfRule type="expression" dxfId="3321" priority="3291">
      <formula>$F94="Formation CCF"</formula>
    </cfRule>
    <cfRule type="expression" dxfId="3320" priority="3292">
      <formula>$F94="Direction"</formula>
    </cfRule>
    <cfRule type="expression" dxfId="3319" priority="3293">
      <formula>$F94="Ventes Sicli"</formula>
    </cfRule>
    <cfRule type="expression" dxfId="3318" priority="3294">
      <formula>$F94="Ventes Chubb"</formula>
    </cfRule>
    <cfRule type="expression" dxfId="3317" priority="3295">
      <formula>$F94="SAV Sicli"</formula>
    </cfRule>
    <cfRule type="expression" dxfId="3316" priority="3296">
      <formula>$F94="SAV Chubb"</formula>
    </cfRule>
    <cfRule type="expression" dxfId="3315" priority="3297">
      <formula>$F94="Réalisation"</formula>
    </cfRule>
    <cfRule type="expression" dxfId="3314" priority="3298">
      <formula>$F94="Désenfumage"</formula>
    </cfRule>
    <cfRule type="expression" dxfId="3313" priority="3299">
      <formula>$F94="Administratif"</formula>
    </cfRule>
  </conditionalFormatting>
  <conditionalFormatting sqref="D94">
    <cfRule type="expression" dxfId="3312" priority="3290">
      <formula>$H94="non"</formula>
    </cfRule>
  </conditionalFormatting>
  <conditionalFormatting sqref="D93">
    <cfRule type="expression" dxfId="3311" priority="3281">
      <formula>$F93="Formation CCF"</formula>
    </cfRule>
    <cfRule type="expression" dxfId="3310" priority="3282">
      <formula>$F93="Direction"</formula>
    </cfRule>
    <cfRule type="expression" dxfId="3309" priority="3283">
      <formula>$F93="Ventes Sicli"</formula>
    </cfRule>
    <cfRule type="expression" dxfId="3308" priority="3284">
      <formula>$F93="Ventes Chubb"</formula>
    </cfRule>
    <cfRule type="expression" dxfId="3307" priority="3285">
      <formula>$F93="SAV Sicli"</formula>
    </cfRule>
    <cfRule type="expression" dxfId="3306" priority="3286">
      <formula>$F93="SAV Chubb"</formula>
    </cfRule>
    <cfRule type="expression" dxfId="3305" priority="3287">
      <formula>$F93="Réalisation"</formula>
    </cfRule>
    <cfRule type="expression" dxfId="3304" priority="3288">
      <formula>$F93="Désenfumage"</formula>
    </cfRule>
    <cfRule type="expression" dxfId="3303" priority="3289">
      <formula>$F93="Administratif"</formula>
    </cfRule>
  </conditionalFormatting>
  <conditionalFormatting sqref="D93">
    <cfRule type="expression" dxfId="3302" priority="3280">
      <formula>$H93="non"</formula>
    </cfRule>
  </conditionalFormatting>
  <conditionalFormatting sqref="D92">
    <cfRule type="expression" dxfId="3301" priority="3271">
      <formula>$F92="Formation CCF"</formula>
    </cfRule>
    <cfRule type="expression" dxfId="3300" priority="3272">
      <formula>$F92="Direction"</formula>
    </cfRule>
    <cfRule type="expression" dxfId="3299" priority="3273">
      <formula>$F92="Ventes Sicli"</formula>
    </cfRule>
    <cfRule type="expression" dxfId="3298" priority="3274">
      <formula>$F92="Ventes Chubb"</formula>
    </cfRule>
    <cfRule type="expression" dxfId="3297" priority="3275">
      <formula>$F92="SAV Sicli"</formula>
    </cfRule>
    <cfRule type="expression" dxfId="3296" priority="3276">
      <formula>$F92="SAV Chubb"</formula>
    </cfRule>
    <cfRule type="expression" dxfId="3295" priority="3277">
      <formula>$F92="Réalisation"</formula>
    </cfRule>
    <cfRule type="expression" dxfId="3294" priority="3278">
      <formula>$F92="Désenfumage"</formula>
    </cfRule>
    <cfRule type="expression" dxfId="3293" priority="3279">
      <formula>$F92="Administratif"</formula>
    </cfRule>
  </conditionalFormatting>
  <conditionalFormatting sqref="D92">
    <cfRule type="expression" dxfId="3292" priority="3270">
      <formula>$H92="non"</formula>
    </cfRule>
  </conditionalFormatting>
  <conditionalFormatting sqref="D91">
    <cfRule type="expression" dxfId="3291" priority="3261">
      <formula>$F91="Formation CCF"</formula>
    </cfRule>
    <cfRule type="expression" dxfId="3290" priority="3262">
      <formula>$F91="Direction"</formula>
    </cfRule>
    <cfRule type="expression" dxfId="3289" priority="3263">
      <formula>$F91="Ventes Sicli"</formula>
    </cfRule>
    <cfRule type="expression" dxfId="3288" priority="3264">
      <formula>$F91="Ventes Chubb"</formula>
    </cfRule>
    <cfRule type="expression" dxfId="3287" priority="3265">
      <formula>$F91="SAV Sicli"</formula>
    </cfRule>
    <cfRule type="expression" dxfId="3286" priority="3266">
      <formula>$F91="SAV Chubb"</formula>
    </cfRule>
    <cfRule type="expression" dxfId="3285" priority="3267">
      <formula>$F91="Réalisation"</formula>
    </cfRule>
    <cfRule type="expression" dxfId="3284" priority="3268">
      <formula>$F91="Désenfumage"</formula>
    </cfRule>
    <cfRule type="expression" dxfId="3283" priority="3269">
      <formula>$F91="Administratif"</formula>
    </cfRule>
  </conditionalFormatting>
  <conditionalFormatting sqref="D91">
    <cfRule type="expression" dxfId="3282" priority="3260">
      <formula>$H91="non"</formula>
    </cfRule>
  </conditionalFormatting>
  <conditionalFormatting sqref="D97">
    <cfRule type="expression" dxfId="3281" priority="3251">
      <formula>$F97="Formation CCF"</formula>
    </cfRule>
    <cfRule type="expression" dxfId="3280" priority="3252">
      <formula>$F97="Direction"</formula>
    </cfRule>
    <cfRule type="expression" dxfId="3279" priority="3253">
      <formula>$F97="Ventes Sicli"</formula>
    </cfRule>
    <cfRule type="expression" dxfId="3278" priority="3254">
      <formula>$F97="Ventes Chubb"</formula>
    </cfRule>
    <cfRule type="expression" dxfId="3277" priority="3255">
      <formula>$F97="SAV Sicli"</formula>
    </cfRule>
    <cfRule type="expression" dxfId="3276" priority="3256">
      <formula>$F97="SAV Chubb"</formula>
    </cfRule>
    <cfRule type="expression" dxfId="3275" priority="3257">
      <formula>$F97="Réalisation"</formula>
    </cfRule>
    <cfRule type="expression" dxfId="3274" priority="3258">
      <formula>$F97="Désenfumage"</formula>
    </cfRule>
    <cfRule type="expression" dxfId="3273" priority="3259">
      <formula>$F97="Administratif"</formula>
    </cfRule>
  </conditionalFormatting>
  <conditionalFormatting sqref="D97">
    <cfRule type="expression" dxfId="3272" priority="3250">
      <formula>$H97="non"</formula>
    </cfRule>
  </conditionalFormatting>
  <conditionalFormatting sqref="D96">
    <cfRule type="expression" dxfId="3271" priority="3241">
      <formula>$F96="Formation CCF"</formula>
    </cfRule>
    <cfRule type="expression" dxfId="3270" priority="3242">
      <formula>$F96="Direction"</formula>
    </cfRule>
    <cfRule type="expression" dxfId="3269" priority="3243">
      <formula>$F96="Ventes Sicli"</formula>
    </cfRule>
    <cfRule type="expression" dxfId="3268" priority="3244">
      <formula>$F96="Ventes Chubb"</formula>
    </cfRule>
    <cfRule type="expression" dxfId="3267" priority="3245">
      <formula>$F96="SAV Sicli"</formula>
    </cfRule>
    <cfRule type="expression" dxfId="3266" priority="3246">
      <formula>$F96="SAV Chubb"</formula>
    </cfRule>
    <cfRule type="expression" dxfId="3265" priority="3247">
      <formula>$F96="Réalisation"</formula>
    </cfRule>
    <cfRule type="expression" dxfId="3264" priority="3248">
      <formula>$F96="Désenfumage"</formula>
    </cfRule>
    <cfRule type="expression" dxfId="3263" priority="3249">
      <formula>$F96="Administratif"</formula>
    </cfRule>
  </conditionalFormatting>
  <conditionalFormatting sqref="D96">
    <cfRule type="expression" dxfId="3262" priority="3240">
      <formula>$H96="non"</formula>
    </cfRule>
  </conditionalFormatting>
  <conditionalFormatting sqref="D95">
    <cfRule type="expression" dxfId="3261" priority="3231">
      <formula>$F95="Formation CCF"</formula>
    </cfRule>
    <cfRule type="expression" dxfId="3260" priority="3232">
      <formula>$F95="Direction"</formula>
    </cfRule>
    <cfRule type="expression" dxfId="3259" priority="3233">
      <formula>$F95="Ventes Sicli"</formula>
    </cfRule>
    <cfRule type="expression" dxfId="3258" priority="3234">
      <formula>$F95="Ventes Chubb"</formula>
    </cfRule>
    <cfRule type="expression" dxfId="3257" priority="3235">
      <formula>$F95="SAV Sicli"</formula>
    </cfRule>
    <cfRule type="expression" dxfId="3256" priority="3236">
      <formula>$F95="SAV Chubb"</formula>
    </cfRule>
    <cfRule type="expression" dxfId="3255" priority="3237">
      <formula>$F95="Réalisation"</formula>
    </cfRule>
    <cfRule type="expression" dxfId="3254" priority="3238">
      <formula>$F95="Désenfumage"</formula>
    </cfRule>
    <cfRule type="expression" dxfId="3253" priority="3239">
      <formula>$F95="Administratif"</formula>
    </cfRule>
  </conditionalFormatting>
  <conditionalFormatting sqref="D95">
    <cfRule type="expression" dxfId="3252" priority="3230">
      <formula>$H95="non"</formula>
    </cfRule>
  </conditionalFormatting>
  <conditionalFormatting sqref="D94">
    <cfRule type="expression" dxfId="3251" priority="3221">
      <formula>$F94="Formation CCF"</formula>
    </cfRule>
    <cfRule type="expression" dxfId="3250" priority="3222">
      <formula>$F94="Direction"</formula>
    </cfRule>
    <cfRule type="expression" dxfId="3249" priority="3223">
      <formula>$F94="Ventes Sicli"</formula>
    </cfRule>
    <cfRule type="expression" dxfId="3248" priority="3224">
      <formula>$F94="Ventes Chubb"</formula>
    </cfRule>
    <cfRule type="expression" dxfId="3247" priority="3225">
      <formula>$F94="SAV Sicli"</formula>
    </cfRule>
    <cfRule type="expression" dxfId="3246" priority="3226">
      <formula>$F94="SAV Chubb"</formula>
    </cfRule>
    <cfRule type="expression" dxfId="3245" priority="3227">
      <formula>$F94="Réalisation"</formula>
    </cfRule>
    <cfRule type="expression" dxfId="3244" priority="3228">
      <formula>$F94="Désenfumage"</formula>
    </cfRule>
    <cfRule type="expression" dxfId="3243" priority="3229">
      <formula>$F94="Administratif"</formula>
    </cfRule>
  </conditionalFormatting>
  <conditionalFormatting sqref="D94">
    <cfRule type="expression" dxfId="3242" priority="3220">
      <formula>$H94="non"</formula>
    </cfRule>
  </conditionalFormatting>
  <conditionalFormatting sqref="D93">
    <cfRule type="expression" dxfId="3241" priority="3211">
      <formula>$F93="Formation CCF"</formula>
    </cfRule>
    <cfRule type="expression" dxfId="3240" priority="3212">
      <formula>$F93="Direction"</formula>
    </cfRule>
    <cfRule type="expression" dxfId="3239" priority="3213">
      <formula>$F93="Ventes Sicli"</formula>
    </cfRule>
    <cfRule type="expression" dxfId="3238" priority="3214">
      <formula>$F93="Ventes Chubb"</formula>
    </cfRule>
    <cfRule type="expression" dxfId="3237" priority="3215">
      <formula>$F93="SAV Sicli"</formula>
    </cfRule>
    <cfRule type="expression" dxfId="3236" priority="3216">
      <formula>$F93="SAV Chubb"</formula>
    </cfRule>
    <cfRule type="expression" dxfId="3235" priority="3217">
      <formula>$F93="Réalisation"</formula>
    </cfRule>
    <cfRule type="expression" dxfId="3234" priority="3218">
      <formula>$F93="Désenfumage"</formula>
    </cfRule>
    <cfRule type="expression" dxfId="3233" priority="3219">
      <formula>$F93="Administratif"</formula>
    </cfRule>
  </conditionalFormatting>
  <conditionalFormatting sqref="D93">
    <cfRule type="expression" dxfId="3232" priority="3210">
      <formula>$H93="non"</formula>
    </cfRule>
  </conditionalFormatting>
  <conditionalFormatting sqref="D92">
    <cfRule type="expression" dxfId="3231" priority="3201">
      <formula>$F92="Formation CCF"</formula>
    </cfRule>
    <cfRule type="expression" dxfId="3230" priority="3202">
      <formula>$F92="Direction"</formula>
    </cfRule>
    <cfRule type="expression" dxfId="3229" priority="3203">
      <formula>$F92="Ventes Sicli"</formula>
    </cfRule>
    <cfRule type="expression" dxfId="3228" priority="3204">
      <formula>$F92="Ventes Chubb"</formula>
    </cfRule>
    <cfRule type="expression" dxfId="3227" priority="3205">
      <formula>$F92="SAV Sicli"</formula>
    </cfRule>
    <cfRule type="expression" dxfId="3226" priority="3206">
      <formula>$F92="SAV Chubb"</formula>
    </cfRule>
    <cfRule type="expression" dxfId="3225" priority="3207">
      <formula>$F92="Réalisation"</formula>
    </cfRule>
    <cfRule type="expression" dxfId="3224" priority="3208">
      <formula>$F92="Désenfumage"</formula>
    </cfRule>
    <cfRule type="expression" dxfId="3223" priority="3209">
      <formula>$F92="Administratif"</formula>
    </cfRule>
  </conditionalFormatting>
  <conditionalFormatting sqref="D92">
    <cfRule type="expression" dxfId="3222" priority="3200">
      <formula>$H92="non"</formula>
    </cfRule>
  </conditionalFormatting>
  <conditionalFormatting sqref="D91">
    <cfRule type="expression" dxfId="3221" priority="3191">
      <formula>$F91="Formation CCF"</formula>
    </cfRule>
    <cfRule type="expression" dxfId="3220" priority="3192">
      <formula>$F91="Direction"</formula>
    </cfRule>
    <cfRule type="expression" dxfId="3219" priority="3193">
      <formula>$F91="Ventes Sicli"</formula>
    </cfRule>
    <cfRule type="expression" dxfId="3218" priority="3194">
      <formula>$F91="Ventes Chubb"</formula>
    </cfRule>
    <cfRule type="expression" dxfId="3217" priority="3195">
      <formula>$F91="SAV Sicli"</formula>
    </cfRule>
    <cfRule type="expression" dxfId="3216" priority="3196">
      <formula>$F91="SAV Chubb"</formula>
    </cfRule>
    <cfRule type="expression" dxfId="3215" priority="3197">
      <formula>$F91="Réalisation"</formula>
    </cfRule>
    <cfRule type="expression" dxfId="3214" priority="3198">
      <formula>$F91="Désenfumage"</formula>
    </cfRule>
    <cfRule type="expression" dxfId="3213" priority="3199">
      <formula>$F91="Administratif"</formula>
    </cfRule>
  </conditionalFormatting>
  <conditionalFormatting sqref="D91">
    <cfRule type="expression" dxfId="3212" priority="3190">
      <formula>$H91="non"</formula>
    </cfRule>
  </conditionalFormatting>
  <conditionalFormatting sqref="D96">
    <cfRule type="expression" dxfId="3211" priority="3181">
      <formula>$F96="Formation CCF"</formula>
    </cfRule>
    <cfRule type="expression" dxfId="3210" priority="3182">
      <formula>$F96="Direction"</formula>
    </cfRule>
    <cfRule type="expression" dxfId="3209" priority="3183">
      <formula>$F96="Ventes Sicli"</formula>
    </cfRule>
    <cfRule type="expression" dxfId="3208" priority="3184">
      <formula>$F96="Ventes Chubb"</formula>
    </cfRule>
    <cfRule type="expression" dxfId="3207" priority="3185">
      <formula>$F96="SAV Sicli"</formula>
    </cfRule>
    <cfRule type="expression" dxfId="3206" priority="3186">
      <formula>$F96="SAV Chubb"</formula>
    </cfRule>
    <cfRule type="expression" dxfId="3205" priority="3187">
      <formula>$F96="Réalisation"</formula>
    </cfRule>
    <cfRule type="expression" dxfId="3204" priority="3188">
      <formula>$F96="Désenfumage"</formula>
    </cfRule>
    <cfRule type="expression" dxfId="3203" priority="3189">
      <formula>$F96="Administratif"</formula>
    </cfRule>
  </conditionalFormatting>
  <conditionalFormatting sqref="D96">
    <cfRule type="expression" dxfId="3202" priority="3180">
      <formula>$H96="non"</formula>
    </cfRule>
  </conditionalFormatting>
  <conditionalFormatting sqref="D95">
    <cfRule type="expression" dxfId="3201" priority="3171">
      <formula>$F95="Formation CCF"</formula>
    </cfRule>
    <cfRule type="expression" dxfId="3200" priority="3172">
      <formula>$F95="Direction"</formula>
    </cfRule>
    <cfRule type="expression" dxfId="3199" priority="3173">
      <formula>$F95="Ventes Sicli"</formula>
    </cfRule>
    <cfRule type="expression" dxfId="3198" priority="3174">
      <formula>$F95="Ventes Chubb"</formula>
    </cfRule>
    <cfRule type="expression" dxfId="3197" priority="3175">
      <formula>$F95="SAV Sicli"</formula>
    </cfRule>
    <cfRule type="expression" dxfId="3196" priority="3176">
      <formula>$F95="SAV Chubb"</formula>
    </cfRule>
    <cfRule type="expression" dxfId="3195" priority="3177">
      <formula>$F95="Réalisation"</formula>
    </cfRule>
    <cfRule type="expression" dxfId="3194" priority="3178">
      <formula>$F95="Désenfumage"</formula>
    </cfRule>
    <cfRule type="expression" dxfId="3193" priority="3179">
      <formula>$F95="Administratif"</formula>
    </cfRule>
  </conditionalFormatting>
  <conditionalFormatting sqref="D95">
    <cfRule type="expression" dxfId="3192" priority="3170">
      <formula>$H95="non"</formula>
    </cfRule>
  </conditionalFormatting>
  <conditionalFormatting sqref="D94">
    <cfRule type="expression" dxfId="3191" priority="3161">
      <formula>$F94="Formation CCF"</formula>
    </cfRule>
    <cfRule type="expression" dxfId="3190" priority="3162">
      <formula>$F94="Direction"</formula>
    </cfRule>
    <cfRule type="expression" dxfId="3189" priority="3163">
      <formula>$F94="Ventes Sicli"</formula>
    </cfRule>
    <cfRule type="expression" dxfId="3188" priority="3164">
      <formula>$F94="Ventes Chubb"</formula>
    </cfRule>
    <cfRule type="expression" dxfId="3187" priority="3165">
      <formula>$F94="SAV Sicli"</formula>
    </cfRule>
    <cfRule type="expression" dxfId="3186" priority="3166">
      <formula>$F94="SAV Chubb"</formula>
    </cfRule>
    <cfRule type="expression" dxfId="3185" priority="3167">
      <formula>$F94="Réalisation"</formula>
    </cfRule>
    <cfRule type="expression" dxfId="3184" priority="3168">
      <formula>$F94="Désenfumage"</formula>
    </cfRule>
    <cfRule type="expression" dxfId="3183" priority="3169">
      <formula>$F94="Administratif"</formula>
    </cfRule>
  </conditionalFormatting>
  <conditionalFormatting sqref="D94">
    <cfRule type="expression" dxfId="3182" priority="3160">
      <formula>$H94="non"</formula>
    </cfRule>
  </conditionalFormatting>
  <conditionalFormatting sqref="D93">
    <cfRule type="expression" dxfId="3181" priority="3151">
      <formula>$F93="Formation CCF"</formula>
    </cfRule>
    <cfRule type="expression" dxfId="3180" priority="3152">
      <formula>$F93="Direction"</formula>
    </cfRule>
    <cfRule type="expression" dxfId="3179" priority="3153">
      <formula>$F93="Ventes Sicli"</formula>
    </cfRule>
    <cfRule type="expression" dxfId="3178" priority="3154">
      <formula>$F93="Ventes Chubb"</formula>
    </cfRule>
    <cfRule type="expression" dxfId="3177" priority="3155">
      <formula>$F93="SAV Sicli"</formula>
    </cfRule>
    <cfRule type="expression" dxfId="3176" priority="3156">
      <formula>$F93="SAV Chubb"</formula>
    </cfRule>
    <cfRule type="expression" dxfId="3175" priority="3157">
      <formula>$F93="Réalisation"</formula>
    </cfRule>
    <cfRule type="expression" dxfId="3174" priority="3158">
      <formula>$F93="Désenfumage"</formula>
    </cfRule>
    <cfRule type="expression" dxfId="3173" priority="3159">
      <formula>$F93="Administratif"</formula>
    </cfRule>
  </conditionalFormatting>
  <conditionalFormatting sqref="D93">
    <cfRule type="expression" dxfId="3172" priority="3150">
      <formula>$H93="non"</formula>
    </cfRule>
  </conditionalFormatting>
  <conditionalFormatting sqref="D91">
    <cfRule type="expression" dxfId="3171" priority="3141">
      <formula>$F91="Formation CCF"</formula>
    </cfRule>
    <cfRule type="expression" dxfId="3170" priority="3142">
      <formula>$F91="Direction"</formula>
    </cfRule>
    <cfRule type="expression" dxfId="3169" priority="3143">
      <formula>$F91="Ventes Sicli"</formula>
    </cfRule>
    <cfRule type="expression" dxfId="3168" priority="3144">
      <formula>$F91="Ventes Chubb"</formula>
    </cfRule>
    <cfRule type="expression" dxfId="3167" priority="3145">
      <formula>$F91="SAV Sicli"</formula>
    </cfRule>
    <cfRule type="expression" dxfId="3166" priority="3146">
      <formula>$F91="SAV Chubb"</formula>
    </cfRule>
    <cfRule type="expression" dxfId="3165" priority="3147">
      <formula>$F91="Réalisation"</formula>
    </cfRule>
    <cfRule type="expression" dxfId="3164" priority="3148">
      <formula>$F91="Désenfumage"</formula>
    </cfRule>
    <cfRule type="expression" dxfId="3163" priority="3149">
      <formula>$F91="Administratif"</formula>
    </cfRule>
  </conditionalFormatting>
  <conditionalFormatting sqref="D91">
    <cfRule type="expression" dxfId="3162" priority="3140">
      <formula>$H91="non"</formula>
    </cfRule>
  </conditionalFormatting>
  <conditionalFormatting sqref="C95:D95">
    <cfRule type="expression" dxfId="3161" priority="3131">
      <formula>$F95="Formation CCF"</formula>
    </cfRule>
    <cfRule type="expression" dxfId="3160" priority="3132">
      <formula>$F95="Direction"</formula>
    </cfRule>
    <cfRule type="expression" dxfId="3159" priority="3133">
      <formula>$F95="Ventes Sicli"</formula>
    </cfRule>
    <cfRule type="expression" dxfId="3158" priority="3134">
      <formula>$F95="Ventes Chubb"</formula>
    </cfRule>
    <cfRule type="expression" dxfId="3157" priority="3135">
      <formula>$F95="SAV Sicli"</formula>
    </cfRule>
    <cfRule type="expression" dxfId="3156" priority="3136">
      <formula>$F95="SAV Chubb"</formula>
    </cfRule>
    <cfRule type="expression" dxfId="3155" priority="3137">
      <formula>$F95="Réalisation"</formula>
    </cfRule>
    <cfRule type="expression" dxfId="3154" priority="3138">
      <formula>$F95="Désenfumage"</formula>
    </cfRule>
    <cfRule type="expression" dxfId="3153" priority="3139">
      <formula>$F95="Administratif"</formula>
    </cfRule>
  </conditionalFormatting>
  <conditionalFormatting sqref="C95:D95">
    <cfRule type="expression" dxfId="3152" priority="3130">
      <formula>$H95="non"</formula>
    </cfRule>
  </conditionalFormatting>
  <conditionalFormatting sqref="C94:D94">
    <cfRule type="expression" dxfId="3151" priority="3121">
      <formula>$F94="Formation CCF"</formula>
    </cfRule>
    <cfRule type="expression" dxfId="3150" priority="3122">
      <formula>$F94="Direction"</formula>
    </cfRule>
    <cfRule type="expression" dxfId="3149" priority="3123">
      <formula>$F94="Ventes Sicli"</formula>
    </cfRule>
    <cfRule type="expression" dxfId="3148" priority="3124">
      <formula>$F94="Ventes Chubb"</formula>
    </cfRule>
    <cfRule type="expression" dxfId="3147" priority="3125">
      <formula>$F94="SAV Sicli"</formula>
    </cfRule>
    <cfRule type="expression" dxfId="3146" priority="3126">
      <formula>$F94="SAV Chubb"</formula>
    </cfRule>
    <cfRule type="expression" dxfId="3145" priority="3127">
      <formula>$F94="Réalisation"</formula>
    </cfRule>
    <cfRule type="expression" dxfId="3144" priority="3128">
      <formula>$F94="Désenfumage"</formula>
    </cfRule>
    <cfRule type="expression" dxfId="3143" priority="3129">
      <formula>$F94="Administratif"</formula>
    </cfRule>
  </conditionalFormatting>
  <conditionalFormatting sqref="C94:D94">
    <cfRule type="expression" dxfId="3142" priority="3120">
      <formula>$H94="non"</formula>
    </cfRule>
  </conditionalFormatting>
  <conditionalFormatting sqref="C93:D93">
    <cfRule type="expression" dxfId="3141" priority="3111">
      <formula>$F93="Formation CCF"</formula>
    </cfRule>
    <cfRule type="expression" dxfId="3140" priority="3112">
      <formula>$F93="Direction"</formula>
    </cfRule>
    <cfRule type="expression" dxfId="3139" priority="3113">
      <formula>$F93="Ventes Sicli"</formula>
    </cfRule>
    <cfRule type="expression" dxfId="3138" priority="3114">
      <formula>$F93="Ventes Chubb"</formula>
    </cfRule>
    <cfRule type="expression" dxfId="3137" priority="3115">
      <formula>$F93="SAV Sicli"</formula>
    </cfRule>
    <cfRule type="expression" dxfId="3136" priority="3116">
      <formula>$F93="SAV Chubb"</formula>
    </cfRule>
    <cfRule type="expression" dxfId="3135" priority="3117">
      <formula>$F93="Réalisation"</formula>
    </cfRule>
    <cfRule type="expression" dxfId="3134" priority="3118">
      <formula>$F93="Désenfumage"</formula>
    </cfRule>
    <cfRule type="expression" dxfId="3133" priority="3119">
      <formula>$F93="Administratif"</formula>
    </cfRule>
  </conditionalFormatting>
  <conditionalFormatting sqref="C93:D93">
    <cfRule type="expression" dxfId="3132" priority="3110">
      <formula>$H93="non"</formula>
    </cfRule>
  </conditionalFormatting>
  <conditionalFormatting sqref="C92:D92">
    <cfRule type="expression" dxfId="3131" priority="3101">
      <formula>$F92="Formation CCF"</formula>
    </cfRule>
    <cfRule type="expression" dxfId="3130" priority="3102">
      <formula>$F92="Direction"</formula>
    </cfRule>
    <cfRule type="expression" dxfId="3129" priority="3103">
      <formula>$F92="Ventes Sicli"</formula>
    </cfRule>
    <cfRule type="expression" dxfId="3128" priority="3104">
      <formula>$F92="Ventes Chubb"</formula>
    </cfRule>
    <cfRule type="expression" dxfId="3127" priority="3105">
      <formula>$F92="SAV Sicli"</formula>
    </cfRule>
    <cfRule type="expression" dxfId="3126" priority="3106">
      <formula>$F92="SAV Chubb"</formula>
    </cfRule>
    <cfRule type="expression" dxfId="3125" priority="3107">
      <formula>$F92="Réalisation"</formula>
    </cfRule>
    <cfRule type="expression" dxfId="3124" priority="3108">
      <formula>$F92="Désenfumage"</formula>
    </cfRule>
    <cfRule type="expression" dxfId="3123" priority="3109">
      <formula>$F92="Administratif"</formula>
    </cfRule>
  </conditionalFormatting>
  <conditionalFormatting sqref="C92:D92">
    <cfRule type="expression" dxfId="3122" priority="3100">
      <formula>$H92="non"</formula>
    </cfRule>
  </conditionalFormatting>
  <conditionalFormatting sqref="C91:D91">
    <cfRule type="expression" dxfId="3121" priority="3091">
      <formula>$F91="Formation CCF"</formula>
    </cfRule>
    <cfRule type="expression" dxfId="3120" priority="3092">
      <formula>$F91="Direction"</formula>
    </cfRule>
    <cfRule type="expression" dxfId="3119" priority="3093">
      <formula>$F91="Ventes Sicli"</formula>
    </cfRule>
    <cfRule type="expression" dxfId="3118" priority="3094">
      <formula>$F91="Ventes Chubb"</formula>
    </cfRule>
    <cfRule type="expression" dxfId="3117" priority="3095">
      <formula>$F91="SAV Sicli"</formula>
    </cfRule>
    <cfRule type="expression" dxfId="3116" priority="3096">
      <formula>$F91="SAV Chubb"</formula>
    </cfRule>
    <cfRule type="expression" dxfId="3115" priority="3097">
      <formula>$F91="Réalisation"</formula>
    </cfRule>
    <cfRule type="expression" dxfId="3114" priority="3098">
      <formula>$F91="Désenfumage"</formula>
    </cfRule>
    <cfRule type="expression" dxfId="3113" priority="3099">
      <formula>$F91="Administratif"</formula>
    </cfRule>
  </conditionalFormatting>
  <conditionalFormatting sqref="C91:D91">
    <cfRule type="expression" dxfId="3112" priority="3090">
      <formula>$H91="non"</formula>
    </cfRule>
  </conditionalFormatting>
  <conditionalFormatting sqref="C91:D91">
    <cfRule type="expression" dxfId="3111" priority="3081">
      <formula>$F91="Formation CCF"</formula>
    </cfRule>
    <cfRule type="expression" dxfId="3110" priority="3082">
      <formula>$F91="Direction"</formula>
    </cfRule>
    <cfRule type="expression" dxfId="3109" priority="3083">
      <formula>$F91="Ventes Sicli"</formula>
    </cfRule>
    <cfRule type="expression" dxfId="3108" priority="3084">
      <formula>$F91="Ventes Chubb"</formula>
    </cfRule>
    <cfRule type="expression" dxfId="3107" priority="3085">
      <formula>$F91="SAV Sicli"</formula>
    </cfRule>
    <cfRule type="expression" dxfId="3106" priority="3086">
      <formula>$F91="SAV Chubb"</formula>
    </cfRule>
    <cfRule type="expression" dxfId="3105" priority="3087">
      <formula>$F91="Réalisation"</formula>
    </cfRule>
    <cfRule type="expression" dxfId="3104" priority="3088">
      <formula>$F91="Désenfumage"</formula>
    </cfRule>
    <cfRule type="expression" dxfId="3103" priority="3089">
      <formula>$F91="Administratif"</formula>
    </cfRule>
  </conditionalFormatting>
  <conditionalFormatting sqref="C91:D91">
    <cfRule type="expression" dxfId="3102" priority="3080">
      <formula>$H91="non"</formula>
    </cfRule>
  </conditionalFormatting>
  <conditionalFormatting sqref="C91:D91">
    <cfRule type="expression" dxfId="3101" priority="3071">
      <formula>$F91="Formation CCF"</formula>
    </cfRule>
    <cfRule type="expression" dxfId="3100" priority="3072">
      <formula>$F91="Direction"</formula>
    </cfRule>
    <cfRule type="expression" dxfId="3099" priority="3073">
      <formula>$F91="Ventes Sicli"</formula>
    </cfRule>
    <cfRule type="expression" dxfId="3098" priority="3074">
      <formula>$F91="Ventes Chubb"</formula>
    </cfRule>
    <cfRule type="expression" dxfId="3097" priority="3075">
      <formula>$F91="SAV Sicli"</formula>
    </cfRule>
    <cfRule type="expression" dxfId="3096" priority="3076">
      <formula>$F91="SAV Chubb"</formula>
    </cfRule>
    <cfRule type="expression" dxfId="3095" priority="3077">
      <formula>$F91="Réalisation"</formula>
    </cfRule>
    <cfRule type="expression" dxfId="3094" priority="3078">
      <formula>$F91="Désenfumage"</formula>
    </cfRule>
    <cfRule type="expression" dxfId="3093" priority="3079">
      <formula>$F91="Administratif"</formula>
    </cfRule>
  </conditionalFormatting>
  <conditionalFormatting sqref="C91:D91">
    <cfRule type="expression" dxfId="3092" priority="3070">
      <formula>$H91="non"</formula>
    </cfRule>
  </conditionalFormatting>
  <conditionalFormatting sqref="C93:D93">
    <cfRule type="expression" dxfId="3091" priority="3061">
      <formula>$F93="Formation CCF"</formula>
    </cfRule>
    <cfRule type="expression" dxfId="3090" priority="3062">
      <formula>$F93="Direction"</formula>
    </cfRule>
    <cfRule type="expression" dxfId="3089" priority="3063">
      <formula>$F93="Ventes Sicli"</formula>
    </cfRule>
    <cfRule type="expression" dxfId="3088" priority="3064">
      <formula>$F93="Ventes Chubb"</formula>
    </cfRule>
    <cfRule type="expression" dxfId="3087" priority="3065">
      <formula>$F93="SAV Sicli"</formula>
    </cfRule>
    <cfRule type="expression" dxfId="3086" priority="3066">
      <formula>$F93="SAV Chubb"</formula>
    </cfRule>
    <cfRule type="expression" dxfId="3085" priority="3067">
      <formula>$F93="Réalisation"</formula>
    </cfRule>
    <cfRule type="expression" dxfId="3084" priority="3068">
      <formula>$F93="Désenfumage"</formula>
    </cfRule>
    <cfRule type="expression" dxfId="3083" priority="3069">
      <formula>$F93="Administratif"</formula>
    </cfRule>
  </conditionalFormatting>
  <conditionalFormatting sqref="C93:D93">
    <cfRule type="expression" dxfId="3082" priority="3060">
      <formula>$H93="non"</formula>
    </cfRule>
  </conditionalFormatting>
  <conditionalFormatting sqref="C92:D92">
    <cfRule type="expression" dxfId="3081" priority="3051">
      <formula>$F92="Formation CCF"</formula>
    </cfRule>
    <cfRule type="expression" dxfId="3080" priority="3052">
      <formula>$F92="Direction"</formula>
    </cfRule>
    <cfRule type="expression" dxfId="3079" priority="3053">
      <formula>$F92="Ventes Sicli"</formula>
    </cfRule>
    <cfRule type="expression" dxfId="3078" priority="3054">
      <formula>$F92="Ventes Chubb"</formula>
    </cfRule>
    <cfRule type="expression" dxfId="3077" priority="3055">
      <formula>$F92="SAV Sicli"</formula>
    </cfRule>
    <cfRule type="expression" dxfId="3076" priority="3056">
      <formula>$F92="SAV Chubb"</formula>
    </cfRule>
    <cfRule type="expression" dxfId="3075" priority="3057">
      <formula>$F92="Réalisation"</formula>
    </cfRule>
    <cfRule type="expression" dxfId="3074" priority="3058">
      <formula>$F92="Désenfumage"</formula>
    </cfRule>
    <cfRule type="expression" dxfId="3073" priority="3059">
      <formula>$F92="Administratif"</formula>
    </cfRule>
  </conditionalFormatting>
  <conditionalFormatting sqref="C92:D92">
    <cfRule type="expression" dxfId="3072" priority="3050">
      <formula>$H92="non"</formula>
    </cfRule>
  </conditionalFormatting>
  <conditionalFormatting sqref="C91:D91">
    <cfRule type="expression" dxfId="3071" priority="3041">
      <formula>$F91="Formation CCF"</formula>
    </cfRule>
    <cfRule type="expression" dxfId="3070" priority="3042">
      <formula>$F91="Direction"</formula>
    </cfRule>
    <cfRule type="expression" dxfId="3069" priority="3043">
      <formula>$F91="Ventes Sicli"</formula>
    </cfRule>
    <cfRule type="expression" dxfId="3068" priority="3044">
      <formula>$F91="Ventes Chubb"</formula>
    </cfRule>
    <cfRule type="expression" dxfId="3067" priority="3045">
      <formula>$F91="SAV Sicli"</formula>
    </cfRule>
    <cfRule type="expression" dxfId="3066" priority="3046">
      <formula>$F91="SAV Chubb"</formula>
    </cfRule>
    <cfRule type="expression" dxfId="3065" priority="3047">
      <formula>$F91="Réalisation"</formula>
    </cfRule>
    <cfRule type="expression" dxfId="3064" priority="3048">
      <formula>$F91="Désenfumage"</formula>
    </cfRule>
    <cfRule type="expression" dxfId="3063" priority="3049">
      <formula>$F91="Administratif"</formula>
    </cfRule>
  </conditionalFormatting>
  <conditionalFormatting sqref="C91:D91">
    <cfRule type="expression" dxfId="3062" priority="3040">
      <formula>$H91="non"</formula>
    </cfRule>
  </conditionalFormatting>
  <conditionalFormatting sqref="D95">
    <cfRule type="expression" dxfId="3061" priority="3031">
      <formula>$F95="Formation CCF"</formula>
    </cfRule>
    <cfRule type="expression" dxfId="3060" priority="3032">
      <formula>$F95="Direction"</formula>
    </cfRule>
    <cfRule type="expression" dxfId="3059" priority="3033">
      <formula>$F95="Ventes Sicli"</formula>
    </cfRule>
    <cfRule type="expression" dxfId="3058" priority="3034">
      <formula>$F95="Ventes Chubb"</formula>
    </cfRule>
    <cfRule type="expression" dxfId="3057" priority="3035">
      <formula>$F95="SAV Sicli"</formula>
    </cfRule>
    <cfRule type="expression" dxfId="3056" priority="3036">
      <formula>$F95="SAV Chubb"</formula>
    </cfRule>
    <cfRule type="expression" dxfId="3055" priority="3037">
      <formula>$F95="Réalisation"</formula>
    </cfRule>
    <cfRule type="expression" dxfId="3054" priority="3038">
      <formula>$F95="Désenfumage"</formula>
    </cfRule>
    <cfRule type="expression" dxfId="3053" priority="3039">
      <formula>$F95="Administratif"</formula>
    </cfRule>
  </conditionalFormatting>
  <conditionalFormatting sqref="D95">
    <cfRule type="expression" dxfId="3052" priority="3030">
      <formula>$H95="non"</formula>
    </cfRule>
  </conditionalFormatting>
  <conditionalFormatting sqref="D93">
    <cfRule type="expression" dxfId="3051" priority="3021">
      <formula>$F93="Formation CCF"</formula>
    </cfRule>
    <cfRule type="expression" dxfId="3050" priority="3022">
      <formula>$F93="Direction"</formula>
    </cfRule>
    <cfRule type="expression" dxfId="3049" priority="3023">
      <formula>$F93="Ventes Sicli"</formula>
    </cfRule>
    <cfRule type="expression" dxfId="3048" priority="3024">
      <formula>$F93="Ventes Chubb"</formula>
    </cfRule>
    <cfRule type="expression" dxfId="3047" priority="3025">
      <formula>$F93="SAV Sicli"</formula>
    </cfRule>
    <cfRule type="expression" dxfId="3046" priority="3026">
      <formula>$F93="SAV Chubb"</formula>
    </cfRule>
    <cfRule type="expression" dxfId="3045" priority="3027">
      <formula>$F93="Réalisation"</formula>
    </cfRule>
    <cfRule type="expression" dxfId="3044" priority="3028">
      <formula>$F93="Désenfumage"</formula>
    </cfRule>
    <cfRule type="expression" dxfId="3043" priority="3029">
      <formula>$F93="Administratif"</formula>
    </cfRule>
  </conditionalFormatting>
  <conditionalFormatting sqref="D93">
    <cfRule type="expression" dxfId="3042" priority="3020">
      <formula>$H93="non"</formula>
    </cfRule>
  </conditionalFormatting>
  <conditionalFormatting sqref="D98">
    <cfRule type="expression" dxfId="3041" priority="3011">
      <formula>$F98="Formation CCF"</formula>
    </cfRule>
    <cfRule type="expression" dxfId="3040" priority="3012">
      <formula>$F98="Direction"</formula>
    </cfRule>
    <cfRule type="expression" dxfId="3039" priority="3013">
      <formula>$F98="Ventes Sicli"</formula>
    </cfRule>
    <cfRule type="expression" dxfId="3038" priority="3014">
      <formula>$F98="Ventes Chubb"</formula>
    </cfRule>
    <cfRule type="expression" dxfId="3037" priority="3015">
      <formula>$F98="SAV Sicli"</formula>
    </cfRule>
    <cfRule type="expression" dxfId="3036" priority="3016">
      <formula>$F98="SAV Chubb"</formula>
    </cfRule>
    <cfRule type="expression" dxfId="3035" priority="3017">
      <formula>$F98="Réalisation"</formula>
    </cfRule>
    <cfRule type="expression" dxfId="3034" priority="3018">
      <formula>$F98="Désenfumage"</formula>
    </cfRule>
    <cfRule type="expression" dxfId="3033" priority="3019">
      <formula>$F98="Administratif"</formula>
    </cfRule>
  </conditionalFormatting>
  <conditionalFormatting sqref="D98">
    <cfRule type="expression" dxfId="3032" priority="3010">
      <formula>$H98="non"</formula>
    </cfRule>
  </conditionalFormatting>
  <conditionalFormatting sqref="D97">
    <cfRule type="expression" dxfId="3031" priority="3001">
      <formula>$F97="Formation CCF"</formula>
    </cfRule>
    <cfRule type="expression" dxfId="3030" priority="3002">
      <formula>$F97="Direction"</formula>
    </cfRule>
    <cfRule type="expression" dxfId="3029" priority="3003">
      <formula>$F97="Ventes Sicli"</formula>
    </cfRule>
    <cfRule type="expression" dxfId="3028" priority="3004">
      <formula>$F97="Ventes Chubb"</formula>
    </cfRule>
    <cfRule type="expression" dxfId="3027" priority="3005">
      <formula>$F97="SAV Sicli"</formula>
    </cfRule>
    <cfRule type="expression" dxfId="3026" priority="3006">
      <formula>$F97="SAV Chubb"</formula>
    </cfRule>
    <cfRule type="expression" dxfId="3025" priority="3007">
      <formula>$F97="Réalisation"</formula>
    </cfRule>
    <cfRule type="expression" dxfId="3024" priority="3008">
      <formula>$F97="Désenfumage"</formula>
    </cfRule>
    <cfRule type="expression" dxfId="3023" priority="3009">
      <formula>$F97="Administratif"</formula>
    </cfRule>
  </conditionalFormatting>
  <conditionalFormatting sqref="D97">
    <cfRule type="expression" dxfId="3022" priority="3000">
      <formula>$H97="non"</formula>
    </cfRule>
  </conditionalFormatting>
  <conditionalFormatting sqref="D96">
    <cfRule type="expression" dxfId="3021" priority="2991">
      <formula>$F96="Formation CCF"</formula>
    </cfRule>
    <cfRule type="expression" dxfId="3020" priority="2992">
      <formula>$F96="Direction"</formula>
    </cfRule>
    <cfRule type="expression" dxfId="3019" priority="2993">
      <formula>$F96="Ventes Sicli"</formula>
    </cfRule>
    <cfRule type="expression" dxfId="3018" priority="2994">
      <formula>$F96="Ventes Chubb"</formula>
    </cfRule>
    <cfRule type="expression" dxfId="3017" priority="2995">
      <formula>$F96="SAV Sicli"</formula>
    </cfRule>
    <cfRule type="expression" dxfId="3016" priority="2996">
      <formula>$F96="SAV Chubb"</formula>
    </cfRule>
    <cfRule type="expression" dxfId="3015" priority="2997">
      <formula>$F96="Réalisation"</formula>
    </cfRule>
    <cfRule type="expression" dxfId="3014" priority="2998">
      <formula>$F96="Désenfumage"</formula>
    </cfRule>
    <cfRule type="expression" dxfId="3013" priority="2999">
      <formula>$F96="Administratif"</formula>
    </cfRule>
  </conditionalFormatting>
  <conditionalFormatting sqref="D96">
    <cfRule type="expression" dxfId="3012" priority="2990">
      <formula>$H96="non"</formula>
    </cfRule>
  </conditionalFormatting>
  <conditionalFormatting sqref="D95">
    <cfRule type="expression" dxfId="3011" priority="2981">
      <formula>$F95="Formation CCF"</formula>
    </cfRule>
    <cfRule type="expression" dxfId="3010" priority="2982">
      <formula>$F95="Direction"</formula>
    </cfRule>
    <cfRule type="expression" dxfId="3009" priority="2983">
      <formula>$F95="Ventes Sicli"</formula>
    </cfRule>
    <cfRule type="expression" dxfId="3008" priority="2984">
      <formula>$F95="Ventes Chubb"</formula>
    </cfRule>
    <cfRule type="expression" dxfId="3007" priority="2985">
      <formula>$F95="SAV Sicli"</formula>
    </cfRule>
    <cfRule type="expression" dxfId="3006" priority="2986">
      <formula>$F95="SAV Chubb"</formula>
    </cfRule>
    <cfRule type="expression" dxfId="3005" priority="2987">
      <formula>$F95="Réalisation"</formula>
    </cfRule>
    <cfRule type="expression" dxfId="3004" priority="2988">
      <formula>$F95="Désenfumage"</formula>
    </cfRule>
    <cfRule type="expression" dxfId="3003" priority="2989">
      <formula>$F95="Administratif"</formula>
    </cfRule>
  </conditionalFormatting>
  <conditionalFormatting sqref="D95">
    <cfRule type="expression" dxfId="3002" priority="2980">
      <formula>$H95="non"</formula>
    </cfRule>
  </conditionalFormatting>
  <conditionalFormatting sqref="D94">
    <cfRule type="expression" dxfId="3001" priority="2971">
      <formula>$F94="Formation CCF"</formula>
    </cfRule>
    <cfRule type="expression" dxfId="3000" priority="2972">
      <formula>$F94="Direction"</formula>
    </cfRule>
    <cfRule type="expression" dxfId="2999" priority="2973">
      <formula>$F94="Ventes Sicli"</formula>
    </cfRule>
    <cfRule type="expression" dxfId="2998" priority="2974">
      <formula>$F94="Ventes Chubb"</formula>
    </cfRule>
    <cfRule type="expression" dxfId="2997" priority="2975">
      <formula>$F94="SAV Sicli"</formula>
    </cfRule>
    <cfRule type="expression" dxfId="2996" priority="2976">
      <formula>$F94="SAV Chubb"</formula>
    </cfRule>
    <cfRule type="expression" dxfId="2995" priority="2977">
      <formula>$F94="Réalisation"</formula>
    </cfRule>
    <cfRule type="expression" dxfId="2994" priority="2978">
      <formula>$F94="Désenfumage"</formula>
    </cfRule>
    <cfRule type="expression" dxfId="2993" priority="2979">
      <formula>$F94="Administratif"</formula>
    </cfRule>
  </conditionalFormatting>
  <conditionalFormatting sqref="D94">
    <cfRule type="expression" dxfId="2992" priority="2970">
      <formula>$H94="non"</formula>
    </cfRule>
  </conditionalFormatting>
  <conditionalFormatting sqref="D93">
    <cfRule type="expression" dxfId="2991" priority="2961">
      <formula>$F93="Formation CCF"</formula>
    </cfRule>
    <cfRule type="expression" dxfId="2990" priority="2962">
      <formula>$F93="Direction"</formula>
    </cfRule>
    <cfRule type="expression" dxfId="2989" priority="2963">
      <formula>$F93="Ventes Sicli"</formula>
    </cfRule>
    <cfRule type="expression" dxfId="2988" priority="2964">
      <formula>$F93="Ventes Chubb"</formula>
    </cfRule>
    <cfRule type="expression" dxfId="2987" priority="2965">
      <formula>$F93="SAV Sicli"</formula>
    </cfRule>
    <cfRule type="expression" dxfId="2986" priority="2966">
      <formula>$F93="SAV Chubb"</formula>
    </cfRule>
    <cfRule type="expression" dxfId="2985" priority="2967">
      <formula>$F93="Réalisation"</formula>
    </cfRule>
    <cfRule type="expression" dxfId="2984" priority="2968">
      <formula>$F93="Désenfumage"</formula>
    </cfRule>
    <cfRule type="expression" dxfId="2983" priority="2969">
      <formula>$F93="Administratif"</formula>
    </cfRule>
  </conditionalFormatting>
  <conditionalFormatting sqref="D93">
    <cfRule type="expression" dxfId="2982" priority="2960">
      <formula>$H93="non"</formula>
    </cfRule>
  </conditionalFormatting>
  <conditionalFormatting sqref="D92">
    <cfRule type="expression" dxfId="2981" priority="2951">
      <formula>$F92="Formation CCF"</formula>
    </cfRule>
    <cfRule type="expression" dxfId="2980" priority="2952">
      <formula>$F92="Direction"</formula>
    </cfRule>
    <cfRule type="expression" dxfId="2979" priority="2953">
      <formula>$F92="Ventes Sicli"</formula>
    </cfRule>
    <cfRule type="expression" dxfId="2978" priority="2954">
      <formula>$F92="Ventes Chubb"</formula>
    </cfRule>
    <cfRule type="expression" dxfId="2977" priority="2955">
      <formula>$F92="SAV Sicli"</formula>
    </cfRule>
    <cfRule type="expression" dxfId="2976" priority="2956">
      <formula>$F92="SAV Chubb"</formula>
    </cfRule>
    <cfRule type="expression" dxfId="2975" priority="2957">
      <formula>$F92="Réalisation"</formula>
    </cfRule>
    <cfRule type="expression" dxfId="2974" priority="2958">
      <formula>$F92="Désenfumage"</formula>
    </cfRule>
    <cfRule type="expression" dxfId="2973" priority="2959">
      <formula>$F92="Administratif"</formula>
    </cfRule>
  </conditionalFormatting>
  <conditionalFormatting sqref="D92">
    <cfRule type="expression" dxfId="2972" priority="2950">
      <formula>$H92="non"</formula>
    </cfRule>
  </conditionalFormatting>
  <conditionalFormatting sqref="D91">
    <cfRule type="expression" dxfId="2971" priority="2941">
      <formula>$F91="Formation CCF"</formula>
    </cfRule>
    <cfRule type="expression" dxfId="2970" priority="2942">
      <formula>$F91="Direction"</formula>
    </cfRule>
    <cfRule type="expression" dxfId="2969" priority="2943">
      <formula>$F91="Ventes Sicli"</formula>
    </cfRule>
    <cfRule type="expression" dxfId="2968" priority="2944">
      <formula>$F91="Ventes Chubb"</formula>
    </cfRule>
    <cfRule type="expression" dxfId="2967" priority="2945">
      <formula>$F91="SAV Sicli"</formula>
    </cfRule>
    <cfRule type="expression" dxfId="2966" priority="2946">
      <formula>$F91="SAV Chubb"</formula>
    </cfRule>
    <cfRule type="expression" dxfId="2965" priority="2947">
      <formula>$F91="Réalisation"</formula>
    </cfRule>
    <cfRule type="expression" dxfId="2964" priority="2948">
      <formula>$F91="Désenfumage"</formula>
    </cfRule>
    <cfRule type="expression" dxfId="2963" priority="2949">
      <formula>$F91="Administratif"</formula>
    </cfRule>
  </conditionalFormatting>
  <conditionalFormatting sqref="D91">
    <cfRule type="expression" dxfId="2962" priority="2940">
      <formula>$H91="non"</formula>
    </cfRule>
  </conditionalFormatting>
  <conditionalFormatting sqref="D98">
    <cfRule type="expression" dxfId="2961" priority="2931">
      <formula>$F98="Formation CCF"</formula>
    </cfRule>
    <cfRule type="expression" dxfId="2960" priority="2932">
      <formula>$F98="Direction"</formula>
    </cfRule>
    <cfRule type="expression" dxfId="2959" priority="2933">
      <formula>$F98="Ventes Sicli"</formula>
    </cfRule>
    <cfRule type="expression" dxfId="2958" priority="2934">
      <formula>$F98="Ventes Chubb"</formula>
    </cfRule>
    <cfRule type="expression" dxfId="2957" priority="2935">
      <formula>$F98="SAV Sicli"</formula>
    </cfRule>
    <cfRule type="expression" dxfId="2956" priority="2936">
      <formula>$F98="SAV Chubb"</formula>
    </cfRule>
    <cfRule type="expression" dxfId="2955" priority="2937">
      <formula>$F98="Réalisation"</formula>
    </cfRule>
    <cfRule type="expression" dxfId="2954" priority="2938">
      <formula>$F98="Désenfumage"</formula>
    </cfRule>
    <cfRule type="expression" dxfId="2953" priority="2939">
      <formula>$F98="Administratif"</formula>
    </cfRule>
  </conditionalFormatting>
  <conditionalFormatting sqref="D98">
    <cfRule type="expression" dxfId="2952" priority="2930">
      <formula>$H98="non"</formula>
    </cfRule>
  </conditionalFormatting>
  <conditionalFormatting sqref="D97">
    <cfRule type="expression" dxfId="2951" priority="2921">
      <formula>$F97="Formation CCF"</formula>
    </cfRule>
    <cfRule type="expression" dxfId="2950" priority="2922">
      <formula>$F97="Direction"</formula>
    </cfRule>
    <cfRule type="expression" dxfId="2949" priority="2923">
      <formula>$F97="Ventes Sicli"</formula>
    </cfRule>
    <cfRule type="expression" dxfId="2948" priority="2924">
      <formula>$F97="Ventes Chubb"</formula>
    </cfRule>
    <cfRule type="expression" dxfId="2947" priority="2925">
      <formula>$F97="SAV Sicli"</formula>
    </cfRule>
    <cfRule type="expression" dxfId="2946" priority="2926">
      <formula>$F97="SAV Chubb"</formula>
    </cfRule>
    <cfRule type="expression" dxfId="2945" priority="2927">
      <formula>$F97="Réalisation"</formula>
    </cfRule>
    <cfRule type="expression" dxfId="2944" priority="2928">
      <formula>$F97="Désenfumage"</formula>
    </cfRule>
    <cfRule type="expression" dxfId="2943" priority="2929">
      <formula>$F97="Administratif"</formula>
    </cfRule>
  </conditionalFormatting>
  <conditionalFormatting sqref="D97">
    <cfRule type="expression" dxfId="2942" priority="2920">
      <formula>$H97="non"</formula>
    </cfRule>
  </conditionalFormatting>
  <conditionalFormatting sqref="D96">
    <cfRule type="expression" dxfId="2941" priority="2911">
      <formula>$F96="Formation CCF"</formula>
    </cfRule>
    <cfRule type="expression" dxfId="2940" priority="2912">
      <formula>$F96="Direction"</formula>
    </cfRule>
    <cfRule type="expression" dxfId="2939" priority="2913">
      <formula>$F96="Ventes Sicli"</formula>
    </cfRule>
    <cfRule type="expression" dxfId="2938" priority="2914">
      <formula>$F96="Ventes Chubb"</formula>
    </cfRule>
    <cfRule type="expression" dxfId="2937" priority="2915">
      <formula>$F96="SAV Sicli"</formula>
    </cfRule>
    <cfRule type="expression" dxfId="2936" priority="2916">
      <formula>$F96="SAV Chubb"</formula>
    </cfRule>
    <cfRule type="expression" dxfId="2935" priority="2917">
      <formula>$F96="Réalisation"</formula>
    </cfRule>
    <cfRule type="expression" dxfId="2934" priority="2918">
      <formula>$F96="Désenfumage"</formula>
    </cfRule>
    <cfRule type="expression" dxfId="2933" priority="2919">
      <formula>$F96="Administratif"</formula>
    </cfRule>
  </conditionalFormatting>
  <conditionalFormatting sqref="D96">
    <cfRule type="expression" dxfId="2932" priority="2910">
      <formula>$H96="non"</formula>
    </cfRule>
  </conditionalFormatting>
  <conditionalFormatting sqref="D95">
    <cfRule type="expression" dxfId="2931" priority="2901">
      <formula>$F95="Formation CCF"</formula>
    </cfRule>
    <cfRule type="expression" dxfId="2930" priority="2902">
      <formula>$F95="Direction"</formula>
    </cfRule>
    <cfRule type="expression" dxfId="2929" priority="2903">
      <formula>$F95="Ventes Sicli"</formula>
    </cfRule>
    <cfRule type="expression" dxfId="2928" priority="2904">
      <formula>$F95="Ventes Chubb"</formula>
    </cfRule>
    <cfRule type="expression" dxfId="2927" priority="2905">
      <formula>$F95="SAV Sicli"</formula>
    </cfRule>
    <cfRule type="expression" dxfId="2926" priority="2906">
      <formula>$F95="SAV Chubb"</formula>
    </cfRule>
    <cfRule type="expression" dxfId="2925" priority="2907">
      <formula>$F95="Réalisation"</formula>
    </cfRule>
    <cfRule type="expression" dxfId="2924" priority="2908">
      <formula>$F95="Désenfumage"</formula>
    </cfRule>
    <cfRule type="expression" dxfId="2923" priority="2909">
      <formula>$F95="Administratif"</formula>
    </cfRule>
  </conditionalFormatting>
  <conditionalFormatting sqref="D95">
    <cfRule type="expression" dxfId="2922" priority="2900">
      <formula>$H95="non"</formula>
    </cfRule>
  </conditionalFormatting>
  <conditionalFormatting sqref="D94">
    <cfRule type="expression" dxfId="2921" priority="2891">
      <formula>$F94="Formation CCF"</formula>
    </cfRule>
    <cfRule type="expression" dxfId="2920" priority="2892">
      <formula>$F94="Direction"</formula>
    </cfRule>
    <cfRule type="expression" dxfId="2919" priority="2893">
      <formula>$F94="Ventes Sicli"</formula>
    </cfRule>
    <cfRule type="expression" dxfId="2918" priority="2894">
      <formula>$F94="Ventes Chubb"</formula>
    </cfRule>
    <cfRule type="expression" dxfId="2917" priority="2895">
      <formula>$F94="SAV Sicli"</formula>
    </cfRule>
    <cfRule type="expression" dxfId="2916" priority="2896">
      <formula>$F94="SAV Chubb"</formula>
    </cfRule>
    <cfRule type="expression" dxfId="2915" priority="2897">
      <formula>$F94="Réalisation"</formula>
    </cfRule>
    <cfRule type="expression" dxfId="2914" priority="2898">
      <formula>$F94="Désenfumage"</formula>
    </cfRule>
    <cfRule type="expression" dxfId="2913" priority="2899">
      <formula>$F94="Administratif"</formula>
    </cfRule>
  </conditionalFormatting>
  <conditionalFormatting sqref="D94">
    <cfRule type="expression" dxfId="2912" priority="2890">
      <formula>$H94="non"</formula>
    </cfRule>
  </conditionalFormatting>
  <conditionalFormatting sqref="D93">
    <cfRule type="expression" dxfId="2911" priority="2881">
      <formula>$F93="Formation CCF"</formula>
    </cfRule>
    <cfRule type="expression" dxfId="2910" priority="2882">
      <formula>$F93="Direction"</formula>
    </cfRule>
    <cfRule type="expression" dxfId="2909" priority="2883">
      <formula>$F93="Ventes Sicli"</formula>
    </cfRule>
    <cfRule type="expression" dxfId="2908" priority="2884">
      <formula>$F93="Ventes Chubb"</formula>
    </cfRule>
    <cfRule type="expression" dxfId="2907" priority="2885">
      <formula>$F93="SAV Sicli"</formula>
    </cfRule>
    <cfRule type="expression" dxfId="2906" priority="2886">
      <formula>$F93="SAV Chubb"</formula>
    </cfRule>
    <cfRule type="expression" dxfId="2905" priority="2887">
      <formula>$F93="Réalisation"</formula>
    </cfRule>
    <cfRule type="expression" dxfId="2904" priority="2888">
      <formula>$F93="Désenfumage"</formula>
    </cfRule>
    <cfRule type="expression" dxfId="2903" priority="2889">
      <formula>$F93="Administratif"</formula>
    </cfRule>
  </conditionalFormatting>
  <conditionalFormatting sqref="D93">
    <cfRule type="expression" dxfId="2902" priority="2880">
      <formula>$H93="non"</formula>
    </cfRule>
  </conditionalFormatting>
  <conditionalFormatting sqref="D92">
    <cfRule type="expression" dxfId="2901" priority="2871">
      <formula>$F92="Formation CCF"</formula>
    </cfRule>
    <cfRule type="expression" dxfId="2900" priority="2872">
      <formula>$F92="Direction"</formula>
    </cfRule>
    <cfRule type="expression" dxfId="2899" priority="2873">
      <formula>$F92="Ventes Sicli"</formula>
    </cfRule>
    <cfRule type="expression" dxfId="2898" priority="2874">
      <formula>$F92="Ventes Chubb"</formula>
    </cfRule>
    <cfRule type="expression" dxfId="2897" priority="2875">
      <formula>$F92="SAV Sicli"</formula>
    </cfRule>
    <cfRule type="expression" dxfId="2896" priority="2876">
      <formula>$F92="SAV Chubb"</formula>
    </cfRule>
    <cfRule type="expression" dxfId="2895" priority="2877">
      <formula>$F92="Réalisation"</formula>
    </cfRule>
    <cfRule type="expression" dxfId="2894" priority="2878">
      <formula>$F92="Désenfumage"</formula>
    </cfRule>
    <cfRule type="expression" dxfId="2893" priority="2879">
      <formula>$F92="Administratif"</formula>
    </cfRule>
  </conditionalFormatting>
  <conditionalFormatting sqref="D92">
    <cfRule type="expression" dxfId="2892" priority="2870">
      <formula>$H92="non"</formula>
    </cfRule>
  </conditionalFormatting>
  <conditionalFormatting sqref="D98">
    <cfRule type="expression" dxfId="2891" priority="2861">
      <formula>$F98="Formation CCF"</formula>
    </cfRule>
    <cfRule type="expression" dxfId="2890" priority="2862">
      <formula>$F98="Direction"</formula>
    </cfRule>
    <cfRule type="expression" dxfId="2889" priority="2863">
      <formula>$F98="Ventes Sicli"</formula>
    </cfRule>
    <cfRule type="expression" dxfId="2888" priority="2864">
      <formula>$F98="Ventes Chubb"</formula>
    </cfRule>
    <cfRule type="expression" dxfId="2887" priority="2865">
      <formula>$F98="SAV Sicli"</formula>
    </cfRule>
    <cfRule type="expression" dxfId="2886" priority="2866">
      <formula>$F98="SAV Chubb"</formula>
    </cfRule>
    <cfRule type="expression" dxfId="2885" priority="2867">
      <formula>$F98="Réalisation"</formula>
    </cfRule>
    <cfRule type="expression" dxfId="2884" priority="2868">
      <formula>$F98="Désenfumage"</formula>
    </cfRule>
    <cfRule type="expression" dxfId="2883" priority="2869">
      <formula>$F98="Administratif"</formula>
    </cfRule>
  </conditionalFormatting>
  <conditionalFormatting sqref="D98">
    <cfRule type="expression" dxfId="2882" priority="2860">
      <formula>$H98="non"</formula>
    </cfRule>
  </conditionalFormatting>
  <conditionalFormatting sqref="D97">
    <cfRule type="expression" dxfId="2881" priority="2851">
      <formula>$F97="Formation CCF"</formula>
    </cfRule>
    <cfRule type="expression" dxfId="2880" priority="2852">
      <formula>$F97="Direction"</formula>
    </cfRule>
    <cfRule type="expression" dxfId="2879" priority="2853">
      <formula>$F97="Ventes Sicli"</formula>
    </cfRule>
    <cfRule type="expression" dxfId="2878" priority="2854">
      <formula>$F97="Ventes Chubb"</formula>
    </cfRule>
    <cfRule type="expression" dxfId="2877" priority="2855">
      <formula>$F97="SAV Sicli"</formula>
    </cfRule>
    <cfRule type="expression" dxfId="2876" priority="2856">
      <formula>$F97="SAV Chubb"</formula>
    </cfRule>
    <cfRule type="expression" dxfId="2875" priority="2857">
      <formula>$F97="Réalisation"</formula>
    </cfRule>
    <cfRule type="expression" dxfId="2874" priority="2858">
      <formula>$F97="Désenfumage"</formula>
    </cfRule>
    <cfRule type="expression" dxfId="2873" priority="2859">
      <formula>$F97="Administratif"</formula>
    </cfRule>
  </conditionalFormatting>
  <conditionalFormatting sqref="D97">
    <cfRule type="expression" dxfId="2872" priority="2850">
      <formula>$H97="non"</formula>
    </cfRule>
  </conditionalFormatting>
  <conditionalFormatting sqref="D96">
    <cfRule type="expression" dxfId="2871" priority="2841">
      <formula>$F96="Formation CCF"</formula>
    </cfRule>
    <cfRule type="expression" dxfId="2870" priority="2842">
      <formula>$F96="Direction"</formula>
    </cfRule>
    <cfRule type="expression" dxfId="2869" priority="2843">
      <formula>$F96="Ventes Sicli"</formula>
    </cfRule>
    <cfRule type="expression" dxfId="2868" priority="2844">
      <formula>$F96="Ventes Chubb"</formula>
    </cfRule>
    <cfRule type="expression" dxfId="2867" priority="2845">
      <formula>$F96="SAV Sicli"</formula>
    </cfRule>
    <cfRule type="expression" dxfId="2866" priority="2846">
      <formula>$F96="SAV Chubb"</formula>
    </cfRule>
    <cfRule type="expression" dxfId="2865" priority="2847">
      <formula>$F96="Réalisation"</formula>
    </cfRule>
    <cfRule type="expression" dxfId="2864" priority="2848">
      <formula>$F96="Désenfumage"</formula>
    </cfRule>
    <cfRule type="expression" dxfId="2863" priority="2849">
      <formula>$F96="Administratif"</formula>
    </cfRule>
  </conditionalFormatting>
  <conditionalFormatting sqref="D96">
    <cfRule type="expression" dxfId="2862" priority="2840">
      <formula>$H96="non"</formula>
    </cfRule>
  </conditionalFormatting>
  <conditionalFormatting sqref="D95">
    <cfRule type="expression" dxfId="2861" priority="2831">
      <formula>$F95="Formation CCF"</formula>
    </cfRule>
    <cfRule type="expression" dxfId="2860" priority="2832">
      <formula>$F95="Direction"</formula>
    </cfRule>
    <cfRule type="expression" dxfId="2859" priority="2833">
      <formula>$F95="Ventes Sicli"</formula>
    </cfRule>
    <cfRule type="expression" dxfId="2858" priority="2834">
      <formula>$F95="Ventes Chubb"</formula>
    </cfRule>
    <cfRule type="expression" dxfId="2857" priority="2835">
      <formula>$F95="SAV Sicli"</formula>
    </cfRule>
    <cfRule type="expression" dxfId="2856" priority="2836">
      <formula>$F95="SAV Chubb"</formula>
    </cfRule>
    <cfRule type="expression" dxfId="2855" priority="2837">
      <formula>$F95="Réalisation"</formula>
    </cfRule>
    <cfRule type="expression" dxfId="2854" priority="2838">
      <formula>$F95="Désenfumage"</formula>
    </cfRule>
    <cfRule type="expression" dxfId="2853" priority="2839">
      <formula>$F95="Administratif"</formula>
    </cfRule>
  </conditionalFormatting>
  <conditionalFormatting sqref="D95">
    <cfRule type="expression" dxfId="2852" priority="2830">
      <formula>$H95="non"</formula>
    </cfRule>
  </conditionalFormatting>
  <conditionalFormatting sqref="D94">
    <cfRule type="expression" dxfId="2851" priority="2821">
      <formula>$F94="Formation CCF"</formula>
    </cfRule>
    <cfRule type="expression" dxfId="2850" priority="2822">
      <formula>$F94="Direction"</formula>
    </cfRule>
    <cfRule type="expression" dxfId="2849" priority="2823">
      <formula>$F94="Ventes Sicli"</formula>
    </cfRule>
    <cfRule type="expression" dxfId="2848" priority="2824">
      <formula>$F94="Ventes Chubb"</formula>
    </cfRule>
    <cfRule type="expression" dxfId="2847" priority="2825">
      <formula>$F94="SAV Sicli"</formula>
    </cfRule>
    <cfRule type="expression" dxfId="2846" priority="2826">
      <formula>$F94="SAV Chubb"</formula>
    </cfRule>
    <cfRule type="expression" dxfId="2845" priority="2827">
      <formula>$F94="Réalisation"</formula>
    </cfRule>
    <cfRule type="expression" dxfId="2844" priority="2828">
      <formula>$F94="Désenfumage"</formula>
    </cfRule>
    <cfRule type="expression" dxfId="2843" priority="2829">
      <formula>$F94="Administratif"</formula>
    </cfRule>
  </conditionalFormatting>
  <conditionalFormatting sqref="D94">
    <cfRule type="expression" dxfId="2842" priority="2820">
      <formula>$H94="non"</formula>
    </cfRule>
  </conditionalFormatting>
  <conditionalFormatting sqref="D93">
    <cfRule type="expression" dxfId="2841" priority="2811">
      <formula>$F93="Formation CCF"</formula>
    </cfRule>
    <cfRule type="expression" dxfId="2840" priority="2812">
      <formula>$F93="Direction"</formula>
    </cfRule>
    <cfRule type="expression" dxfId="2839" priority="2813">
      <formula>$F93="Ventes Sicli"</formula>
    </cfRule>
    <cfRule type="expression" dxfId="2838" priority="2814">
      <formula>$F93="Ventes Chubb"</formula>
    </cfRule>
    <cfRule type="expression" dxfId="2837" priority="2815">
      <formula>$F93="SAV Sicli"</formula>
    </cfRule>
    <cfRule type="expression" dxfId="2836" priority="2816">
      <formula>$F93="SAV Chubb"</formula>
    </cfRule>
    <cfRule type="expression" dxfId="2835" priority="2817">
      <formula>$F93="Réalisation"</formula>
    </cfRule>
    <cfRule type="expression" dxfId="2834" priority="2818">
      <formula>$F93="Désenfumage"</formula>
    </cfRule>
    <cfRule type="expression" dxfId="2833" priority="2819">
      <formula>$F93="Administratif"</formula>
    </cfRule>
  </conditionalFormatting>
  <conditionalFormatting sqref="D93">
    <cfRule type="expression" dxfId="2832" priority="2810">
      <formula>$H93="non"</formula>
    </cfRule>
  </conditionalFormatting>
  <conditionalFormatting sqref="D92">
    <cfRule type="expression" dxfId="2831" priority="2801">
      <formula>$F92="Formation CCF"</formula>
    </cfRule>
    <cfRule type="expression" dxfId="2830" priority="2802">
      <formula>$F92="Direction"</formula>
    </cfRule>
    <cfRule type="expression" dxfId="2829" priority="2803">
      <formula>$F92="Ventes Sicli"</formula>
    </cfRule>
    <cfRule type="expression" dxfId="2828" priority="2804">
      <formula>$F92="Ventes Chubb"</formula>
    </cfRule>
    <cfRule type="expression" dxfId="2827" priority="2805">
      <formula>$F92="SAV Sicli"</formula>
    </cfRule>
    <cfRule type="expression" dxfId="2826" priority="2806">
      <formula>$F92="SAV Chubb"</formula>
    </cfRule>
    <cfRule type="expression" dxfId="2825" priority="2807">
      <formula>$F92="Réalisation"</formula>
    </cfRule>
    <cfRule type="expression" dxfId="2824" priority="2808">
      <formula>$F92="Désenfumage"</formula>
    </cfRule>
    <cfRule type="expression" dxfId="2823" priority="2809">
      <formula>$F92="Administratif"</formula>
    </cfRule>
  </conditionalFormatting>
  <conditionalFormatting sqref="D92">
    <cfRule type="expression" dxfId="2822" priority="2800">
      <formula>$H92="non"</formula>
    </cfRule>
  </conditionalFormatting>
  <conditionalFormatting sqref="D91">
    <cfRule type="expression" dxfId="2821" priority="2791">
      <formula>$F91="Formation CCF"</formula>
    </cfRule>
    <cfRule type="expression" dxfId="2820" priority="2792">
      <formula>$F91="Direction"</formula>
    </cfRule>
    <cfRule type="expression" dxfId="2819" priority="2793">
      <formula>$F91="Ventes Sicli"</formula>
    </cfRule>
    <cfRule type="expression" dxfId="2818" priority="2794">
      <formula>$F91="Ventes Chubb"</formula>
    </cfRule>
    <cfRule type="expression" dxfId="2817" priority="2795">
      <formula>$F91="SAV Sicli"</formula>
    </cfRule>
    <cfRule type="expression" dxfId="2816" priority="2796">
      <formula>$F91="SAV Chubb"</formula>
    </cfRule>
    <cfRule type="expression" dxfId="2815" priority="2797">
      <formula>$F91="Réalisation"</formula>
    </cfRule>
    <cfRule type="expression" dxfId="2814" priority="2798">
      <formula>$F91="Désenfumage"</formula>
    </cfRule>
    <cfRule type="expression" dxfId="2813" priority="2799">
      <formula>$F91="Administratif"</formula>
    </cfRule>
  </conditionalFormatting>
  <conditionalFormatting sqref="D91">
    <cfRule type="expression" dxfId="2812" priority="2790">
      <formula>$H91="non"</formula>
    </cfRule>
  </conditionalFormatting>
  <conditionalFormatting sqref="D98">
    <cfRule type="expression" dxfId="2811" priority="2781">
      <formula>$F98="Formation CCF"</formula>
    </cfRule>
    <cfRule type="expression" dxfId="2810" priority="2782">
      <formula>$F98="Direction"</formula>
    </cfRule>
    <cfRule type="expression" dxfId="2809" priority="2783">
      <formula>$F98="Ventes Sicli"</formula>
    </cfRule>
    <cfRule type="expression" dxfId="2808" priority="2784">
      <formula>$F98="Ventes Chubb"</formula>
    </cfRule>
    <cfRule type="expression" dxfId="2807" priority="2785">
      <formula>$F98="SAV Sicli"</formula>
    </cfRule>
    <cfRule type="expression" dxfId="2806" priority="2786">
      <formula>$F98="SAV Chubb"</formula>
    </cfRule>
    <cfRule type="expression" dxfId="2805" priority="2787">
      <formula>$F98="Réalisation"</formula>
    </cfRule>
    <cfRule type="expression" dxfId="2804" priority="2788">
      <formula>$F98="Désenfumage"</formula>
    </cfRule>
    <cfRule type="expression" dxfId="2803" priority="2789">
      <formula>$F98="Administratif"</formula>
    </cfRule>
  </conditionalFormatting>
  <conditionalFormatting sqref="D98">
    <cfRule type="expression" dxfId="2802" priority="2780">
      <formula>$H98="non"</formula>
    </cfRule>
  </conditionalFormatting>
  <conditionalFormatting sqref="D97">
    <cfRule type="expression" dxfId="2801" priority="2771">
      <formula>$F97="Formation CCF"</formula>
    </cfRule>
    <cfRule type="expression" dxfId="2800" priority="2772">
      <formula>$F97="Direction"</formula>
    </cfRule>
    <cfRule type="expression" dxfId="2799" priority="2773">
      <formula>$F97="Ventes Sicli"</formula>
    </cfRule>
    <cfRule type="expression" dxfId="2798" priority="2774">
      <formula>$F97="Ventes Chubb"</formula>
    </cfRule>
    <cfRule type="expression" dxfId="2797" priority="2775">
      <formula>$F97="SAV Sicli"</formula>
    </cfRule>
    <cfRule type="expression" dxfId="2796" priority="2776">
      <formula>$F97="SAV Chubb"</formula>
    </cfRule>
    <cfRule type="expression" dxfId="2795" priority="2777">
      <formula>$F97="Réalisation"</formula>
    </cfRule>
    <cfRule type="expression" dxfId="2794" priority="2778">
      <formula>$F97="Désenfumage"</formula>
    </cfRule>
    <cfRule type="expression" dxfId="2793" priority="2779">
      <formula>$F97="Administratif"</formula>
    </cfRule>
  </conditionalFormatting>
  <conditionalFormatting sqref="D97">
    <cfRule type="expression" dxfId="2792" priority="2770">
      <formula>$H97="non"</formula>
    </cfRule>
  </conditionalFormatting>
  <conditionalFormatting sqref="D96">
    <cfRule type="expression" dxfId="2791" priority="2761">
      <formula>$F96="Formation CCF"</formula>
    </cfRule>
    <cfRule type="expression" dxfId="2790" priority="2762">
      <formula>$F96="Direction"</formula>
    </cfRule>
    <cfRule type="expression" dxfId="2789" priority="2763">
      <formula>$F96="Ventes Sicli"</formula>
    </cfRule>
    <cfRule type="expression" dxfId="2788" priority="2764">
      <formula>$F96="Ventes Chubb"</formula>
    </cfRule>
    <cfRule type="expression" dxfId="2787" priority="2765">
      <formula>$F96="SAV Sicli"</formula>
    </cfRule>
    <cfRule type="expression" dxfId="2786" priority="2766">
      <formula>$F96="SAV Chubb"</formula>
    </cfRule>
    <cfRule type="expression" dxfId="2785" priority="2767">
      <formula>$F96="Réalisation"</formula>
    </cfRule>
    <cfRule type="expression" dxfId="2784" priority="2768">
      <formula>$F96="Désenfumage"</formula>
    </cfRule>
    <cfRule type="expression" dxfId="2783" priority="2769">
      <formula>$F96="Administratif"</formula>
    </cfRule>
  </conditionalFormatting>
  <conditionalFormatting sqref="D96">
    <cfRule type="expression" dxfId="2782" priority="2760">
      <formula>$H96="non"</formula>
    </cfRule>
  </conditionalFormatting>
  <conditionalFormatting sqref="D94">
    <cfRule type="expression" dxfId="2781" priority="2751">
      <formula>$F94="Formation CCF"</formula>
    </cfRule>
    <cfRule type="expression" dxfId="2780" priority="2752">
      <formula>$F94="Direction"</formula>
    </cfRule>
    <cfRule type="expression" dxfId="2779" priority="2753">
      <formula>$F94="Ventes Sicli"</formula>
    </cfRule>
    <cfRule type="expression" dxfId="2778" priority="2754">
      <formula>$F94="Ventes Chubb"</formula>
    </cfRule>
    <cfRule type="expression" dxfId="2777" priority="2755">
      <formula>$F94="SAV Sicli"</formula>
    </cfRule>
    <cfRule type="expression" dxfId="2776" priority="2756">
      <formula>$F94="SAV Chubb"</formula>
    </cfRule>
    <cfRule type="expression" dxfId="2775" priority="2757">
      <formula>$F94="Réalisation"</formula>
    </cfRule>
    <cfRule type="expression" dxfId="2774" priority="2758">
      <formula>$F94="Désenfumage"</formula>
    </cfRule>
    <cfRule type="expression" dxfId="2773" priority="2759">
      <formula>$F94="Administratif"</formula>
    </cfRule>
  </conditionalFormatting>
  <conditionalFormatting sqref="D94">
    <cfRule type="expression" dxfId="2772" priority="2750">
      <formula>$H94="non"</formula>
    </cfRule>
  </conditionalFormatting>
  <conditionalFormatting sqref="D93">
    <cfRule type="expression" dxfId="2771" priority="2741">
      <formula>$F93="Formation CCF"</formula>
    </cfRule>
    <cfRule type="expression" dxfId="2770" priority="2742">
      <formula>$F93="Direction"</formula>
    </cfRule>
    <cfRule type="expression" dxfId="2769" priority="2743">
      <formula>$F93="Ventes Sicli"</formula>
    </cfRule>
    <cfRule type="expression" dxfId="2768" priority="2744">
      <formula>$F93="Ventes Chubb"</formula>
    </cfRule>
    <cfRule type="expression" dxfId="2767" priority="2745">
      <formula>$F93="SAV Sicli"</formula>
    </cfRule>
    <cfRule type="expression" dxfId="2766" priority="2746">
      <formula>$F93="SAV Chubb"</formula>
    </cfRule>
    <cfRule type="expression" dxfId="2765" priority="2747">
      <formula>$F93="Réalisation"</formula>
    </cfRule>
    <cfRule type="expression" dxfId="2764" priority="2748">
      <formula>$F93="Désenfumage"</formula>
    </cfRule>
    <cfRule type="expression" dxfId="2763" priority="2749">
      <formula>$F93="Administratif"</formula>
    </cfRule>
  </conditionalFormatting>
  <conditionalFormatting sqref="D93">
    <cfRule type="expression" dxfId="2762" priority="2740">
      <formula>$H93="non"</formula>
    </cfRule>
  </conditionalFormatting>
  <conditionalFormatting sqref="D92">
    <cfRule type="expression" dxfId="2761" priority="2731">
      <formula>$F92="Formation CCF"</formula>
    </cfRule>
    <cfRule type="expression" dxfId="2760" priority="2732">
      <formula>$F92="Direction"</formula>
    </cfRule>
    <cfRule type="expression" dxfId="2759" priority="2733">
      <formula>$F92="Ventes Sicli"</formula>
    </cfRule>
    <cfRule type="expression" dxfId="2758" priority="2734">
      <formula>$F92="Ventes Chubb"</formula>
    </cfRule>
    <cfRule type="expression" dxfId="2757" priority="2735">
      <formula>$F92="SAV Sicli"</formula>
    </cfRule>
    <cfRule type="expression" dxfId="2756" priority="2736">
      <formula>$F92="SAV Chubb"</formula>
    </cfRule>
    <cfRule type="expression" dxfId="2755" priority="2737">
      <formula>$F92="Réalisation"</formula>
    </cfRule>
    <cfRule type="expression" dxfId="2754" priority="2738">
      <formula>$F92="Désenfumage"</formula>
    </cfRule>
    <cfRule type="expression" dxfId="2753" priority="2739">
      <formula>$F92="Administratif"</formula>
    </cfRule>
  </conditionalFormatting>
  <conditionalFormatting sqref="D92">
    <cfRule type="expression" dxfId="2752" priority="2730">
      <formula>$H92="non"</formula>
    </cfRule>
  </conditionalFormatting>
  <conditionalFormatting sqref="D91">
    <cfRule type="expression" dxfId="2751" priority="2721">
      <formula>$F91="Formation CCF"</formula>
    </cfRule>
    <cfRule type="expression" dxfId="2750" priority="2722">
      <formula>$F91="Direction"</formula>
    </cfRule>
    <cfRule type="expression" dxfId="2749" priority="2723">
      <formula>$F91="Ventes Sicli"</formula>
    </cfRule>
    <cfRule type="expression" dxfId="2748" priority="2724">
      <formula>$F91="Ventes Chubb"</formula>
    </cfRule>
    <cfRule type="expression" dxfId="2747" priority="2725">
      <formula>$F91="SAV Sicli"</formula>
    </cfRule>
    <cfRule type="expression" dxfId="2746" priority="2726">
      <formula>$F91="SAV Chubb"</formula>
    </cfRule>
    <cfRule type="expression" dxfId="2745" priority="2727">
      <formula>$F91="Réalisation"</formula>
    </cfRule>
    <cfRule type="expression" dxfId="2744" priority="2728">
      <formula>$F91="Désenfumage"</formula>
    </cfRule>
    <cfRule type="expression" dxfId="2743" priority="2729">
      <formula>$F91="Administratif"</formula>
    </cfRule>
  </conditionalFormatting>
  <conditionalFormatting sqref="D91">
    <cfRule type="expression" dxfId="2742" priority="2720">
      <formula>$H91="non"</formula>
    </cfRule>
  </conditionalFormatting>
  <conditionalFormatting sqref="D98">
    <cfRule type="expression" dxfId="2741" priority="2711">
      <formula>$F98="Formation CCF"</formula>
    </cfRule>
    <cfRule type="expression" dxfId="2740" priority="2712">
      <formula>$F98="Direction"</formula>
    </cfRule>
    <cfRule type="expression" dxfId="2739" priority="2713">
      <formula>$F98="Ventes Sicli"</formula>
    </cfRule>
    <cfRule type="expression" dxfId="2738" priority="2714">
      <formula>$F98="Ventes Chubb"</formula>
    </cfRule>
    <cfRule type="expression" dxfId="2737" priority="2715">
      <formula>$F98="SAV Sicli"</formula>
    </cfRule>
    <cfRule type="expression" dxfId="2736" priority="2716">
      <formula>$F98="SAV Chubb"</formula>
    </cfRule>
    <cfRule type="expression" dxfId="2735" priority="2717">
      <formula>$F98="Réalisation"</formula>
    </cfRule>
    <cfRule type="expression" dxfId="2734" priority="2718">
      <formula>$F98="Désenfumage"</formula>
    </cfRule>
    <cfRule type="expression" dxfId="2733" priority="2719">
      <formula>$F98="Administratif"</formula>
    </cfRule>
  </conditionalFormatting>
  <conditionalFormatting sqref="D98">
    <cfRule type="expression" dxfId="2732" priority="2710">
      <formula>$H98="non"</formula>
    </cfRule>
  </conditionalFormatting>
  <conditionalFormatting sqref="D97">
    <cfRule type="expression" dxfId="2731" priority="2701">
      <formula>$F97="Formation CCF"</formula>
    </cfRule>
    <cfRule type="expression" dxfId="2730" priority="2702">
      <formula>$F97="Direction"</formula>
    </cfRule>
    <cfRule type="expression" dxfId="2729" priority="2703">
      <formula>$F97="Ventes Sicli"</formula>
    </cfRule>
    <cfRule type="expression" dxfId="2728" priority="2704">
      <formula>$F97="Ventes Chubb"</formula>
    </cfRule>
    <cfRule type="expression" dxfId="2727" priority="2705">
      <formula>$F97="SAV Sicli"</formula>
    </cfRule>
    <cfRule type="expression" dxfId="2726" priority="2706">
      <formula>$F97="SAV Chubb"</formula>
    </cfRule>
    <cfRule type="expression" dxfId="2725" priority="2707">
      <formula>$F97="Réalisation"</formula>
    </cfRule>
    <cfRule type="expression" dxfId="2724" priority="2708">
      <formula>$F97="Désenfumage"</formula>
    </cfRule>
    <cfRule type="expression" dxfId="2723" priority="2709">
      <formula>$F97="Administratif"</formula>
    </cfRule>
  </conditionalFormatting>
  <conditionalFormatting sqref="D97">
    <cfRule type="expression" dxfId="2722" priority="2700">
      <formula>$H97="non"</formula>
    </cfRule>
  </conditionalFormatting>
  <conditionalFormatting sqref="D96">
    <cfRule type="expression" dxfId="2721" priority="2691">
      <formula>$F96="Formation CCF"</formula>
    </cfRule>
    <cfRule type="expression" dxfId="2720" priority="2692">
      <formula>$F96="Direction"</formula>
    </cfRule>
    <cfRule type="expression" dxfId="2719" priority="2693">
      <formula>$F96="Ventes Sicli"</formula>
    </cfRule>
    <cfRule type="expression" dxfId="2718" priority="2694">
      <formula>$F96="Ventes Chubb"</formula>
    </cfRule>
    <cfRule type="expression" dxfId="2717" priority="2695">
      <formula>$F96="SAV Sicli"</formula>
    </cfRule>
    <cfRule type="expression" dxfId="2716" priority="2696">
      <formula>$F96="SAV Chubb"</formula>
    </cfRule>
    <cfRule type="expression" dxfId="2715" priority="2697">
      <formula>$F96="Réalisation"</formula>
    </cfRule>
    <cfRule type="expression" dxfId="2714" priority="2698">
      <formula>$F96="Désenfumage"</formula>
    </cfRule>
    <cfRule type="expression" dxfId="2713" priority="2699">
      <formula>$F96="Administratif"</formula>
    </cfRule>
  </conditionalFormatting>
  <conditionalFormatting sqref="D96">
    <cfRule type="expression" dxfId="2712" priority="2690">
      <formula>$H96="non"</formula>
    </cfRule>
  </conditionalFormatting>
  <conditionalFormatting sqref="D95">
    <cfRule type="expression" dxfId="2711" priority="2681">
      <formula>$F95="Formation CCF"</formula>
    </cfRule>
    <cfRule type="expression" dxfId="2710" priority="2682">
      <formula>$F95="Direction"</formula>
    </cfRule>
    <cfRule type="expression" dxfId="2709" priority="2683">
      <formula>$F95="Ventes Sicli"</formula>
    </cfRule>
    <cfRule type="expression" dxfId="2708" priority="2684">
      <formula>$F95="Ventes Chubb"</formula>
    </cfRule>
    <cfRule type="expression" dxfId="2707" priority="2685">
      <formula>$F95="SAV Sicli"</formula>
    </cfRule>
    <cfRule type="expression" dxfId="2706" priority="2686">
      <formula>$F95="SAV Chubb"</formula>
    </cfRule>
    <cfRule type="expression" dxfId="2705" priority="2687">
      <formula>$F95="Réalisation"</formula>
    </cfRule>
    <cfRule type="expression" dxfId="2704" priority="2688">
      <formula>$F95="Désenfumage"</formula>
    </cfRule>
    <cfRule type="expression" dxfId="2703" priority="2689">
      <formula>$F95="Administratif"</formula>
    </cfRule>
  </conditionalFormatting>
  <conditionalFormatting sqref="D95">
    <cfRule type="expression" dxfId="2702" priority="2680">
      <formula>$H95="non"</formula>
    </cfRule>
  </conditionalFormatting>
  <conditionalFormatting sqref="D94">
    <cfRule type="expression" dxfId="2701" priority="2671">
      <formula>$F94="Formation CCF"</formula>
    </cfRule>
    <cfRule type="expression" dxfId="2700" priority="2672">
      <formula>$F94="Direction"</formula>
    </cfRule>
    <cfRule type="expression" dxfId="2699" priority="2673">
      <formula>$F94="Ventes Sicli"</formula>
    </cfRule>
    <cfRule type="expression" dxfId="2698" priority="2674">
      <formula>$F94="Ventes Chubb"</formula>
    </cfRule>
    <cfRule type="expression" dxfId="2697" priority="2675">
      <formula>$F94="SAV Sicli"</formula>
    </cfRule>
    <cfRule type="expression" dxfId="2696" priority="2676">
      <formula>$F94="SAV Chubb"</formula>
    </cfRule>
    <cfRule type="expression" dxfId="2695" priority="2677">
      <formula>$F94="Réalisation"</formula>
    </cfRule>
    <cfRule type="expression" dxfId="2694" priority="2678">
      <formula>$F94="Désenfumage"</formula>
    </cfRule>
    <cfRule type="expression" dxfId="2693" priority="2679">
      <formula>$F94="Administratif"</formula>
    </cfRule>
  </conditionalFormatting>
  <conditionalFormatting sqref="D94">
    <cfRule type="expression" dxfId="2692" priority="2670">
      <formula>$H94="non"</formula>
    </cfRule>
  </conditionalFormatting>
  <conditionalFormatting sqref="D93">
    <cfRule type="expression" dxfId="2691" priority="2661">
      <formula>$F93="Formation CCF"</formula>
    </cfRule>
    <cfRule type="expression" dxfId="2690" priority="2662">
      <formula>$F93="Direction"</formula>
    </cfRule>
    <cfRule type="expression" dxfId="2689" priority="2663">
      <formula>$F93="Ventes Sicli"</formula>
    </cfRule>
    <cfRule type="expression" dxfId="2688" priority="2664">
      <formula>$F93="Ventes Chubb"</formula>
    </cfRule>
    <cfRule type="expression" dxfId="2687" priority="2665">
      <formula>$F93="SAV Sicli"</formula>
    </cfRule>
    <cfRule type="expression" dxfId="2686" priority="2666">
      <formula>$F93="SAV Chubb"</formula>
    </cfRule>
    <cfRule type="expression" dxfId="2685" priority="2667">
      <formula>$F93="Réalisation"</formula>
    </cfRule>
    <cfRule type="expression" dxfId="2684" priority="2668">
      <formula>$F93="Désenfumage"</formula>
    </cfRule>
    <cfRule type="expression" dxfId="2683" priority="2669">
      <formula>$F93="Administratif"</formula>
    </cfRule>
  </conditionalFormatting>
  <conditionalFormatting sqref="D93">
    <cfRule type="expression" dxfId="2682" priority="2660">
      <formula>$H93="non"</formula>
    </cfRule>
  </conditionalFormatting>
  <conditionalFormatting sqref="D92">
    <cfRule type="expression" dxfId="2681" priority="2651">
      <formula>$F92="Formation CCF"</formula>
    </cfRule>
    <cfRule type="expression" dxfId="2680" priority="2652">
      <formula>$F92="Direction"</formula>
    </cfRule>
    <cfRule type="expression" dxfId="2679" priority="2653">
      <formula>$F92="Ventes Sicli"</formula>
    </cfRule>
    <cfRule type="expression" dxfId="2678" priority="2654">
      <formula>$F92="Ventes Chubb"</formula>
    </cfRule>
    <cfRule type="expression" dxfId="2677" priority="2655">
      <formula>$F92="SAV Sicli"</formula>
    </cfRule>
    <cfRule type="expression" dxfId="2676" priority="2656">
      <formula>$F92="SAV Chubb"</formula>
    </cfRule>
    <cfRule type="expression" dxfId="2675" priority="2657">
      <formula>$F92="Réalisation"</formula>
    </cfRule>
    <cfRule type="expression" dxfId="2674" priority="2658">
      <formula>$F92="Désenfumage"</formula>
    </cfRule>
    <cfRule type="expression" dxfId="2673" priority="2659">
      <formula>$F92="Administratif"</formula>
    </cfRule>
  </conditionalFormatting>
  <conditionalFormatting sqref="D92">
    <cfRule type="expression" dxfId="2672" priority="2650">
      <formula>$H92="non"</formula>
    </cfRule>
  </conditionalFormatting>
  <conditionalFormatting sqref="D91">
    <cfRule type="expression" dxfId="2671" priority="2641">
      <formula>$F91="Formation CCF"</formula>
    </cfRule>
    <cfRule type="expression" dxfId="2670" priority="2642">
      <formula>$F91="Direction"</formula>
    </cfRule>
    <cfRule type="expression" dxfId="2669" priority="2643">
      <formula>$F91="Ventes Sicli"</formula>
    </cfRule>
    <cfRule type="expression" dxfId="2668" priority="2644">
      <formula>$F91="Ventes Chubb"</formula>
    </cfRule>
    <cfRule type="expression" dxfId="2667" priority="2645">
      <formula>$F91="SAV Sicli"</formula>
    </cfRule>
    <cfRule type="expression" dxfId="2666" priority="2646">
      <formula>$F91="SAV Chubb"</formula>
    </cfRule>
    <cfRule type="expression" dxfId="2665" priority="2647">
      <formula>$F91="Réalisation"</formula>
    </cfRule>
    <cfRule type="expression" dxfId="2664" priority="2648">
      <formula>$F91="Désenfumage"</formula>
    </cfRule>
    <cfRule type="expression" dxfId="2663" priority="2649">
      <formula>$F91="Administratif"</formula>
    </cfRule>
  </conditionalFormatting>
  <conditionalFormatting sqref="D91">
    <cfRule type="expression" dxfId="2662" priority="2640">
      <formula>$H91="non"</formula>
    </cfRule>
  </conditionalFormatting>
  <conditionalFormatting sqref="D98">
    <cfRule type="expression" dxfId="2661" priority="2631">
      <formula>$F98="Formation CCF"</formula>
    </cfRule>
    <cfRule type="expression" dxfId="2660" priority="2632">
      <formula>$F98="Direction"</formula>
    </cfRule>
    <cfRule type="expression" dxfId="2659" priority="2633">
      <formula>$F98="Ventes Sicli"</formula>
    </cfRule>
    <cfRule type="expression" dxfId="2658" priority="2634">
      <formula>$F98="Ventes Chubb"</formula>
    </cfRule>
    <cfRule type="expression" dxfId="2657" priority="2635">
      <formula>$F98="SAV Sicli"</formula>
    </cfRule>
    <cfRule type="expression" dxfId="2656" priority="2636">
      <formula>$F98="SAV Chubb"</formula>
    </cfRule>
    <cfRule type="expression" dxfId="2655" priority="2637">
      <formula>$F98="Réalisation"</formula>
    </cfRule>
    <cfRule type="expression" dxfId="2654" priority="2638">
      <formula>$F98="Désenfumage"</formula>
    </cfRule>
    <cfRule type="expression" dxfId="2653" priority="2639">
      <formula>$F98="Administratif"</formula>
    </cfRule>
  </conditionalFormatting>
  <conditionalFormatting sqref="D98">
    <cfRule type="expression" dxfId="2652" priority="2630">
      <formula>$H98="non"</formula>
    </cfRule>
  </conditionalFormatting>
  <conditionalFormatting sqref="D97">
    <cfRule type="expression" dxfId="2651" priority="2621">
      <formula>$F97="Formation CCF"</formula>
    </cfRule>
    <cfRule type="expression" dxfId="2650" priority="2622">
      <formula>$F97="Direction"</formula>
    </cfRule>
    <cfRule type="expression" dxfId="2649" priority="2623">
      <formula>$F97="Ventes Sicli"</formula>
    </cfRule>
    <cfRule type="expression" dxfId="2648" priority="2624">
      <formula>$F97="Ventes Chubb"</formula>
    </cfRule>
    <cfRule type="expression" dxfId="2647" priority="2625">
      <formula>$F97="SAV Sicli"</formula>
    </cfRule>
    <cfRule type="expression" dxfId="2646" priority="2626">
      <formula>$F97="SAV Chubb"</formula>
    </cfRule>
    <cfRule type="expression" dxfId="2645" priority="2627">
      <formula>$F97="Réalisation"</formula>
    </cfRule>
    <cfRule type="expression" dxfId="2644" priority="2628">
      <formula>$F97="Désenfumage"</formula>
    </cfRule>
    <cfRule type="expression" dxfId="2643" priority="2629">
      <formula>$F97="Administratif"</formula>
    </cfRule>
  </conditionalFormatting>
  <conditionalFormatting sqref="D97">
    <cfRule type="expression" dxfId="2642" priority="2620">
      <formula>$H97="non"</formula>
    </cfRule>
  </conditionalFormatting>
  <conditionalFormatting sqref="D96">
    <cfRule type="expression" dxfId="2641" priority="2611">
      <formula>$F96="Formation CCF"</formula>
    </cfRule>
    <cfRule type="expression" dxfId="2640" priority="2612">
      <formula>$F96="Direction"</formula>
    </cfRule>
    <cfRule type="expression" dxfId="2639" priority="2613">
      <formula>$F96="Ventes Sicli"</formula>
    </cfRule>
    <cfRule type="expression" dxfId="2638" priority="2614">
      <formula>$F96="Ventes Chubb"</formula>
    </cfRule>
    <cfRule type="expression" dxfId="2637" priority="2615">
      <formula>$F96="SAV Sicli"</formula>
    </cfRule>
    <cfRule type="expression" dxfId="2636" priority="2616">
      <formula>$F96="SAV Chubb"</formula>
    </cfRule>
    <cfRule type="expression" dxfId="2635" priority="2617">
      <formula>$F96="Réalisation"</formula>
    </cfRule>
    <cfRule type="expression" dxfId="2634" priority="2618">
      <formula>$F96="Désenfumage"</formula>
    </cfRule>
    <cfRule type="expression" dxfId="2633" priority="2619">
      <formula>$F96="Administratif"</formula>
    </cfRule>
  </conditionalFormatting>
  <conditionalFormatting sqref="D96">
    <cfRule type="expression" dxfId="2632" priority="2610">
      <formula>$H96="non"</formula>
    </cfRule>
  </conditionalFormatting>
  <conditionalFormatting sqref="D95">
    <cfRule type="expression" dxfId="2631" priority="2601">
      <formula>$F95="Formation CCF"</formula>
    </cfRule>
    <cfRule type="expression" dxfId="2630" priority="2602">
      <formula>$F95="Direction"</formula>
    </cfRule>
    <cfRule type="expression" dxfId="2629" priority="2603">
      <formula>$F95="Ventes Sicli"</formula>
    </cfRule>
    <cfRule type="expression" dxfId="2628" priority="2604">
      <formula>$F95="Ventes Chubb"</formula>
    </cfRule>
    <cfRule type="expression" dxfId="2627" priority="2605">
      <formula>$F95="SAV Sicli"</formula>
    </cfRule>
    <cfRule type="expression" dxfId="2626" priority="2606">
      <formula>$F95="SAV Chubb"</formula>
    </cfRule>
    <cfRule type="expression" dxfId="2625" priority="2607">
      <formula>$F95="Réalisation"</formula>
    </cfRule>
    <cfRule type="expression" dxfId="2624" priority="2608">
      <formula>$F95="Désenfumage"</formula>
    </cfRule>
    <cfRule type="expression" dxfId="2623" priority="2609">
      <formula>$F95="Administratif"</formula>
    </cfRule>
  </conditionalFormatting>
  <conditionalFormatting sqref="D95">
    <cfRule type="expression" dxfId="2622" priority="2600">
      <formula>$H95="non"</formula>
    </cfRule>
  </conditionalFormatting>
  <conditionalFormatting sqref="D94">
    <cfRule type="expression" dxfId="2621" priority="2591">
      <formula>$F94="Formation CCF"</formula>
    </cfRule>
    <cfRule type="expression" dxfId="2620" priority="2592">
      <formula>$F94="Direction"</formula>
    </cfRule>
    <cfRule type="expression" dxfId="2619" priority="2593">
      <formula>$F94="Ventes Sicli"</formula>
    </cfRule>
    <cfRule type="expression" dxfId="2618" priority="2594">
      <formula>$F94="Ventes Chubb"</formula>
    </cfRule>
    <cfRule type="expression" dxfId="2617" priority="2595">
      <formula>$F94="SAV Sicli"</formula>
    </cfRule>
    <cfRule type="expression" dxfId="2616" priority="2596">
      <formula>$F94="SAV Chubb"</formula>
    </cfRule>
    <cfRule type="expression" dxfId="2615" priority="2597">
      <formula>$F94="Réalisation"</formula>
    </cfRule>
    <cfRule type="expression" dxfId="2614" priority="2598">
      <formula>$F94="Désenfumage"</formula>
    </cfRule>
    <cfRule type="expression" dxfId="2613" priority="2599">
      <formula>$F94="Administratif"</formula>
    </cfRule>
  </conditionalFormatting>
  <conditionalFormatting sqref="D94">
    <cfRule type="expression" dxfId="2612" priority="2590">
      <formula>$H94="non"</formula>
    </cfRule>
  </conditionalFormatting>
  <conditionalFormatting sqref="D93">
    <cfRule type="expression" dxfId="2611" priority="2581">
      <formula>$F93="Formation CCF"</formula>
    </cfRule>
    <cfRule type="expression" dxfId="2610" priority="2582">
      <formula>$F93="Direction"</formula>
    </cfRule>
    <cfRule type="expression" dxfId="2609" priority="2583">
      <formula>$F93="Ventes Sicli"</formula>
    </cfRule>
    <cfRule type="expression" dxfId="2608" priority="2584">
      <formula>$F93="Ventes Chubb"</formula>
    </cfRule>
    <cfRule type="expression" dxfId="2607" priority="2585">
      <formula>$F93="SAV Sicli"</formula>
    </cfRule>
    <cfRule type="expression" dxfId="2606" priority="2586">
      <formula>$F93="SAV Chubb"</formula>
    </cfRule>
    <cfRule type="expression" dxfId="2605" priority="2587">
      <formula>$F93="Réalisation"</formula>
    </cfRule>
    <cfRule type="expression" dxfId="2604" priority="2588">
      <formula>$F93="Désenfumage"</formula>
    </cfRule>
    <cfRule type="expression" dxfId="2603" priority="2589">
      <formula>$F93="Administratif"</formula>
    </cfRule>
  </conditionalFormatting>
  <conditionalFormatting sqref="D93">
    <cfRule type="expression" dxfId="2602" priority="2580">
      <formula>$H93="non"</formula>
    </cfRule>
  </conditionalFormatting>
  <conditionalFormatting sqref="D92">
    <cfRule type="expression" dxfId="2601" priority="2571">
      <formula>$F92="Formation CCF"</formula>
    </cfRule>
    <cfRule type="expression" dxfId="2600" priority="2572">
      <formula>$F92="Direction"</formula>
    </cfRule>
    <cfRule type="expression" dxfId="2599" priority="2573">
      <formula>$F92="Ventes Sicli"</formula>
    </cfRule>
    <cfRule type="expression" dxfId="2598" priority="2574">
      <formula>$F92="Ventes Chubb"</formula>
    </cfRule>
    <cfRule type="expression" dxfId="2597" priority="2575">
      <formula>$F92="SAV Sicli"</formula>
    </cfRule>
    <cfRule type="expression" dxfId="2596" priority="2576">
      <formula>$F92="SAV Chubb"</formula>
    </cfRule>
    <cfRule type="expression" dxfId="2595" priority="2577">
      <formula>$F92="Réalisation"</formula>
    </cfRule>
    <cfRule type="expression" dxfId="2594" priority="2578">
      <formula>$F92="Désenfumage"</formula>
    </cfRule>
    <cfRule type="expression" dxfId="2593" priority="2579">
      <formula>$F92="Administratif"</formula>
    </cfRule>
  </conditionalFormatting>
  <conditionalFormatting sqref="D92">
    <cfRule type="expression" dxfId="2592" priority="2570">
      <formula>$H92="non"</formula>
    </cfRule>
  </conditionalFormatting>
  <conditionalFormatting sqref="D91">
    <cfRule type="expression" dxfId="2591" priority="2561">
      <formula>$F91="Formation CCF"</formula>
    </cfRule>
    <cfRule type="expression" dxfId="2590" priority="2562">
      <formula>$F91="Direction"</formula>
    </cfRule>
    <cfRule type="expression" dxfId="2589" priority="2563">
      <formula>$F91="Ventes Sicli"</formula>
    </cfRule>
    <cfRule type="expression" dxfId="2588" priority="2564">
      <formula>$F91="Ventes Chubb"</formula>
    </cfRule>
    <cfRule type="expression" dxfId="2587" priority="2565">
      <formula>$F91="SAV Sicli"</formula>
    </cfRule>
    <cfRule type="expression" dxfId="2586" priority="2566">
      <formula>$F91="SAV Chubb"</formula>
    </cfRule>
    <cfRule type="expression" dxfId="2585" priority="2567">
      <formula>$F91="Réalisation"</formula>
    </cfRule>
    <cfRule type="expression" dxfId="2584" priority="2568">
      <formula>$F91="Désenfumage"</formula>
    </cfRule>
    <cfRule type="expression" dxfId="2583" priority="2569">
      <formula>$F91="Administratif"</formula>
    </cfRule>
  </conditionalFormatting>
  <conditionalFormatting sqref="D91">
    <cfRule type="expression" dxfId="2582" priority="2560">
      <formula>$H91="non"</formula>
    </cfRule>
  </conditionalFormatting>
  <conditionalFormatting sqref="D98">
    <cfRule type="expression" dxfId="2581" priority="2551">
      <formula>$F98="Formation CCF"</formula>
    </cfRule>
    <cfRule type="expression" dxfId="2580" priority="2552">
      <formula>$F98="Direction"</formula>
    </cfRule>
    <cfRule type="expression" dxfId="2579" priority="2553">
      <formula>$F98="Ventes Sicli"</formula>
    </cfRule>
    <cfRule type="expression" dxfId="2578" priority="2554">
      <formula>$F98="Ventes Chubb"</formula>
    </cfRule>
    <cfRule type="expression" dxfId="2577" priority="2555">
      <formula>$F98="SAV Sicli"</formula>
    </cfRule>
    <cfRule type="expression" dxfId="2576" priority="2556">
      <formula>$F98="SAV Chubb"</formula>
    </cfRule>
    <cfRule type="expression" dxfId="2575" priority="2557">
      <formula>$F98="Réalisation"</formula>
    </cfRule>
    <cfRule type="expression" dxfId="2574" priority="2558">
      <formula>$F98="Désenfumage"</formula>
    </cfRule>
    <cfRule type="expression" dxfId="2573" priority="2559">
      <formula>$F98="Administratif"</formula>
    </cfRule>
  </conditionalFormatting>
  <conditionalFormatting sqref="D98">
    <cfRule type="expression" dxfId="2572" priority="2550">
      <formula>$H98="non"</formula>
    </cfRule>
  </conditionalFormatting>
  <conditionalFormatting sqref="D97">
    <cfRule type="expression" dxfId="2571" priority="2541">
      <formula>$F97="Formation CCF"</formula>
    </cfRule>
    <cfRule type="expression" dxfId="2570" priority="2542">
      <formula>$F97="Direction"</formula>
    </cfRule>
    <cfRule type="expression" dxfId="2569" priority="2543">
      <formula>$F97="Ventes Sicli"</formula>
    </cfRule>
    <cfRule type="expression" dxfId="2568" priority="2544">
      <formula>$F97="Ventes Chubb"</formula>
    </cfRule>
    <cfRule type="expression" dxfId="2567" priority="2545">
      <formula>$F97="SAV Sicli"</formula>
    </cfRule>
    <cfRule type="expression" dxfId="2566" priority="2546">
      <formula>$F97="SAV Chubb"</formula>
    </cfRule>
    <cfRule type="expression" dxfId="2565" priority="2547">
      <formula>$F97="Réalisation"</formula>
    </cfRule>
    <cfRule type="expression" dxfId="2564" priority="2548">
      <formula>$F97="Désenfumage"</formula>
    </cfRule>
    <cfRule type="expression" dxfId="2563" priority="2549">
      <formula>$F97="Administratif"</formula>
    </cfRule>
  </conditionalFormatting>
  <conditionalFormatting sqref="D97">
    <cfRule type="expression" dxfId="2562" priority="2540">
      <formula>$H97="non"</formula>
    </cfRule>
  </conditionalFormatting>
  <conditionalFormatting sqref="D96">
    <cfRule type="expression" dxfId="2561" priority="2531">
      <formula>$F96="Formation CCF"</formula>
    </cfRule>
    <cfRule type="expression" dxfId="2560" priority="2532">
      <formula>$F96="Direction"</formula>
    </cfRule>
    <cfRule type="expression" dxfId="2559" priority="2533">
      <formula>$F96="Ventes Sicli"</formula>
    </cfRule>
    <cfRule type="expression" dxfId="2558" priority="2534">
      <formula>$F96="Ventes Chubb"</formula>
    </cfRule>
    <cfRule type="expression" dxfId="2557" priority="2535">
      <formula>$F96="SAV Sicli"</formula>
    </cfRule>
    <cfRule type="expression" dxfId="2556" priority="2536">
      <formula>$F96="SAV Chubb"</formula>
    </cfRule>
    <cfRule type="expression" dxfId="2555" priority="2537">
      <formula>$F96="Réalisation"</formula>
    </cfRule>
    <cfRule type="expression" dxfId="2554" priority="2538">
      <formula>$F96="Désenfumage"</formula>
    </cfRule>
    <cfRule type="expression" dxfId="2553" priority="2539">
      <formula>$F96="Administratif"</formula>
    </cfRule>
  </conditionalFormatting>
  <conditionalFormatting sqref="D96">
    <cfRule type="expression" dxfId="2552" priority="2530">
      <formula>$H96="non"</formula>
    </cfRule>
  </conditionalFormatting>
  <conditionalFormatting sqref="D95">
    <cfRule type="expression" dxfId="2551" priority="2521">
      <formula>$F95="Formation CCF"</formula>
    </cfRule>
    <cfRule type="expression" dxfId="2550" priority="2522">
      <formula>$F95="Direction"</formula>
    </cfRule>
    <cfRule type="expression" dxfId="2549" priority="2523">
      <formula>$F95="Ventes Sicli"</formula>
    </cfRule>
    <cfRule type="expression" dxfId="2548" priority="2524">
      <formula>$F95="Ventes Chubb"</formula>
    </cfRule>
    <cfRule type="expression" dxfId="2547" priority="2525">
      <formula>$F95="SAV Sicli"</formula>
    </cfRule>
    <cfRule type="expression" dxfId="2546" priority="2526">
      <formula>$F95="SAV Chubb"</formula>
    </cfRule>
    <cfRule type="expression" dxfId="2545" priority="2527">
      <formula>$F95="Réalisation"</formula>
    </cfRule>
    <cfRule type="expression" dxfId="2544" priority="2528">
      <formula>$F95="Désenfumage"</formula>
    </cfRule>
    <cfRule type="expression" dxfId="2543" priority="2529">
      <formula>$F95="Administratif"</formula>
    </cfRule>
  </conditionalFormatting>
  <conditionalFormatting sqref="D95">
    <cfRule type="expression" dxfId="2542" priority="2520">
      <formula>$H95="non"</formula>
    </cfRule>
  </conditionalFormatting>
  <conditionalFormatting sqref="D94">
    <cfRule type="expression" dxfId="2541" priority="2511">
      <formula>$F94="Formation CCF"</formula>
    </cfRule>
    <cfRule type="expression" dxfId="2540" priority="2512">
      <formula>$F94="Direction"</formula>
    </cfRule>
    <cfRule type="expression" dxfId="2539" priority="2513">
      <formula>$F94="Ventes Sicli"</formula>
    </cfRule>
    <cfRule type="expression" dxfId="2538" priority="2514">
      <formula>$F94="Ventes Chubb"</formula>
    </cfRule>
    <cfRule type="expression" dxfId="2537" priority="2515">
      <formula>$F94="SAV Sicli"</formula>
    </cfRule>
    <cfRule type="expression" dxfId="2536" priority="2516">
      <formula>$F94="SAV Chubb"</formula>
    </cfRule>
    <cfRule type="expression" dxfId="2535" priority="2517">
      <formula>$F94="Réalisation"</formula>
    </cfRule>
    <cfRule type="expression" dxfId="2534" priority="2518">
      <formula>$F94="Désenfumage"</formula>
    </cfRule>
    <cfRule type="expression" dxfId="2533" priority="2519">
      <formula>$F94="Administratif"</formula>
    </cfRule>
  </conditionalFormatting>
  <conditionalFormatting sqref="D94">
    <cfRule type="expression" dxfId="2532" priority="2510">
      <formula>$H94="non"</formula>
    </cfRule>
  </conditionalFormatting>
  <conditionalFormatting sqref="D93">
    <cfRule type="expression" dxfId="2531" priority="2501">
      <formula>$F93="Formation CCF"</formula>
    </cfRule>
    <cfRule type="expression" dxfId="2530" priority="2502">
      <formula>$F93="Direction"</formula>
    </cfRule>
    <cfRule type="expression" dxfId="2529" priority="2503">
      <formula>$F93="Ventes Sicli"</formula>
    </cfRule>
    <cfRule type="expression" dxfId="2528" priority="2504">
      <formula>$F93="Ventes Chubb"</formula>
    </cfRule>
    <cfRule type="expression" dxfId="2527" priority="2505">
      <formula>$F93="SAV Sicli"</formula>
    </cfRule>
    <cfRule type="expression" dxfId="2526" priority="2506">
      <formula>$F93="SAV Chubb"</formula>
    </cfRule>
    <cfRule type="expression" dxfId="2525" priority="2507">
      <formula>$F93="Réalisation"</formula>
    </cfRule>
    <cfRule type="expression" dxfId="2524" priority="2508">
      <formula>$F93="Désenfumage"</formula>
    </cfRule>
    <cfRule type="expression" dxfId="2523" priority="2509">
      <formula>$F93="Administratif"</formula>
    </cfRule>
  </conditionalFormatting>
  <conditionalFormatting sqref="D93">
    <cfRule type="expression" dxfId="2522" priority="2500">
      <formula>$H93="non"</formula>
    </cfRule>
  </conditionalFormatting>
  <conditionalFormatting sqref="D92">
    <cfRule type="expression" dxfId="2521" priority="2491">
      <formula>$F92="Formation CCF"</formula>
    </cfRule>
    <cfRule type="expression" dxfId="2520" priority="2492">
      <formula>$F92="Direction"</formula>
    </cfRule>
    <cfRule type="expression" dxfId="2519" priority="2493">
      <formula>$F92="Ventes Sicli"</formula>
    </cfRule>
    <cfRule type="expression" dxfId="2518" priority="2494">
      <formula>$F92="Ventes Chubb"</formula>
    </cfRule>
    <cfRule type="expression" dxfId="2517" priority="2495">
      <formula>$F92="SAV Sicli"</formula>
    </cfRule>
    <cfRule type="expression" dxfId="2516" priority="2496">
      <formula>$F92="SAV Chubb"</formula>
    </cfRule>
    <cfRule type="expression" dxfId="2515" priority="2497">
      <formula>$F92="Réalisation"</formula>
    </cfRule>
    <cfRule type="expression" dxfId="2514" priority="2498">
      <formula>$F92="Désenfumage"</formula>
    </cfRule>
    <cfRule type="expression" dxfId="2513" priority="2499">
      <formula>$F92="Administratif"</formula>
    </cfRule>
  </conditionalFormatting>
  <conditionalFormatting sqref="D92">
    <cfRule type="expression" dxfId="2512" priority="2490">
      <formula>$H92="non"</formula>
    </cfRule>
  </conditionalFormatting>
  <conditionalFormatting sqref="D91">
    <cfRule type="expression" dxfId="2511" priority="2481">
      <formula>$F91="Formation CCF"</formula>
    </cfRule>
    <cfRule type="expression" dxfId="2510" priority="2482">
      <formula>$F91="Direction"</formula>
    </cfRule>
    <cfRule type="expression" dxfId="2509" priority="2483">
      <formula>$F91="Ventes Sicli"</formula>
    </cfRule>
    <cfRule type="expression" dxfId="2508" priority="2484">
      <formula>$F91="Ventes Chubb"</formula>
    </cfRule>
    <cfRule type="expression" dxfId="2507" priority="2485">
      <formula>$F91="SAV Sicli"</formula>
    </cfRule>
    <cfRule type="expression" dxfId="2506" priority="2486">
      <formula>$F91="SAV Chubb"</formula>
    </cfRule>
    <cfRule type="expression" dxfId="2505" priority="2487">
      <formula>$F91="Réalisation"</formula>
    </cfRule>
    <cfRule type="expression" dxfId="2504" priority="2488">
      <formula>$F91="Désenfumage"</formula>
    </cfRule>
    <cfRule type="expression" dxfId="2503" priority="2489">
      <formula>$F91="Administratif"</formula>
    </cfRule>
  </conditionalFormatting>
  <conditionalFormatting sqref="D91">
    <cfRule type="expression" dxfId="2502" priority="2480">
      <formula>$H91="non"</formula>
    </cfRule>
  </conditionalFormatting>
  <conditionalFormatting sqref="D97">
    <cfRule type="expression" dxfId="2501" priority="2471">
      <formula>$F97="Formation CCF"</formula>
    </cfRule>
    <cfRule type="expression" dxfId="2500" priority="2472">
      <formula>$F97="Direction"</formula>
    </cfRule>
    <cfRule type="expression" dxfId="2499" priority="2473">
      <formula>$F97="Ventes Sicli"</formula>
    </cfRule>
    <cfRule type="expression" dxfId="2498" priority="2474">
      <formula>$F97="Ventes Chubb"</formula>
    </cfRule>
    <cfRule type="expression" dxfId="2497" priority="2475">
      <formula>$F97="SAV Sicli"</formula>
    </cfRule>
    <cfRule type="expression" dxfId="2496" priority="2476">
      <formula>$F97="SAV Chubb"</formula>
    </cfRule>
    <cfRule type="expression" dxfId="2495" priority="2477">
      <formula>$F97="Réalisation"</formula>
    </cfRule>
    <cfRule type="expression" dxfId="2494" priority="2478">
      <formula>$F97="Désenfumage"</formula>
    </cfRule>
    <cfRule type="expression" dxfId="2493" priority="2479">
      <formula>$F97="Administratif"</formula>
    </cfRule>
  </conditionalFormatting>
  <conditionalFormatting sqref="D97">
    <cfRule type="expression" dxfId="2492" priority="2470">
      <formula>$H97="non"</formula>
    </cfRule>
  </conditionalFormatting>
  <conditionalFormatting sqref="D96">
    <cfRule type="expression" dxfId="2491" priority="2461">
      <formula>$F96="Formation CCF"</formula>
    </cfRule>
    <cfRule type="expression" dxfId="2490" priority="2462">
      <formula>$F96="Direction"</formula>
    </cfRule>
    <cfRule type="expression" dxfId="2489" priority="2463">
      <formula>$F96="Ventes Sicli"</formula>
    </cfRule>
    <cfRule type="expression" dxfId="2488" priority="2464">
      <formula>$F96="Ventes Chubb"</formula>
    </cfRule>
    <cfRule type="expression" dxfId="2487" priority="2465">
      <formula>$F96="SAV Sicli"</formula>
    </cfRule>
    <cfRule type="expression" dxfId="2486" priority="2466">
      <formula>$F96="SAV Chubb"</formula>
    </cfRule>
    <cfRule type="expression" dxfId="2485" priority="2467">
      <formula>$F96="Réalisation"</formula>
    </cfRule>
    <cfRule type="expression" dxfId="2484" priority="2468">
      <formula>$F96="Désenfumage"</formula>
    </cfRule>
    <cfRule type="expression" dxfId="2483" priority="2469">
      <formula>$F96="Administratif"</formula>
    </cfRule>
  </conditionalFormatting>
  <conditionalFormatting sqref="D96">
    <cfRule type="expression" dxfId="2482" priority="2460">
      <formula>$H96="non"</formula>
    </cfRule>
  </conditionalFormatting>
  <conditionalFormatting sqref="D95">
    <cfRule type="expression" dxfId="2481" priority="2451">
      <formula>$F95="Formation CCF"</formula>
    </cfRule>
    <cfRule type="expression" dxfId="2480" priority="2452">
      <formula>$F95="Direction"</formula>
    </cfRule>
    <cfRule type="expression" dxfId="2479" priority="2453">
      <formula>$F95="Ventes Sicli"</formula>
    </cfRule>
    <cfRule type="expression" dxfId="2478" priority="2454">
      <formula>$F95="Ventes Chubb"</formula>
    </cfRule>
    <cfRule type="expression" dxfId="2477" priority="2455">
      <formula>$F95="SAV Sicli"</formula>
    </cfRule>
    <cfRule type="expression" dxfId="2476" priority="2456">
      <formula>$F95="SAV Chubb"</formula>
    </cfRule>
    <cfRule type="expression" dxfId="2475" priority="2457">
      <formula>$F95="Réalisation"</formula>
    </cfRule>
    <cfRule type="expression" dxfId="2474" priority="2458">
      <formula>$F95="Désenfumage"</formula>
    </cfRule>
    <cfRule type="expression" dxfId="2473" priority="2459">
      <formula>$F95="Administratif"</formula>
    </cfRule>
  </conditionalFormatting>
  <conditionalFormatting sqref="D95">
    <cfRule type="expression" dxfId="2472" priority="2450">
      <formula>$H95="non"</formula>
    </cfRule>
  </conditionalFormatting>
  <conditionalFormatting sqref="D94">
    <cfRule type="expression" dxfId="2471" priority="2441">
      <formula>$F94="Formation CCF"</formula>
    </cfRule>
    <cfRule type="expression" dxfId="2470" priority="2442">
      <formula>$F94="Direction"</formula>
    </cfRule>
    <cfRule type="expression" dxfId="2469" priority="2443">
      <formula>$F94="Ventes Sicli"</formula>
    </cfRule>
    <cfRule type="expression" dxfId="2468" priority="2444">
      <formula>$F94="Ventes Chubb"</formula>
    </cfRule>
    <cfRule type="expression" dxfId="2467" priority="2445">
      <formula>$F94="SAV Sicli"</formula>
    </cfRule>
    <cfRule type="expression" dxfId="2466" priority="2446">
      <formula>$F94="SAV Chubb"</formula>
    </cfRule>
    <cfRule type="expression" dxfId="2465" priority="2447">
      <formula>$F94="Réalisation"</formula>
    </cfRule>
    <cfRule type="expression" dxfId="2464" priority="2448">
      <formula>$F94="Désenfumage"</formula>
    </cfRule>
    <cfRule type="expression" dxfId="2463" priority="2449">
      <formula>$F94="Administratif"</formula>
    </cfRule>
  </conditionalFormatting>
  <conditionalFormatting sqref="D94">
    <cfRule type="expression" dxfId="2462" priority="2440">
      <formula>$H94="non"</formula>
    </cfRule>
  </conditionalFormatting>
  <conditionalFormatting sqref="D92">
    <cfRule type="expression" dxfId="2461" priority="2431">
      <formula>$F92="Formation CCF"</formula>
    </cfRule>
    <cfRule type="expression" dxfId="2460" priority="2432">
      <formula>$F92="Direction"</formula>
    </cfRule>
    <cfRule type="expression" dxfId="2459" priority="2433">
      <formula>$F92="Ventes Sicli"</formula>
    </cfRule>
    <cfRule type="expression" dxfId="2458" priority="2434">
      <formula>$F92="Ventes Chubb"</formula>
    </cfRule>
    <cfRule type="expression" dxfId="2457" priority="2435">
      <formula>$F92="SAV Sicli"</formula>
    </cfRule>
    <cfRule type="expression" dxfId="2456" priority="2436">
      <formula>$F92="SAV Chubb"</formula>
    </cfRule>
    <cfRule type="expression" dxfId="2455" priority="2437">
      <formula>$F92="Réalisation"</formula>
    </cfRule>
    <cfRule type="expression" dxfId="2454" priority="2438">
      <formula>$F92="Désenfumage"</formula>
    </cfRule>
    <cfRule type="expression" dxfId="2453" priority="2439">
      <formula>$F92="Administratif"</formula>
    </cfRule>
  </conditionalFormatting>
  <conditionalFormatting sqref="D92">
    <cfRule type="expression" dxfId="2452" priority="2430">
      <formula>$H92="non"</formula>
    </cfRule>
  </conditionalFormatting>
  <conditionalFormatting sqref="D91">
    <cfRule type="expression" dxfId="2451" priority="2421">
      <formula>$F91="Formation CCF"</formula>
    </cfRule>
    <cfRule type="expression" dxfId="2450" priority="2422">
      <formula>$F91="Direction"</formula>
    </cfRule>
    <cfRule type="expression" dxfId="2449" priority="2423">
      <formula>$F91="Ventes Sicli"</formula>
    </cfRule>
    <cfRule type="expression" dxfId="2448" priority="2424">
      <formula>$F91="Ventes Chubb"</formula>
    </cfRule>
    <cfRule type="expression" dxfId="2447" priority="2425">
      <formula>$F91="SAV Sicli"</formula>
    </cfRule>
    <cfRule type="expression" dxfId="2446" priority="2426">
      <formula>$F91="SAV Chubb"</formula>
    </cfRule>
    <cfRule type="expression" dxfId="2445" priority="2427">
      <formula>$F91="Réalisation"</formula>
    </cfRule>
    <cfRule type="expression" dxfId="2444" priority="2428">
      <formula>$F91="Désenfumage"</formula>
    </cfRule>
    <cfRule type="expression" dxfId="2443" priority="2429">
      <formula>$F91="Administratif"</formula>
    </cfRule>
  </conditionalFormatting>
  <conditionalFormatting sqref="D91">
    <cfRule type="expression" dxfId="2442" priority="2420">
      <formula>$H91="non"</formula>
    </cfRule>
  </conditionalFormatting>
  <conditionalFormatting sqref="C96:D96">
    <cfRule type="expression" dxfId="2441" priority="2411">
      <formula>$F96="Formation CCF"</formula>
    </cfRule>
    <cfRule type="expression" dxfId="2440" priority="2412">
      <formula>$F96="Direction"</formula>
    </cfRule>
    <cfRule type="expression" dxfId="2439" priority="2413">
      <formula>$F96="Ventes Sicli"</formula>
    </cfRule>
    <cfRule type="expression" dxfId="2438" priority="2414">
      <formula>$F96="Ventes Chubb"</formula>
    </cfRule>
    <cfRule type="expression" dxfId="2437" priority="2415">
      <formula>$F96="SAV Sicli"</formula>
    </cfRule>
    <cfRule type="expression" dxfId="2436" priority="2416">
      <formula>$F96="SAV Chubb"</formula>
    </cfRule>
    <cfRule type="expression" dxfId="2435" priority="2417">
      <formula>$F96="Réalisation"</formula>
    </cfRule>
    <cfRule type="expression" dxfId="2434" priority="2418">
      <formula>$F96="Désenfumage"</formula>
    </cfRule>
    <cfRule type="expression" dxfId="2433" priority="2419">
      <formula>$F96="Administratif"</formula>
    </cfRule>
  </conditionalFormatting>
  <conditionalFormatting sqref="C96:D96">
    <cfRule type="expression" dxfId="2432" priority="2410">
      <formula>$H96="non"</formula>
    </cfRule>
  </conditionalFormatting>
  <conditionalFormatting sqref="C95:D95">
    <cfRule type="expression" dxfId="2431" priority="2401">
      <formula>$F95="Formation CCF"</formula>
    </cfRule>
    <cfRule type="expression" dxfId="2430" priority="2402">
      <formula>$F95="Direction"</formula>
    </cfRule>
    <cfRule type="expression" dxfId="2429" priority="2403">
      <formula>$F95="Ventes Sicli"</formula>
    </cfRule>
    <cfRule type="expression" dxfId="2428" priority="2404">
      <formula>$F95="Ventes Chubb"</formula>
    </cfRule>
    <cfRule type="expression" dxfId="2427" priority="2405">
      <formula>$F95="SAV Sicli"</formula>
    </cfRule>
    <cfRule type="expression" dxfId="2426" priority="2406">
      <formula>$F95="SAV Chubb"</formula>
    </cfRule>
    <cfRule type="expression" dxfId="2425" priority="2407">
      <formula>$F95="Réalisation"</formula>
    </cfRule>
    <cfRule type="expression" dxfId="2424" priority="2408">
      <formula>$F95="Désenfumage"</formula>
    </cfRule>
    <cfRule type="expression" dxfId="2423" priority="2409">
      <formula>$F95="Administratif"</formula>
    </cfRule>
  </conditionalFormatting>
  <conditionalFormatting sqref="C95:D95">
    <cfRule type="expression" dxfId="2422" priority="2400">
      <formula>$H95="non"</formula>
    </cfRule>
  </conditionalFormatting>
  <conditionalFormatting sqref="C94:D94">
    <cfRule type="expression" dxfId="2421" priority="2391">
      <formula>$F94="Formation CCF"</formula>
    </cfRule>
    <cfRule type="expression" dxfId="2420" priority="2392">
      <formula>$F94="Direction"</formula>
    </cfRule>
    <cfRule type="expression" dxfId="2419" priority="2393">
      <formula>$F94="Ventes Sicli"</formula>
    </cfRule>
    <cfRule type="expression" dxfId="2418" priority="2394">
      <formula>$F94="Ventes Chubb"</formula>
    </cfRule>
    <cfRule type="expression" dxfId="2417" priority="2395">
      <formula>$F94="SAV Sicli"</formula>
    </cfRule>
    <cfRule type="expression" dxfId="2416" priority="2396">
      <formula>$F94="SAV Chubb"</formula>
    </cfRule>
    <cfRule type="expression" dxfId="2415" priority="2397">
      <formula>$F94="Réalisation"</formula>
    </cfRule>
    <cfRule type="expression" dxfId="2414" priority="2398">
      <formula>$F94="Désenfumage"</formula>
    </cfRule>
    <cfRule type="expression" dxfId="2413" priority="2399">
      <formula>$F94="Administratif"</formula>
    </cfRule>
  </conditionalFormatting>
  <conditionalFormatting sqref="C94:D94">
    <cfRule type="expression" dxfId="2412" priority="2390">
      <formula>$H94="non"</formula>
    </cfRule>
  </conditionalFormatting>
  <conditionalFormatting sqref="C93:D93">
    <cfRule type="expression" dxfId="2411" priority="2381">
      <formula>$F93="Formation CCF"</formula>
    </cfRule>
    <cfRule type="expression" dxfId="2410" priority="2382">
      <formula>$F93="Direction"</formula>
    </cfRule>
    <cfRule type="expression" dxfId="2409" priority="2383">
      <formula>$F93="Ventes Sicli"</formula>
    </cfRule>
    <cfRule type="expression" dxfId="2408" priority="2384">
      <formula>$F93="Ventes Chubb"</formula>
    </cfRule>
    <cfRule type="expression" dxfId="2407" priority="2385">
      <formula>$F93="SAV Sicli"</formula>
    </cfRule>
    <cfRule type="expression" dxfId="2406" priority="2386">
      <formula>$F93="SAV Chubb"</formula>
    </cfRule>
    <cfRule type="expression" dxfId="2405" priority="2387">
      <formula>$F93="Réalisation"</formula>
    </cfRule>
    <cfRule type="expression" dxfId="2404" priority="2388">
      <formula>$F93="Désenfumage"</formula>
    </cfRule>
    <cfRule type="expression" dxfId="2403" priority="2389">
      <formula>$F93="Administratif"</formula>
    </cfRule>
  </conditionalFormatting>
  <conditionalFormatting sqref="C93:D93">
    <cfRule type="expression" dxfId="2402" priority="2380">
      <formula>$H93="non"</formula>
    </cfRule>
  </conditionalFormatting>
  <conditionalFormatting sqref="C92:D92">
    <cfRule type="expression" dxfId="2401" priority="2371">
      <formula>$F92="Formation CCF"</formula>
    </cfRule>
    <cfRule type="expression" dxfId="2400" priority="2372">
      <formula>$F92="Direction"</formula>
    </cfRule>
    <cfRule type="expression" dxfId="2399" priority="2373">
      <formula>$F92="Ventes Sicli"</formula>
    </cfRule>
    <cfRule type="expression" dxfId="2398" priority="2374">
      <formula>$F92="Ventes Chubb"</formula>
    </cfRule>
    <cfRule type="expression" dxfId="2397" priority="2375">
      <formula>$F92="SAV Sicli"</formula>
    </cfRule>
    <cfRule type="expression" dxfId="2396" priority="2376">
      <formula>$F92="SAV Chubb"</formula>
    </cfRule>
    <cfRule type="expression" dxfId="2395" priority="2377">
      <formula>$F92="Réalisation"</formula>
    </cfRule>
    <cfRule type="expression" dxfId="2394" priority="2378">
      <formula>$F92="Désenfumage"</formula>
    </cfRule>
    <cfRule type="expression" dxfId="2393" priority="2379">
      <formula>$F92="Administratif"</formula>
    </cfRule>
  </conditionalFormatting>
  <conditionalFormatting sqref="C92:D92">
    <cfRule type="expression" dxfId="2392" priority="2370">
      <formula>$H92="non"</formula>
    </cfRule>
  </conditionalFormatting>
  <conditionalFormatting sqref="C91:D91">
    <cfRule type="expression" dxfId="2391" priority="2361">
      <formula>$F91="Formation CCF"</formula>
    </cfRule>
    <cfRule type="expression" dxfId="2390" priority="2362">
      <formula>$F91="Direction"</formula>
    </cfRule>
    <cfRule type="expression" dxfId="2389" priority="2363">
      <formula>$F91="Ventes Sicli"</formula>
    </cfRule>
    <cfRule type="expression" dxfId="2388" priority="2364">
      <formula>$F91="Ventes Chubb"</formula>
    </cfRule>
    <cfRule type="expression" dxfId="2387" priority="2365">
      <formula>$F91="SAV Sicli"</formula>
    </cfRule>
    <cfRule type="expression" dxfId="2386" priority="2366">
      <formula>$F91="SAV Chubb"</formula>
    </cfRule>
    <cfRule type="expression" dxfId="2385" priority="2367">
      <formula>$F91="Réalisation"</formula>
    </cfRule>
    <cfRule type="expression" dxfId="2384" priority="2368">
      <formula>$F91="Désenfumage"</formula>
    </cfRule>
    <cfRule type="expression" dxfId="2383" priority="2369">
      <formula>$F91="Administratif"</formula>
    </cfRule>
  </conditionalFormatting>
  <conditionalFormatting sqref="C91:D91">
    <cfRule type="expression" dxfId="2382" priority="2360">
      <formula>$H91="non"</formula>
    </cfRule>
  </conditionalFormatting>
  <conditionalFormatting sqref="C92:D92">
    <cfRule type="expression" dxfId="2381" priority="2351">
      <formula>$F92="Formation CCF"</formula>
    </cfRule>
    <cfRule type="expression" dxfId="2380" priority="2352">
      <formula>$F92="Direction"</formula>
    </cfRule>
    <cfRule type="expression" dxfId="2379" priority="2353">
      <formula>$F92="Ventes Sicli"</formula>
    </cfRule>
    <cfRule type="expression" dxfId="2378" priority="2354">
      <formula>$F92="Ventes Chubb"</formula>
    </cfRule>
    <cfRule type="expression" dxfId="2377" priority="2355">
      <formula>$F92="SAV Sicli"</formula>
    </cfRule>
    <cfRule type="expression" dxfId="2376" priority="2356">
      <formula>$F92="SAV Chubb"</formula>
    </cfRule>
    <cfRule type="expression" dxfId="2375" priority="2357">
      <formula>$F92="Réalisation"</formula>
    </cfRule>
    <cfRule type="expression" dxfId="2374" priority="2358">
      <formula>$F92="Désenfumage"</formula>
    </cfRule>
    <cfRule type="expression" dxfId="2373" priority="2359">
      <formula>$F92="Administratif"</formula>
    </cfRule>
  </conditionalFormatting>
  <conditionalFormatting sqref="C92:D92">
    <cfRule type="expression" dxfId="2372" priority="2350">
      <formula>$H92="non"</formula>
    </cfRule>
  </conditionalFormatting>
  <conditionalFormatting sqref="C91:D91">
    <cfRule type="expression" dxfId="2371" priority="2341">
      <formula>$F91="Formation CCF"</formula>
    </cfRule>
    <cfRule type="expression" dxfId="2370" priority="2342">
      <formula>$F91="Direction"</formula>
    </cfRule>
    <cfRule type="expression" dxfId="2369" priority="2343">
      <formula>$F91="Ventes Sicli"</formula>
    </cfRule>
    <cfRule type="expression" dxfId="2368" priority="2344">
      <formula>$F91="Ventes Chubb"</formula>
    </cfRule>
    <cfRule type="expression" dxfId="2367" priority="2345">
      <formula>$F91="SAV Sicli"</formula>
    </cfRule>
    <cfRule type="expression" dxfId="2366" priority="2346">
      <formula>$F91="SAV Chubb"</formula>
    </cfRule>
    <cfRule type="expression" dxfId="2365" priority="2347">
      <formula>$F91="Réalisation"</formula>
    </cfRule>
    <cfRule type="expression" dxfId="2364" priority="2348">
      <formula>$F91="Désenfumage"</formula>
    </cfRule>
    <cfRule type="expression" dxfId="2363" priority="2349">
      <formula>$F91="Administratif"</formula>
    </cfRule>
  </conditionalFormatting>
  <conditionalFormatting sqref="C91:D91">
    <cfRule type="expression" dxfId="2362" priority="2340">
      <formula>$H91="non"</formula>
    </cfRule>
  </conditionalFormatting>
  <conditionalFormatting sqref="C92:D92">
    <cfRule type="expression" dxfId="2361" priority="2331">
      <formula>$F92="Formation CCF"</formula>
    </cfRule>
    <cfRule type="expression" dxfId="2360" priority="2332">
      <formula>$F92="Direction"</formula>
    </cfRule>
    <cfRule type="expression" dxfId="2359" priority="2333">
      <formula>$F92="Ventes Sicli"</formula>
    </cfRule>
    <cfRule type="expression" dxfId="2358" priority="2334">
      <formula>$F92="Ventes Chubb"</formula>
    </cfRule>
    <cfRule type="expression" dxfId="2357" priority="2335">
      <formula>$F92="SAV Sicli"</formula>
    </cfRule>
    <cfRule type="expression" dxfId="2356" priority="2336">
      <formula>$F92="SAV Chubb"</formula>
    </cfRule>
    <cfRule type="expression" dxfId="2355" priority="2337">
      <formula>$F92="Réalisation"</formula>
    </cfRule>
    <cfRule type="expression" dxfId="2354" priority="2338">
      <formula>$F92="Désenfumage"</formula>
    </cfRule>
    <cfRule type="expression" dxfId="2353" priority="2339">
      <formula>$F92="Administratif"</formula>
    </cfRule>
  </conditionalFormatting>
  <conditionalFormatting sqref="C92:D92">
    <cfRule type="expression" dxfId="2352" priority="2330">
      <formula>$H92="non"</formula>
    </cfRule>
  </conditionalFormatting>
  <conditionalFormatting sqref="C91:D91">
    <cfRule type="expression" dxfId="2351" priority="2321">
      <formula>$F91="Formation CCF"</formula>
    </cfRule>
    <cfRule type="expression" dxfId="2350" priority="2322">
      <formula>$F91="Direction"</formula>
    </cfRule>
    <cfRule type="expression" dxfId="2349" priority="2323">
      <formula>$F91="Ventes Sicli"</formula>
    </cfRule>
    <cfRule type="expression" dxfId="2348" priority="2324">
      <formula>$F91="Ventes Chubb"</formula>
    </cfRule>
    <cfRule type="expression" dxfId="2347" priority="2325">
      <formula>$F91="SAV Sicli"</formula>
    </cfRule>
    <cfRule type="expression" dxfId="2346" priority="2326">
      <formula>$F91="SAV Chubb"</formula>
    </cfRule>
    <cfRule type="expression" dxfId="2345" priority="2327">
      <formula>$F91="Réalisation"</formula>
    </cfRule>
    <cfRule type="expression" dxfId="2344" priority="2328">
      <formula>$F91="Désenfumage"</formula>
    </cfRule>
    <cfRule type="expression" dxfId="2343" priority="2329">
      <formula>$F91="Administratif"</formula>
    </cfRule>
  </conditionalFormatting>
  <conditionalFormatting sqref="C91:D91">
    <cfRule type="expression" dxfId="2342" priority="2320">
      <formula>$H91="non"</formula>
    </cfRule>
  </conditionalFormatting>
  <conditionalFormatting sqref="C75">
    <cfRule type="expression" dxfId="2341" priority="2302">
      <formula>$F75="Formation CCF"</formula>
    </cfRule>
    <cfRule type="expression" dxfId="2340" priority="2303">
      <formula>$F75="Direction"</formula>
    </cfRule>
    <cfRule type="expression" dxfId="2339" priority="2304">
      <formula>$F75="Ventes Sicli"</formula>
    </cfRule>
    <cfRule type="expression" dxfId="2338" priority="2305">
      <formula>$F75="Ventes Chubb"</formula>
    </cfRule>
    <cfRule type="expression" dxfId="2337" priority="2306">
      <formula>$F75="SAV Sicli"</formula>
    </cfRule>
    <cfRule type="expression" dxfId="2336" priority="2307">
      <formula>$F75="SAV Chubb"</formula>
    </cfRule>
    <cfRule type="expression" dxfId="2335" priority="2308">
      <formula>$F75="Réalisation"</formula>
    </cfRule>
    <cfRule type="expression" dxfId="2334" priority="2309">
      <formula>$F75="Désenfumage"</formula>
    </cfRule>
    <cfRule type="expression" dxfId="2333" priority="2310">
      <formula>$F75="Administratif"</formula>
    </cfRule>
  </conditionalFormatting>
  <conditionalFormatting sqref="C75">
    <cfRule type="expression" dxfId="2332" priority="2301">
      <formula>$H75="non"</formula>
    </cfRule>
  </conditionalFormatting>
  <conditionalFormatting sqref="D75">
    <cfRule type="expression" dxfId="2331" priority="2292">
      <formula>$F75="Formation CCF"</formula>
    </cfRule>
    <cfRule type="expression" dxfId="2330" priority="2293">
      <formula>$F75="Direction"</formula>
    </cfRule>
    <cfRule type="expression" dxfId="2329" priority="2294">
      <formula>$F75="Ventes Sicli"</formula>
    </cfRule>
    <cfRule type="expression" dxfId="2328" priority="2295">
      <formula>$F75="Ventes Chubb"</formula>
    </cfRule>
    <cfRule type="expression" dxfId="2327" priority="2296">
      <formula>$F75="SAV Sicli"</formula>
    </cfRule>
    <cfRule type="expression" dxfId="2326" priority="2297">
      <formula>$F75="SAV Chubb"</formula>
    </cfRule>
    <cfRule type="expression" dxfId="2325" priority="2298">
      <formula>$F75="Réalisation"</formula>
    </cfRule>
    <cfRule type="expression" dxfId="2324" priority="2299">
      <formula>$F75="Désenfumage"</formula>
    </cfRule>
    <cfRule type="expression" dxfId="2323" priority="2300">
      <formula>$F75="Administratif"</formula>
    </cfRule>
  </conditionalFormatting>
  <conditionalFormatting sqref="D75">
    <cfRule type="expression" dxfId="2322" priority="2291">
      <formula>$H75="non"</formula>
    </cfRule>
  </conditionalFormatting>
  <conditionalFormatting sqref="D75">
    <cfRule type="expression" dxfId="2321" priority="2282">
      <formula>$F75="Formation CCF"</formula>
    </cfRule>
    <cfRule type="expression" dxfId="2320" priority="2283">
      <formula>$F75="Direction"</formula>
    </cfRule>
    <cfRule type="expression" dxfId="2319" priority="2284">
      <formula>$F75="Ventes Sicli"</formula>
    </cfRule>
    <cfRule type="expression" dxfId="2318" priority="2285">
      <formula>$F75="Ventes Chubb"</formula>
    </cfRule>
    <cfRule type="expression" dxfId="2317" priority="2286">
      <formula>$F75="SAV Sicli"</formula>
    </cfRule>
    <cfRule type="expression" dxfId="2316" priority="2287">
      <formula>$F75="SAV Chubb"</formula>
    </cfRule>
    <cfRule type="expression" dxfId="2315" priority="2288">
      <formula>$F75="Réalisation"</formula>
    </cfRule>
    <cfRule type="expression" dxfId="2314" priority="2289">
      <formula>$F75="Désenfumage"</formula>
    </cfRule>
    <cfRule type="expression" dxfId="2313" priority="2290">
      <formula>$F75="Administratif"</formula>
    </cfRule>
  </conditionalFormatting>
  <conditionalFormatting sqref="D75">
    <cfRule type="expression" dxfId="2312" priority="2281">
      <formula>$H75="non"</formula>
    </cfRule>
  </conditionalFormatting>
  <conditionalFormatting sqref="D75">
    <cfRule type="expression" dxfId="2311" priority="2272">
      <formula>$F75="Formation CCF"</formula>
    </cfRule>
    <cfRule type="expression" dxfId="2310" priority="2273">
      <formula>$F75="Direction"</formula>
    </cfRule>
    <cfRule type="expression" dxfId="2309" priority="2274">
      <formula>$F75="Ventes Sicli"</formula>
    </cfRule>
    <cfRule type="expression" dxfId="2308" priority="2275">
      <formula>$F75="Ventes Chubb"</formula>
    </cfRule>
    <cfRule type="expression" dxfId="2307" priority="2276">
      <formula>$F75="SAV Sicli"</formula>
    </cfRule>
    <cfRule type="expression" dxfId="2306" priority="2277">
      <formula>$F75="SAV Chubb"</formula>
    </cfRule>
    <cfRule type="expression" dxfId="2305" priority="2278">
      <formula>$F75="Réalisation"</formula>
    </cfRule>
    <cfRule type="expression" dxfId="2304" priority="2279">
      <formula>$F75="Désenfumage"</formula>
    </cfRule>
    <cfRule type="expression" dxfId="2303" priority="2280">
      <formula>$F75="Administratif"</formula>
    </cfRule>
  </conditionalFormatting>
  <conditionalFormatting sqref="D75">
    <cfRule type="expression" dxfId="2302" priority="2271">
      <formula>$H75="non"</formula>
    </cfRule>
  </conditionalFormatting>
  <conditionalFormatting sqref="D75">
    <cfRule type="expression" dxfId="2301" priority="2262">
      <formula>$F75="Formation CCF"</formula>
    </cfRule>
    <cfRule type="expression" dxfId="2300" priority="2263">
      <formula>$F75="Direction"</formula>
    </cfRule>
    <cfRule type="expression" dxfId="2299" priority="2264">
      <formula>$F75="Ventes Sicli"</formula>
    </cfRule>
    <cfRule type="expression" dxfId="2298" priority="2265">
      <formula>$F75="Ventes Chubb"</formula>
    </cfRule>
    <cfRule type="expression" dxfId="2297" priority="2266">
      <formula>$F75="SAV Sicli"</formula>
    </cfRule>
    <cfRule type="expression" dxfId="2296" priority="2267">
      <formula>$F75="SAV Chubb"</formula>
    </cfRule>
    <cfRule type="expression" dxfId="2295" priority="2268">
      <formula>$F75="Réalisation"</formula>
    </cfRule>
    <cfRule type="expression" dxfId="2294" priority="2269">
      <formula>$F75="Désenfumage"</formula>
    </cfRule>
    <cfRule type="expression" dxfId="2293" priority="2270">
      <formula>$F75="Administratif"</formula>
    </cfRule>
  </conditionalFormatting>
  <conditionalFormatting sqref="D75">
    <cfRule type="expression" dxfId="2292" priority="2261">
      <formula>$H75="non"</formula>
    </cfRule>
  </conditionalFormatting>
  <conditionalFormatting sqref="D75">
    <cfRule type="expression" dxfId="2291" priority="2252">
      <formula>$F75="Formation CCF"</formula>
    </cfRule>
    <cfRule type="expression" dxfId="2290" priority="2253">
      <formula>$F75="Direction"</formula>
    </cfRule>
    <cfRule type="expression" dxfId="2289" priority="2254">
      <formula>$F75="Ventes Sicli"</formula>
    </cfRule>
    <cfRule type="expression" dxfId="2288" priority="2255">
      <formula>$F75="Ventes Chubb"</formula>
    </cfRule>
    <cfRule type="expression" dxfId="2287" priority="2256">
      <formula>$F75="SAV Sicli"</formula>
    </cfRule>
    <cfRule type="expression" dxfId="2286" priority="2257">
      <formula>$F75="SAV Chubb"</formula>
    </cfRule>
    <cfRule type="expression" dxfId="2285" priority="2258">
      <formula>$F75="Réalisation"</formula>
    </cfRule>
    <cfRule type="expression" dxfId="2284" priority="2259">
      <formula>$F75="Désenfumage"</formula>
    </cfRule>
    <cfRule type="expression" dxfId="2283" priority="2260">
      <formula>$F75="Administratif"</formula>
    </cfRule>
  </conditionalFormatting>
  <conditionalFormatting sqref="D75">
    <cfRule type="expression" dxfId="2282" priority="2251">
      <formula>$H75="non"</formula>
    </cfRule>
  </conditionalFormatting>
  <conditionalFormatting sqref="D75">
    <cfRule type="expression" dxfId="2281" priority="2242">
      <formula>$F75="Formation CCF"</formula>
    </cfRule>
    <cfRule type="expression" dxfId="2280" priority="2243">
      <formula>$F75="Direction"</formula>
    </cfRule>
    <cfRule type="expression" dxfId="2279" priority="2244">
      <formula>$F75="Ventes Sicli"</formula>
    </cfRule>
    <cfRule type="expression" dxfId="2278" priority="2245">
      <formula>$F75="Ventes Chubb"</formula>
    </cfRule>
    <cfRule type="expression" dxfId="2277" priority="2246">
      <formula>$F75="SAV Sicli"</formula>
    </cfRule>
    <cfRule type="expression" dxfId="2276" priority="2247">
      <formula>$F75="SAV Chubb"</formula>
    </cfRule>
    <cfRule type="expression" dxfId="2275" priority="2248">
      <formula>$F75="Réalisation"</formula>
    </cfRule>
    <cfRule type="expression" dxfId="2274" priority="2249">
      <formula>$F75="Désenfumage"</formula>
    </cfRule>
    <cfRule type="expression" dxfId="2273" priority="2250">
      <formula>$F75="Administratif"</formula>
    </cfRule>
  </conditionalFormatting>
  <conditionalFormatting sqref="D75">
    <cfRule type="expression" dxfId="2272" priority="2241">
      <formula>$H75="non"</formula>
    </cfRule>
  </conditionalFormatting>
  <conditionalFormatting sqref="D75">
    <cfRule type="expression" dxfId="2271" priority="2232">
      <formula>$F75="Formation CCF"</formula>
    </cfRule>
    <cfRule type="expression" dxfId="2270" priority="2233">
      <formula>$F75="Direction"</formula>
    </cfRule>
    <cfRule type="expression" dxfId="2269" priority="2234">
      <formula>$F75="Ventes Sicli"</formula>
    </cfRule>
    <cfRule type="expression" dxfId="2268" priority="2235">
      <formula>$F75="Ventes Chubb"</formula>
    </cfRule>
    <cfRule type="expression" dxfId="2267" priority="2236">
      <formula>$F75="SAV Sicli"</formula>
    </cfRule>
    <cfRule type="expression" dxfId="2266" priority="2237">
      <formula>$F75="SAV Chubb"</formula>
    </cfRule>
    <cfRule type="expression" dxfId="2265" priority="2238">
      <formula>$F75="Réalisation"</formula>
    </cfRule>
    <cfRule type="expression" dxfId="2264" priority="2239">
      <formula>$F75="Désenfumage"</formula>
    </cfRule>
    <cfRule type="expression" dxfId="2263" priority="2240">
      <formula>$F75="Administratif"</formula>
    </cfRule>
  </conditionalFormatting>
  <conditionalFormatting sqref="D75">
    <cfRule type="expression" dxfId="2262" priority="2231">
      <formula>$H75="non"</formula>
    </cfRule>
  </conditionalFormatting>
  <conditionalFormatting sqref="D75">
    <cfRule type="expression" dxfId="2261" priority="2222">
      <formula>$F75="Formation CCF"</formula>
    </cfRule>
    <cfRule type="expression" dxfId="2260" priority="2223">
      <formula>$F75="Direction"</formula>
    </cfRule>
    <cfRule type="expression" dxfId="2259" priority="2224">
      <formula>$F75="Ventes Sicli"</formula>
    </cfRule>
    <cfRule type="expression" dxfId="2258" priority="2225">
      <formula>$F75="Ventes Chubb"</formula>
    </cfRule>
    <cfRule type="expression" dxfId="2257" priority="2226">
      <formula>$F75="SAV Sicli"</formula>
    </cfRule>
    <cfRule type="expression" dxfId="2256" priority="2227">
      <formula>$F75="SAV Chubb"</formula>
    </cfRule>
    <cfRule type="expression" dxfId="2255" priority="2228">
      <formula>$F75="Réalisation"</formula>
    </cfRule>
    <cfRule type="expression" dxfId="2254" priority="2229">
      <formula>$F75="Désenfumage"</formula>
    </cfRule>
    <cfRule type="expression" dxfId="2253" priority="2230">
      <formula>$F75="Administratif"</formula>
    </cfRule>
  </conditionalFormatting>
  <conditionalFormatting sqref="D75">
    <cfRule type="expression" dxfId="2252" priority="2221">
      <formula>$H75="non"</formula>
    </cfRule>
  </conditionalFormatting>
  <conditionalFormatting sqref="C75:D75">
    <cfRule type="expression" dxfId="2251" priority="2212">
      <formula>$F75="Formation CCF"</formula>
    </cfRule>
    <cfRule type="expression" dxfId="2250" priority="2213">
      <formula>$F75="Direction"</formula>
    </cfRule>
    <cfRule type="expression" dxfId="2249" priority="2214">
      <formula>$F75="Ventes Sicli"</formula>
    </cfRule>
    <cfRule type="expression" dxfId="2248" priority="2215">
      <formula>$F75="Ventes Chubb"</formula>
    </cfRule>
    <cfRule type="expression" dxfId="2247" priority="2216">
      <formula>$F75="SAV Sicli"</formula>
    </cfRule>
    <cfRule type="expression" dxfId="2246" priority="2217">
      <formula>$F75="SAV Chubb"</formula>
    </cfRule>
    <cfRule type="expression" dxfId="2245" priority="2218">
      <formula>$F75="Réalisation"</formula>
    </cfRule>
    <cfRule type="expression" dxfId="2244" priority="2219">
      <formula>$F75="Désenfumage"</formula>
    </cfRule>
    <cfRule type="expression" dxfId="2243" priority="2220">
      <formula>$F75="Administratif"</formula>
    </cfRule>
  </conditionalFormatting>
  <conditionalFormatting sqref="C75:D75">
    <cfRule type="expression" dxfId="2242" priority="2211">
      <formula>$H75="non"</formula>
    </cfRule>
  </conditionalFormatting>
  <conditionalFormatting sqref="D75">
    <cfRule type="expression" dxfId="2241" priority="2202">
      <formula>$F75="Formation CCF"</formula>
    </cfRule>
    <cfRule type="expression" dxfId="2240" priority="2203">
      <formula>$F75="Direction"</formula>
    </cfRule>
    <cfRule type="expression" dxfId="2239" priority="2204">
      <formula>$F75="Ventes Sicli"</formula>
    </cfRule>
    <cfRule type="expression" dxfId="2238" priority="2205">
      <formula>$F75="Ventes Chubb"</formula>
    </cfRule>
    <cfRule type="expression" dxfId="2237" priority="2206">
      <formula>$F75="SAV Sicli"</formula>
    </cfRule>
    <cfRule type="expression" dxfId="2236" priority="2207">
      <formula>$F75="SAV Chubb"</formula>
    </cfRule>
    <cfRule type="expression" dxfId="2235" priority="2208">
      <formula>$F75="Réalisation"</formula>
    </cfRule>
    <cfRule type="expression" dxfId="2234" priority="2209">
      <formula>$F75="Désenfumage"</formula>
    </cfRule>
    <cfRule type="expression" dxfId="2233" priority="2210">
      <formula>$F75="Administratif"</formula>
    </cfRule>
  </conditionalFormatting>
  <conditionalFormatting sqref="D75">
    <cfRule type="expression" dxfId="2232" priority="2201">
      <formula>$H75="non"</formula>
    </cfRule>
  </conditionalFormatting>
  <conditionalFormatting sqref="D75">
    <cfRule type="expression" dxfId="2231" priority="2192">
      <formula>$F75="Formation CCF"</formula>
    </cfRule>
    <cfRule type="expression" dxfId="2230" priority="2193">
      <formula>$F75="Direction"</formula>
    </cfRule>
    <cfRule type="expression" dxfId="2229" priority="2194">
      <formula>$F75="Ventes Sicli"</formula>
    </cfRule>
    <cfRule type="expression" dxfId="2228" priority="2195">
      <formula>$F75="Ventes Chubb"</formula>
    </cfRule>
    <cfRule type="expression" dxfId="2227" priority="2196">
      <formula>$F75="SAV Sicli"</formula>
    </cfRule>
    <cfRule type="expression" dxfId="2226" priority="2197">
      <formula>$F75="SAV Chubb"</formula>
    </cfRule>
    <cfRule type="expression" dxfId="2225" priority="2198">
      <formula>$F75="Réalisation"</formula>
    </cfRule>
    <cfRule type="expression" dxfId="2224" priority="2199">
      <formula>$F75="Désenfumage"</formula>
    </cfRule>
    <cfRule type="expression" dxfId="2223" priority="2200">
      <formula>$F75="Administratif"</formula>
    </cfRule>
  </conditionalFormatting>
  <conditionalFormatting sqref="D75">
    <cfRule type="expression" dxfId="2222" priority="2191">
      <formula>$H75="non"</formula>
    </cfRule>
  </conditionalFormatting>
  <conditionalFormatting sqref="D75">
    <cfRule type="expression" dxfId="2221" priority="2182">
      <formula>$F75="Formation CCF"</formula>
    </cfRule>
    <cfRule type="expression" dxfId="2220" priority="2183">
      <formula>$F75="Direction"</formula>
    </cfRule>
    <cfRule type="expression" dxfId="2219" priority="2184">
      <formula>$F75="Ventes Sicli"</formula>
    </cfRule>
    <cfRule type="expression" dxfId="2218" priority="2185">
      <formula>$F75="Ventes Chubb"</formula>
    </cfRule>
    <cfRule type="expression" dxfId="2217" priority="2186">
      <formula>$F75="SAV Sicli"</formula>
    </cfRule>
    <cfRule type="expression" dxfId="2216" priority="2187">
      <formula>$F75="SAV Chubb"</formula>
    </cfRule>
    <cfRule type="expression" dxfId="2215" priority="2188">
      <formula>$F75="Réalisation"</formula>
    </cfRule>
    <cfRule type="expression" dxfId="2214" priority="2189">
      <formula>$F75="Désenfumage"</formula>
    </cfRule>
    <cfRule type="expression" dxfId="2213" priority="2190">
      <formula>$F75="Administratif"</formula>
    </cfRule>
  </conditionalFormatting>
  <conditionalFormatting sqref="D75">
    <cfRule type="expression" dxfId="2212" priority="2181">
      <formula>$H75="non"</formula>
    </cfRule>
  </conditionalFormatting>
  <conditionalFormatting sqref="D75">
    <cfRule type="expression" dxfId="2211" priority="2172">
      <formula>$F75="Formation CCF"</formula>
    </cfRule>
    <cfRule type="expression" dxfId="2210" priority="2173">
      <formula>$F75="Direction"</formula>
    </cfRule>
    <cfRule type="expression" dxfId="2209" priority="2174">
      <formula>$F75="Ventes Sicli"</formula>
    </cfRule>
    <cfRule type="expression" dxfId="2208" priority="2175">
      <formula>$F75="Ventes Chubb"</formula>
    </cfRule>
    <cfRule type="expression" dxfId="2207" priority="2176">
      <formula>$F75="SAV Sicli"</formula>
    </cfRule>
    <cfRule type="expression" dxfId="2206" priority="2177">
      <formula>$F75="SAV Chubb"</formula>
    </cfRule>
    <cfRule type="expression" dxfId="2205" priority="2178">
      <formula>$F75="Réalisation"</formula>
    </cfRule>
    <cfRule type="expression" dxfId="2204" priority="2179">
      <formula>$F75="Désenfumage"</formula>
    </cfRule>
    <cfRule type="expression" dxfId="2203" priority="2180">
      <formula>$F75="Administratif"</formula>
    </cfRule>
  </conditionalFormatting>
  <conditionalFormatting sqref="D75">
    <cfRule type="expression" dxfId="2202" priority="2171">
      <formula>$H75="non"</formula>
    </cfRule>
  </conditionalFormatting>
  <conditionalFormatting sqref="D75">
    <cfRule type="expression" dxfId="2201" priority="2162">
      <formula>$F75="Formation CCF"</formula>
    </cfRule>
    <cfRule type="expression" dxfId="2200" priority="2163">
      <formula>$F75="Direction"</formula>
    </cfRule>
    <cfRule type="expression" dxfId="2199" priority="2164">
      <formula>$F75="Ventes Sicli"</formula>
    </cfRule>
    <cfRule type="expression" dxfId="2198" priority="2165">
      <formula>$F75="Ventes Chubb"</formula>
    </cfRule>
    <cfRule type="expression" dxfId="2197" priority="2166">
      <formula>$F75="SAV Sicli"</formula>
    </cfRule>
    <cfRule type="expression" dxfId="2196" priority="2167">
      <formula>$F75="SAV Chubb"</formula>
    </cfRule>
    <cfRule type="expression" dxfId="2195" priority="2168">
      <formula>$F75="Réalisation"</formula>
    </cfRule>
    <cfRule type="expression" dxfId="2194" priority="2169">
      <formula>$F75="Désenfumage"</formula>
    </cfRule>
    <cfRule type="expression" dxfId="2193" priority="2170">
      <formula>$F75="Administratif"</formula>
    </cfRule>
  </conditionalFormatting>
  <conditionalFormatting sqref="D75">
    <cfRule type="expression" dxfId="2192" priority="2161">
      <formula>$H75="non"</formula>
    </cfRule>
  </conditionalFormatting>
  <conditionalFormatting sqref="AT16:AY16">
    <cfRule type="expression" dxfId="2191" priority="2160">
      <formula>$E$3="Non"</formula>
    </cfRule>
  </conditionalFormatting>
  <conditionalFormatting sqref="AO16:AR16">
    <cfRule type="expression" dxfId="2190" priority="2159">
      <formula>$E$4="Non"</formula>
    </cfRule>
  </conditionalFormatting>
  <conditionalFormatting sqref="I16:K16 N16:Q16">
    <cfRule type="expression" dxfId="2189" priority="2158">
      <formula>$L16="NA"</formula>
    </cfRule>
  </conditionalFormatting>
  <conditionalFormatting sqref="X16:AA16">
    <cfRule type="expression" dxfId="2188" priority="2157">
      <formula>$V16="NA"</formula>
    </cfRule>
  </conditionalFormatting>
  <conditionalFormatting sqref="AE16:AH16">
    <cfRule type="expression" dxfId="2187" priority="2156">
      <formula>$AC16="NA"</formula>
    </cfRule>
  </conditionalFormatting>
  <conditionalFormatting sqref="S16:U16">
    <cfRule type="expression" dxfId="2186" priority="2155">
      <formula>$S16="NA"</formula>
    </cfRule>
  </conditionalFormatting>
  <conditionalFormatting sqref="E16:H16 A16:A36 A38">
    <cfRule type="expression" dxfId="2185" priority="2154">
      <formula>$F16="Administratif"</formula>
    </cfRule>
  </conditionalFormatting>
  <conditionalFormatting sqref="E16:H16 A16:A36 A38">
    <cfRule type="expression" dxfId="2184" priority="2145">
      <formula>$H16="non"</formula>
    </cfRule>
    <cfRule type="expression" dxfId="2183" priority="2150">
      <formula>$F16="SAV Sicli"</formula>
    </cfRule>
  </conditionalFormatting>
  <conditionalFormatting sqref="E16:H16 A16:A36 A38">
    <cfRule type="expression" dxfId="2182" priority="2147">
      <formula>$F16="Direction"</formula>
    </cfRule>
  </conditionalFormatting>
  <conditionalFormatting sqref="E16:H16 A16:A36 A38">
    <cfRule type="expression" dxfId="2181" priority="2146">
      <formula>$F16="Formation CCF"</formula>
    </cfRule>
  </conditionalFormatting>
  <conditionalFormatting sqref="E16:H16 A16:A36 A38">
    <cfRule type="expression" dxfId="2180" priority="2148">
      <formula>$F16="Ventes Sicli"</formula>
    </cfRule>
    <cfRule type="expression" dxfId="2179" priority="2151">
      <formula>$F16="SAV Chubb"</formula>
    </cfRule>
  </conditionalFormatting>
  <conditionalFormatting sqref="E16:H16 A16:A36 A38">
    <cfRule type="expression" dxfId="2178" priority="2149">
      <formula>$F16="Ventes Chubb"</formula>
    </cfRule>
  </conditionalFormatting>
  <conditionalFormatting sqref="E16:H16 A16:A36 A38">
    <cfRule type="expression" dxfId="2177" priority="2152">
      <formula>$F16="Réalisation"</formula>
    </cfRule>
  </conditionalFormatting>
  <conditionalFormatting sqref="E16:H16 A16:A36 A38">
    <cfRule type="expression" dxfId="2176" priority="2153">
      <formula>$F16="Désenfumage"</formula>
    </cfRule>
  </conditionalFormatting>
  <conditionalFormatting sqref="C16">
    <cfRule type="expression" dxfId="2175" priority="2136">
      <formula>$F16="Formation CCF"</formula>
    </cfRule>
    <cfRule type="expression" dxfId="2174" priority="2137">
      <formula>$F16="Direction"</formula>
    </cfRule>
    <cfRule type="expression" dxfId="2173" priority="2138">
      <formula>$F16="Ventes Sicli"</formula>
    </cfRule>
    <cfRule type="expression" dxfId="2172" priority="2139">
      <formula>$F16="Ventes Chubb"</formula>
    </cfRule>
    <cfRule type="expression" dxfId="2171" priority="2140">
      <formula>$F16="SAV Sicli"</formula>
    </cfRule>
    <cfRule type="expression" dxfId="2170" priority="2141">
      <formula>$F16="SAV Chubb"</formula>
    </cfRule>
    <cfRule type="expression" dxfId="2169" priority="2142">
      <formula>$F16="Réalisation"</formula>
    </cfRule>
    <cfRule type="expression" dxfId="2168" priority="2143">
      <formula>$F16="Désenfumage"</formula>
    </cfRule>
    <cfRule type="expression" dxfId="2167" priority="2144">
      <formula>$F16="Administratif"</formula>
    </cfRule>
  </conditionalFormatting>
  <conditionalFormatting sqref="C16">
    <cfRule type="expression" dxfId="2166" priority="2135">
      <formula>$H16="non"</formula>
    </cfRule>
  </conditionalFormatting>
  <conditionalFormatting sqref="D16">
    <cfRule type="expression" dxfId="2165" priority="2126">
      <formula>$F16="Formation CCF"</formula>
    </cfRule>
    <cfRule type="expression" dxfId="2164" priority="2127">
      <formula>$F16="Direction"</formula>
    </cfRule>
    <cfRule type="expression" dxfId="2163" priority="2128">
      <formula>$F16="Ventes Sicli"</formula>
    </cfRule>
    <cfRule type="expression" dxfId="2162" priority="2129">
      <formula>$F16="Ventes Chubb"</formula>
    </cfRule>
    <cfRule type="expression" dxfId="2161" priority="2130">
      <formula>$F16="SAV Sicli"</formula>
    </cfRule>
    <cfRule type="expression" dxfId="2160" priority="2131">
      <formula>$F16="SAV Chubb"</formula>
    </cfRule>
    <cfRule type="expression" dxfId="2159" priority="2132">
      <formula>$F16="Réalisation"</formula>
    </cfRule>
    <cfRule type="expression" dxfId="2158" priority="2133">
      <formula>$F16="Désenfumage"</formula>
    </cfRule>
    <cfRule type="expression" dxfId="2157" priority="2134">
      <formula>$F16="Administratif"</formula>
    </cfRule>
  </conditionalFormatting>
  <conditionalFormatting sqref="D16">
    <cfRule type="expression" dxfId="2156" priority="2125">
      <formula>$H16="non"</formula>
    </cfRule>
  </conditionalFormatting>
  <conditionalFormatting sqref="D16">
    <cfRule type="expression" dxfId="2155" priority="2116">
      <formula>$F16="Formation CCF"</formula>
    </cfRule>
    <cfRule type="expression" dxfId="2154" priority="2117">
      <formula>$F16="Direction"</formula>
    </cfRule>
    <cfRule type="expression" dxfId="2153" priority="2118">
      <formula>$F16="Ventes Sicli"</formula>
    </cfRule>
    <cfRule type="expression" dxfId="2152" priority="2119">
      <formula>$F16="Ventes Chubb"</formula>
    </cfRule>
    <cfRule type="expression" dxfId="2151" priority="2120">
      <formula>$F16="SAV Sicli"</formula>
    </cfRule>
    <cfRule type="expression" dxfId="2150" priority="2121">
      <formula>$F16="SAV Chubb"</formula>
    </cfRule>
    <cfRule type="expression" dxfId="2149" priority="2122">
      <formula>$F16="Réalisation"</formula>
    </cfRule>
    <cfRule type="expression" dxfId="2148" priority="2123">
      <formula>$F16="Désenfumage"</formula>
    </cfRule>
    <cfRule type="expression" dxfId="2147" priority="2124">
      <formula>$F16="Administratif"</formula>
    </cfRule>
  </conditionalFormatting>
  <conditionalFormatting sqref="D16">
    <cfRule type="expression" dxfId="2146" priority="2115">
      <formula>$H16="non"</formula>
    </cfRule>
  </conditionalFormatting>
  <conditionalFormatting sqref="D16">
    <cfRule type="expression" dxfId="2145" priority="2106">
      <formula>$F16="Formation CCF"</formula>
    </cfRule>
    <cfRule type="expression" dxfId="2144" priority="2107">
      <formula>$F16="Direction"</formula>
    </cfRule>
    <cfRule type="expression" dxfId="2143" priority="2108">
      <formula>$F16="Ventes Sicli"</formula>
    </cfRule>
    <cfRule type="expression" dxfId="2142" priority="2109">
      <formula>$F16="Ventes Chubb"</formula>
    </cfRule>
    <cfRule type="expression" dxfId="2141" priority="2110">
      <formula>$F16="SAV Sicli"</formula>
    </cfRule>
    <cfRule type="expression" dxfId="2140" priority="2111">
      <formula>$F16="SAV Chubb"</formula>
    </cfRule>
    <cfRule type="expression" dxfId="2139" priority="2112">
      <formula>$F16="Réalisation"</formula>
    </cfRule>
    <cfRule type="expression" dxfId="2138" priority="2113">
      <formula>$F16="Désenfumage"</formula>
    </cfRule>
    <cfRule type="expression" dxfId="2137" priority="2114">
      <formula>$F16="Administratif"</formula>
    </cfRule>
  </conditionalFormatting>
  <conditionalFormatting sqref="D16">
    <cfRule type="expression" dxfId="2136" priority="2105">
      <formula>$H16="non"</formula>
    </cfRule>
  </conditionalFormatting>
  <conditionalFormatting sqref="D16">
    <cfRule type="expression" dxfId="2135" priority="2096">
      <formula>$F16="Formation CCF"</formula>
    </cfRule>
    <cfRule type="expression" dxfId="2134" priority="2097">
      <formula>$F16="Direction"</formula>
    </cfRule>
    <cfRule type="expression" dxfId="2133" priority="2098">
      <formula>$F16="Ventes Sicli"</formula>
    </cfRule>
    <cfRule type="expression" dxfId="2132" priority="2099">
      <formula>$F16="Ventes Chubb"</formula>
    </cfRule>
    <cfRule type="expression" dxfId="2131" priority="2100">
      <formula>$F16="SAV Sicli"</formula>
    </cfRule>
    <cfRule type="expression" dxfId="2130" priority="2101">
      <formula>$F16="SAV Chubb"</formula>
    </cfRule>
    <cfRule type="expression" dxfId="2129" priority="2102">
      <formula>$F16="Réalisation"</formula>
    </cfRule>
    <cfRule type="expression" dxfId="2128" priority="2103">
      <formula>$F16="Désenfumage"</formula>
    </cfRule>
    <cfRule type="expression" dxfId="2127" priority="2104">
      <formula>$F16="Administratif"</formula>
    </cfRule>
  </conditionalFormatting>
  <conditionalFormatting sqref="D16">
    <cfRule type="expression" dxfId="2126" priority="2095">
      <formula>$H16="non"</formula>
    </cfRule>
  </conditionalFormatting>
  <conditionalFormatting sqref="D16">
    <cfRule type="expression" dxfId="2125" priority="2086">
      <formula>$F16="Formation CCF"</formula>
    </cfRule>
    <cfRule type="expression" dxfId="2124" priority="2087">
      <formula>$F16="Direction"</formula>
    </cfRule>
    <cfRule type="expression" dxfId="2123" priority="2088">
      <formula>$F16="Ventes Sicli"</formula>
    </cfRule>
    <cfRule type="expression" dxfId="2122" priority="2089">
      <formula>$F16="Ventes Chubb"</formula>
    </cfRule>
    <cfRule type="expression" dxfId="2121" priority="2090">
      <formula>$F16="SAV Sicli"</formula>
    </cfRule>
    <cfRule type="expression" dxfId="2120" priority="2091">
      <formula>$F16="SAV Chubb"</formula>
    </cfRule>
    <cfRule type="expression" dxfId="2119" priority="2092">
      <formula>$F16="Réalisation"</formula>
    </cfRule>
    <cfRule type="expression" dxfId="2118" priority="2093">
      <formula>$F16="Désenfumage"</formula>
    </cfRule>
    <cfRule type="expression" dxfId="2117" priority="2094">
      <formula>$F16="Administratif"</formula>
    </cfRule>
  </conditionalFormatting>
  <conditionalFormatting sqref="D16">
    <cfRule type="expression" dxfId="2116" priority="2085">
      <formula>$H16="non"</formula>
    </cfRule>
  </conditionalFormatting>
  <conditionalFormatting sqref="C16:D16">
    <cfRule type="expression" dxfId="2115" priority="2076">
      <formula>$F16="Formation CCF"</formula>
    </cfRule>
    <cfRule type="expression" dxfId="2114" priority="2077">
      <formula>$F16="Direction"</formula>
    </cfRule>
    <cfRule type="expression" dxfId="2113" priority="2078">
      <formula>$F16="Ventes Sicli"</formula>
    </cfRule>
    <cfRule type="expression" dxfId="2112" priority="2079">
      <formula>$F16="Ventes Chubb"</formula>
    </cfRule>
    <cfRule type="expression" dxfId="2111" priority="2080">
      <formula>$F16="SAV Sicli"</formula>
    </cfRule>
    <cfRule type="expression" dxfId="2110" priority="2081">
      <formula>$F16="SAV Chubb"</formula>
    </cfRule>
    <cfRule type="expression" dxfId="2109" priority="2082">
      <formula>$F16="Réalisation"</formula>
    </cfRule>
    <cfRule type="expression" dxfId="2108" priority="2083">
      <formula>$F16="Désenfumage"</formula>
    </cfRule>
    <cfRule type="expression" dxfId="2107" priority="2084">
      <formula>$F16="Administratif"</formula>
    </cfRule>
  </conditionalFormatting>
  <conditionalFormatting sqref="C16:D16">
    <cfRule type="expression" dxfId="2106" priority="2075">
      <formula>$H16="non"</formula>
    </cfRule>
  </conditionalFormatting>
  <conditionalFormatting sqref="C16:D16">
    <cfRule type="expression" dxfId="2105" priority="2066">
      <formula>$F16="Formation CCF"</formula>
    </cfRule>
    <cfRule type="expression" dxfId="2104" priority="2067">
      <formula>$F16="Direction"</formula>
    </cfRule>
    <cfRule type="expression" dxfId="2103" priority="2068">
      <formula>$F16="Ventes Sicli"</formula>
    </cfRule>
    <cfRule type="expression" dxfId="2102" priority="2069">
      <formula>$F16="Ventes Chubb"</formula>
    </cfRule>
    <cfRule type="expression" dxfId="2101" priority="2070">
      <formula>$F16="SAV Sicli"</formula>
    </cfRule>
    <cfRule type="expression" dxfId="2100" priority="2071">
      <formula>$F16="SAV Chubb"</formula>
    </cfRule>
    <cfRule type="expression" dxfId="2099" priority="2072">
      <formula>$F16="Réalisation"</formula>
    </cfRule>
    <cfRule type="expression" dxfId="2098" priority="2073">
      <formula>$F16="Désenfumage"</formula>
    </cfRule>
    <cfRule type="expression" dxfId="2097" priority="2074">
      <formula>$F16="Administratif"</formula>
    </cfRule>
  </conditionalFormatting>
  <conditionalFormatting sqref="C16:D16">
    <cfRule type="expression" dxfId="2096" priority="2065">
      <formula>$H16="non"</formula>
    </cfRule>
  </conditionalFormatting>
  <conditionalFormatting sqref="C16:D16">
    <cfRule type="expression" dxfId="2095" priority="2056">
      <formula>$F16="Formation CCF"</formula>
    </cfRule>
    <cfRule type="expression" dxfId="2094" priority="2057">
      <formula>$F16="Direction"</formula>
    </cfRule>
    <cfRule type="expression" dxfId="2093" priority="2058">
      <formula>$F16="Ventes Sicli"</formula>
    </cfRule>
    <cfRule type="expression" dxfId="2092" priority="2059">
      <formula>$F16="Ventes Chubb"</formula>
    </cfRule>
    <cfRule type="expression" dxfId="2091" priority="2060">
      <formula>$F16="SAV Sicli"</formula>
    </cfRule>
    <cfRule type="expression" dxfId="2090" priority="2061">
      <formula>$F16="SAV Chubb"</formula>
    </cfRule>
    <cfRule type="expression" dxfId="2089" priority="2062">
      <formula>$F16="Réalisation"</formula>
    </cfRule>
    <cfRule type="expression" dxfId="2088" priority="2063">
      <formula>$F16="Désenfumage"</formula>
    </cfRule>
    <cfRule type="expression" dxfId="2087" priority="2064">
      <formula>$F16="Administratif"</formula>
    </cfRule>
  </conditionalFormatting>
  <conditionalFormatting sqref="C16:D16">
    <cfRule type="expression" dxfId="2086" priority="2055">
      <formula>$H16="non"</formula>
    </cfRule>
  </conditionalFormatting>
  <conditionalFormatting sqref="C16:D16">
    <cfRule type="expression" dxfId="2085" priority="2046">
      <formula>$F16="Formation CCF"</formula>
    </cfRule>
    <cfRule type="expression" dxfId="2084" priority="2047">
      <formula>$F16="Direction"</formula>
    </cfRule>
    <cfRule type="expression" dxfId="2083" priority="2048">
      <formula>$F16="Ventes Sicli"</formula>
    </cfRule>
    <cfRule type="expression" dxfId="2082" priority="2049">
      <formula>$F16="Ventes Chubb"</formula>
    </cfRule>
    <cfRule type="expression" dxfId="2081" priority="2050">
      <formula>$F16="SAV Sicli"</formula>
    </cfRule>
    <cfRule type="expression" dxfId="2080" priority="2051">
      <formula>$F16="SAV Chubb"</formula>
    </cfRule>
    <cfRule type="expression" dxfId="2079" priority="2052">
      <formula>$F16="Réalisation"</formula>
    </cfRule>
    <cfRule type="expression" dxfId="2078" priority="2053">
      <formula>$F16="Désenfumage"</formula>
    </cfRule>
    <cfRule type="expression" dxfId="2077" priority="2054">
      <formula>$F16="Administratif"</formula>
    </cfRule>
  </conditionalFormatting>
  <conditionalFormatting sqref="C16:D16">
    <cfRule type="expression" dxfId="2076" priority="2045">
      <formula>$H16="non"</formula>
    </cfRule>
  </conditionalFormatting>
  <conditionalFormatting sqref="D16">
    <cfRule type="expression" dxfId="2075" priority="2036">
      <formula>$F16="Formation CCF"</formula>
    </cfRule>
    <cfRule type="expression" dxfId="2074" priority="2037">
      <formula>$F16="Direction"</formula>
    </cfRule>
    <cfRule type="expression" dxfId="2073" priority="2038">
      <formula>$F16="Ventes Sicli"</formula>
    </cfRule>
    <cfRule type="expression" dxfId="2072" priority="2039">
      <formula>$F16="Ventes Chubb"</formula>
    </cfRule>
    <cfRule type="expression" dxfId="2071" priority="2040">
      <formula>$F16="SAV Sicli"</formula>
    </cfRule>
    <cfRule type="expression" dxfId="2070" priority="2041">
      <formula>$F16="SAV Chubb"</formula>
    </cfRule>
    <cfRule type="expression" dxfId="2069" priority="2042">
      <formula>$F16="Réalisation"</formula>
    </cfRule>
    <cfRule type="expression" dxfId="2068" priority="2043">
      <formula>$F16="Désenfumage"</formula>
    </cfRule>
    <cfRule type="expression" dxfId="2067" priority="2044">
      <formula>$F16="Administratif"</formula>
    </cfRule>
  </conditionalFormatting>
  <conditionalFormatting sqref="D16">
    <cfRule type="expression" dxfId="2066" priority="2035">
      <formula>$H16="non"</formula>
    </cfRule>
  </conditionalFormatting>
  <conditionalFormatting sqref="D16">
    <cfRule type="expression" dxfId="2065" priority="2026">
      <formula>$F16="Formation CCF"</formula>
    </cfRule>
    <cfRule type="expression" dxfId="2064" priority="2027">
      <formula>$F16="Direction"</formula>
    </cfRule>
    <cfRule type="expression" dxfId="2063" priority="2028">
      <formula>$F16="Ventes Sicli"</formula>
    </cfRule>
    <cfRule type="expression" dxfId="2062" priority="2029">
      <formula>$F16="Ventes Chubb"</formula>
    </cfRule>
    <cfRule type="expression" dxfId="2061" priority="2030">
      <formula>$F16="SAV Sicli"</formula>
    </cfRule>
    <cfRule type="expression" dxfId="2060" priority="2031">
      <formula>$F16="SAV Chubb"</formula>
    </cfRule>
    <cfRule type="expression" dxfId="2059" priority="2032">
      <formula>$F16="Réalisation"</formula>
    </cfRule>
    <cfRule type="expression" dxfId="2058" priority="2033">
      <formula>$F16="Désenfumage"</formula>
    </cfRule>
    <cfRule type="expression" dxfId="2057" priority="2034">
      <formula>$F16="Administratif"</formula>
    </cfRule>
  </conditionalFormatting>
  <conditionalFormatting sqref="D16">
    <cfRule type="expression" dxfId="2056" priority="2025">
      <formula>$H16="non"</formula>
    </cfRule>
  </conditionalFormatting>
  <conditionalFormatting sqref="D16">
    <cfRule type="expression" dxfId="2055" priority="2016">
      <formula>$F16="Formation CCF"</formula>
    </cfRule>
    <cfRule type="expression" dxfId="2054" priority="2017">
      <formula>$F16="Direction"</formula>
    </cfRule>
    <cfRule type="expression" dxfId="2053" priority="2018">
      <formula>$F16="Ventes Sicli"</formula>
    </cfRule>
    <cfRule type="expression" dxfId="2052" priority="2019">
      <formula>$F16="Ventes Chubb"</formula>
    </cfRule>
    <cfRule type="expression" dxfId="2051" priority="2020">
      <formula>$F16="SAV Sicli"</formula>
    </cfRule>
    <cfRule type="expression" dxfId="2050" priority="2021">
      <formula>$F16="SAV Chubb"</formula>
    </cfRule>
    <cfRule type="expression" dxfId="2049" priority="2022">
      <formula>$F16="Réalisation"</formula>
    </cfRule>
    <cfRule type="expression" dxfId="2048" priority="2023">
      <formula>$F16="Désenfumage"</formula>
    </cfRule>
    <cfRule type="expression" dxfId="2047" priority="2024">
      <formula>$F16="Administratif"</formula>
    </cfRule>
  </conditionalFormatting>
  <conditionalFormatting sqref="D16">
    <cfRule type="expression" dxfId="2046" priority="2015">
      <formula>$H16="non"</formula>
    </cfRule>
  </conditionalFormatting>
  <conditionalFormatting sqref="D16">
    <cfRule type="expression" dxfId="2045" priority="2006">
      <formula>$F16="Formation CCF"</formula>
    </cfRule>
    <cfRule type="expression" dxfId="2044" priority="2007">
      <formula>$F16="Direction"</formula>
    </cfRule>
    <cfRule type="expression" dxfId="2043" priority="2008">
      <formula>$F16="Ventes Sicli"</formula>
    </cfRule>
    <cfRule type="expression" dxfId="2042" priority="2009">
      <formula>$F16="Ventes Chubb"</formula>
    </cfRule>
    <cfRule type="expression" dxfId="2041" priority="2010">
      <formula>$F16="SAV Sicli"</formula>
    </cfRule>
    <cfRule type="expression" dxfId="2040" priority="2011">
      <formula>$F16="SAV Chubb"</formula>
    </cfRule>
    <cfRule type="expression" dxfId="2039" priority="2012">
      <formula>$F16="Réalisation"</formula>
    </cfRule>
    <cfRule type="expression" dxfId="2038" priority="2013">
      <formula>$F16="Désenfumage"</formula>
    </cfRule>
    <cfRule type="expression" dxfId="2037" priority="2014">
      <formula>$F16="Administratif"</formula>
    </cfRule>
  </conditionalFormatting>
  <conditionalFormatting sqref="D16">
    <cfRule type="expression" dxfId="2036" priority="2005">
      <formula>$H16="non"</formula>
    </cfRule>
  </conditionalFormatting>
  <conditionalFormatting sqref="D16">
    <cfRule type="expression" dxfId="2035" priority="1996">
      <formula>$F16="Formation CCF"</formula>
    </cfRule>
    <cfRule type="expression" dxfId="2034" priority="1997">
      <formula>$F16="Direction"</formula>
    </cfRule>
    <cfRule type="expression" dxfId="2033" priority="1998">
      <formula>$F16="Ventes Sicli"</formula>
    </cfRule>
    <cfRule type="expression" dxfId="2032" priority="1999">
      <formula>$F16="Ventes Chubb"</formula>
    </cfRule>
    <cfRule type="expression" dxfId="2031" priority="2000">
      <formula>$F16="SAV Sicli"</formula>
    </cfRule>
    <cfRule type="expression" dxfId="2030" priority="2001">
      <formula>$F16="SAV Chubb"</formula>
    </cfRule>
    <cfRule type="expression" dxfId="2029" priority="2002">
      <formula>$F16="Réalisation"</formula>
    </cfRule>
    <cfRule type="expression" dxfId="2028" priority="2003">
      <formula>$F16="Désenfumage"</formula>
    </cfRule>
    <cfRule type="expression" dxfId="2027" priority="2004">
      <formula>$F16="Administratif"</formula>
    </cfRule>
  </conditionalFormatting>
  <conditionalFormatting sqref="D16">
    <cfRule type="expression" dxfId="2026" priority="1995">
      <formula>$H16="non"</formula>
    </cfRule>
  </conditionalFormatting>
  <conditionalFormatting sqref="D16">
    <cfRule type="expression" dxfId="2025" priority="1986">
      <formula>$F16="Formation CCF"</formula>
    </cfRule>
    <cfRule type="expression" dxfId="2024" priority="1987">
      <formula>$F16="Direction"</formula>
    </cfRule>
    <cfRule type="expression" dxfId="2023" priority="1988">
      <formula>$F16="Ventes Sicli"</formula>
    </cfRule>
    <cfRule type="expression" dxfId="2022" priority="1989">
      <formula>$F16="Ventes Chubb"</formula>
    </cfRule>
    <cfRule type="expression" dxfId="2021" priority="1990">
      <formula>$F16="SAV Sicli"</formula>
    </cfRule>
    <cfRule type="expression" dxfId="2020" priority="1991">
      <formula>$F16="SAV Chubb"</formula>
    </cfRule>
    <cfRule type="expression" dxfId="2019" priority="1992">
      <formula>$F16="Réalisation"</formula>
    </cfRule>
    <cfRule type="expression" dxfId="2018" priority="1993">
      <formula>$F16="Désenfumage"</formula>
    </cfRule>
    <cfRule type="expression" dxfId="2017" priority="1994">
      <formula>$F16="Administratif"</formula>
    </cfRule>
  </conditionalFormatting>
  <conditionalFormatting sqref="D16">
    <cfRule type="expression" dxfId="2016" priority="1985">
      <formula>$H16="non"</formula>
    </cfRule>
  </conditionalFormatting>
  <conditionalFormatting sqref="D16">
    <cfRule type="expression" dxfId="2015" priority="1976">
      <formula>$F16="Formation CCF"</formula>
    </cfRule>
    <cfRule type="expression" dxfId="2014" priority="1977">
      <formula>$F16="Direction"</formula>
    </cfRule>
    <cfRule type="expression" dxfId="2013" priority="1978">
      <formula>$F16="Ventes Sicli"</formula>
    </cfRule>
    <cfRule type="expression" dxfId="2012" priority="1979">
      <formula>$F16="Ventes Chubb"</formula>
    </cfRule>
    <cfRule type="expression" dxfId="2011" priority="1980">
      <formula>$F16="SAV Sicli"</formula>
    </cfRule>
    <cfRule type="expression" dxfId="2010" priority="1981">
      <formula>$F16="SAV Chubb"</formula>
    </cfRule>
    <cfRule type="expression" dxfId="2009" priority="1982">
      <formula>$F16="Réalisation"</formula>
    </cfRule>
    <cfRule type="expression" dxfId="2008" priority="1983">
      <formula>$F16="Désenfumage"</formula>
    </cfRule>
    <cfRule type="expression" dxfId="2007" priority="1984">
      <formula>$F16="Administratif"</formula>
    </cfRule>
  </conditionalFormatting>
  <conditionalFormatting sqref="D16">
    <cfRule type="expression" dxfId="2006" priority="1975">
      <formula>$H16="non"</formula>
    </cfRule>
  </conditionalFormatting>
  <conditionalFormatting sqref="C16:D16">
    <cfRule type="expression" dxfId="2005" priority="1966">
      <formula>$F16="Formation CCF"</formula>
    </cfRule>
    <cfRule type="expression" dxfId="2004" priority="1967">
      <formula>$F16="Direction"</formula>
    </cfRule>
    <cfRule type="expression" dxfId="2003" priority="1968">
      <formula>$F16="Ventes Sicli"</formula>
    </cfRule>
    <cfRule type="expression" dxfId="2002" priority="1969">
      <formula>$F16="Ventes Chubb"</formula>
    </cfRule>
    <cfRule type="expression" dxfId="2001" priority="1970">
      <formula>$F16="SAV Sicli"</formula>
    </cfRule>
    <cfRule type="expression" dxfId="2000" priority="1971">
      <formula>$F16="SAV Chubb"</formula>
    </cfRule>
    <cfRule type="expression" dxfId="1999" priority="1972">
      <formula>$F16="Réalisation"</formula>
    </cfRule>
    <cfRule type="expression" dxfId="1998" priority="1973">
      <formula>$F16="Désenfumage"</formula>
    </cfRule>
    <cfRule type="expression" dxfId="1997" priority="1974">
      <formula>$F16="Administratif"</formula>
    </cfRule>
  </conditionalFormatting>
  <conditionalFormatting sqref="C16:D16">
    <cfRule type="expression" dxfId="1996" priority="1965">
      <formula>$H16="non"</formula>
    </cfRule>
  </conditionalFormatting>
  <conditionalFormatting sqref="C16:D16">
    <cfRule type="expression" dxfId="1995" priority="1956">
      <formula>$F16="Formation CCF"</formula>
    </cfRule>
    <cfRule type="expression" dxfId="1994" priority="1957">
      <formula>$F16="Direction"</formula>
    </cfRule>
    <cfRule type="expression" dxfId="1993" priority="1958">
      <formula>$F16="Ventes Sicli"</formula>
    </cfRule>
    <cfRule type="expression" dxfId="1992" priority="1959">
      <formula>$F16="Ventes Chubb"</formula>
    </cfRule>
    <cfRule type="expression" dxfId="1991" priority="1960">
      <formula>$F16="SAV Sicli"</formula>
    </cfRule>
    <cfRule type="expression" dxfId="1990" priority="1961">
      <formula>$F16="SAV Chubb"</formula>
    </cfRule>
    <cfRule type="expression" dxfId="1989" priority="1962">
      <formula>$F16="Réalisation"</formula>
    </cfRule>
    <cfRule type="expression" dxfId="1988" priority="1963">
      <formula>$F16="Désenfumage"</formula>
    </cfRule>
    <cfRule type="expression" dxfId="1987" priority="1964">
      <formula>$F16="Administratif"</formula>
    </cfRule>
  </conditionalFormatting>
  <conditionalFormatting sqref="C16:D16">
    <cfRule type="expression" dxfId="1986" priority="1955">
      <formula>$H16="non"</formula>
    </cfRule>
  </conditionalFormatting>
  <conditionalFormatting sqref="C16:D16">
    <cfRule type="expression" dxfId="1985" priority="1946">
      <formula>$F16="Formation CCF"</formula>
    </cfRule>
    <cfRule type="expression" dxfId="1984" priority="1947">
      <formula>$F16="Direction"</formula>
    </cfRule>
    <cfRule type="expression" dxfId="1983" priority="1948">
      <formula>$F16="Ventes Sicli"</formula>
    </cfRule>
    <cfRule type="expression" dxfId="1982" priority="1949">
      <formula>$F16="Ventes Chubb"</formula>
    </cfRule>
    <cfRule type="expression" dxfId="1981" priority="1950">
      <formula>$F16="SAV Sicli"</formula>
    </cfRule>
    <cfRule type="expression" dxfId="1980" priority="1951">
      <formula>$F16="SAV Chubb"</formula>
    </cfRule>
    <cfRule type="expression" dxfId="1979" priority="1952">
      <formula>$F16="Réalisation"</formula>
    </cfRule>
    <cfRule type="expression" dxfId="1978" priority="1953">
      <formula>$F16="Désenfumage"</formula>
    </cfRule>
    <cfRule type="expression" dxfId="1977" priority="1954">
      <formula>$F16="Administratif"</formula>
    </cfRule>
  </conditionalFormatting>
  <conditionalFormatting sqref="C16:D16">
    <cfRule type="expression" dxfId="1976" priority="1945">
      <formula>$H16="non"</formula>
    </cfRule>
  </conditionalFormatting>
  <conditionalFormatting sqref="C16:D16">
    <cfRule type="expression" dxfId="1975" priority="1936">
      <formula>$F16="Formation CCF"</formula>
    </cfRule>
    <cfRule type="expression" dxfId="1974" priority="1937">
      <formula>$F16="Direction"</formula>
    </cfRule>
    <cfRule type="expression" dxfId="1973" priority="1938">
      <formula>$F16="Ventes Sicli"</formula>
    </cfRule>
    <cfRule type="expression" dxfId="1972" priority="1939">
      <formula>$F16="Ventes Chubb"</formula>
    </cfRule>
    <cfRule type="expression" dxfId="1971" priority="1940">
      <formula>$F16="SAV Sicli"</formula>
    </cfRule>
    <cfRule type="expression" dxfId="1970" priority="1941">
      <formula>$F16="SAV Chubb"</formula>
    </cfRule>
    <cfRule type="expression" dxfId="1969" priority="1942">
      <formula>$F16="Réalisation"</formula>
    </cfRule>
    <cfRule type="expression" dxfId="1968" priority="1943">
      <formula>$F16="Désenfumage"</formula>
    </cfRule>
    <cfRule type="expression" dxfId="1967" priority="1944">
      <formula>$F16="Administratif"</formula>
    </cfRule>
  </conditionalFormatting>
  <conditionalFormatting sqref="C16:D16">
    <cfRule type="expression" dxfId="1966" priority="1935">
      <formula>$H16="non"</formula>
    </cfRule>
  </conditionalFormatting>
  <conditionalFormatting sqref="D16">
    <cfRule type="expression" dxfId="1965" priority="1926">
      <formula>$F16="Formation CCF"</formula>
    </cfRule>
    <cfRule type="expression" dxfId="1964" priority="1927">
      <formula>$F16="Direction"</formula>
    </cfRule>
    <cfRule type="expression" dxfId="1963" priority="1928">
      <formula>$F16="Ventes Sicli"</formula>
    </cfRule>
    <cfRule type="expression" dxfId="1962" priority="1929">
      <formula>$F16="Ventes Chubb"</formula>
    </cfRule>
    <cfRule type="expression" dxfId="1961" priority="1930">
      <formula>$F16="SAV Sicli"</formula>
    </cfRule>
    <cfRule type="expression" dxfId="1960" priority="1931">
      <formula>$F16="SAV Chubb"</formula>
    </cfRule>
    <cfRule type="expression" dxfId="1959" priority="1932">
      <formula>$F16="Réalisation"</formula>
    </cfRule>
    <cfRule type="expression" dxfId="1958" priority="1933">
      <formula>$F16="Désenfumage"</formula>
    </cfRule>
    <cfRule type="expression" dxfId="1957" priority="1934">
      <formula>$F16="Administratif"</formula>
    </cfRule>
  </conditionalFormatting>
  <conditionalFormatting sqref="D16">
    <cfRule type="expression" dxfId="1956" priority="1925">
      <formula>$H16="non"</formula>
    </cfRule>
  </conditionalFormatting>
  <conditionalFormatting sqref="D16">
    <cfRule type="expression" dxfId="1955" priority="1916">
      <formula>$F16="Formation CCF"</formula>
    </cfRule>
    <cfRule type="expression" dxfId="1954" priority="1917">
      <formula>$F16="Direction"</formula>
    </cfRule>
    <cfRule type="expression" dxfId="1953" priority="1918">
      <formula>$F16="Ventes Sicli"</formula>
    </cfRule>
    <cfRule type="expression" dxfId="1952" priority="1919">
      <formula>$F16="Ventes Chubb"</formula>
    </cfRule>
    <cfRule type="expression" dxfId="1951" priority="1920">
      <formula>$F16="SAV Sicli"</formula>
    </cfRule>
    <cfRule type="expression" dxfId="1950" priority="1921">
      <formula>$F16="SAV Chubb"</formula>
    </cfRule>
    <cfRule type="expression" dxfId="1949" priority="1922">
      <formula>$F16="Réalisation"</formula>
    </cfRule>
    <cfRule type="expression" dxfId="1948" priority="1923">
      <formula>$F16="Désenfumage"</formula>
    </cfRule>
    <cfRule type="expression" dxfId="1947" priority="1924">
      <formula>$F16="Administratif"</formula>
    </cfRule>
  </conditionalFormatting>
  <conditionalFormatting sqref="D16">
    <cfRule type="expression" dxfId="1946" priority="1915">
      <formula>$H16="non"</formula>
    </cfRule>
  </conditionalFormatting>
  <conditionalFormatting sqref="C46:D46">
    <cfRule type="expression" dxfId="1945" priority="1906">
      <formula>$F46="Formation CCF"</formula>
    </cfRule>
    <cfRule type="expression" dxfId="1944" priority="1907">
      <formula>$F46="Direction"</formula>
    </cfRule>
    <cfRule type="expression" dxfId="1943" priority="1908">
      <formula>$F46="Ventes Sicli"</formula>
    </cfRule>
    <cfRule type="expression" dxfId="1942" priority="1909">
      <formula>$F46="Ventes Chubb"</formula>
    </cfRule>
    <cfRule type="expression" dxfId="1941" priority="1910">
      <formula>$F46="SAV Sicli"</formula>
    </cfRule>
    <cfRule type="expression" dxfId="1940" priority="1911">
      <formula>$F46="SAV Chubb"</formula>
    </cfRule>
    <cfRule type="expression" dxfId="1939" priority="1912">
      <formula>$F46="Réalisation"</formula>
    </cfRule>
    <cfRule type="expression" dxfId="1938" priority="1913">
      <formula>$F46="Désenfumage"</formula>
    </cfRule>
    <cfRule type="expression" dxfId="1937" priority="1914">
      <formula>$F46="Administratif"</formula>
    </cfRule>
  </conditionalFormatting>
  <conditionalFormatting sqref="C46:D46">
    <cfRule type="expression" dxfId="1936" priority="1905">
      <formula>$H46="non"</formula>
    </cfRule>
  </conditionalFormatting>
  <conditionalFormatting sqref="D46">
    <cfRule type="expression" dxfId="1935" priority="1896">
      <formula>$F46="Formation CCF"</formula>
    </cfRule>
    <cfRule type="expression" dxfId="1934" priority="1897">
      <formula>$F46="Direction"</formula>
    </cfRule>
    <cfRule type="expression" dxfId="1933" priority="1898">
      <formula>$F46="Ventes Sicli"</formula>
    </cfRule>
    <cfRule type="expression" dxfId="1932" priority="1899">
      <formula>$F46="Ventes Chubb"</formula>
    </cfRule>
    <cfRule type="expression" dxfId="1931" priority="1900">
      <formula>$F46="SAV Sicli"</formula>
    </cfRule>
    <cfRule type="expression" dxfId="1930" priority="1901">
      <formula>$F46="SAV Chubb"</formula>
    </cfRule>
    <cfRule type="expression" dxfId="1929" priority="1902">
      <formula>$F46="Réalisation"</formula>
    </cfRule>
    <cfRule type="expression" dxfId="1928" priority="1903">
      <formula>$F46="Désenfumage"</formula>
    </cfRule>
    <cfRule type="expression" dxfId="1927" priority="1904">
      <formula>$F46="Administratif"</formula>
    </cfRule>
  </conditionalFormatting>
  <conditionalFormatting sqref="D46">
    <cfRule type="expression" dxfId="1926" priority="1895">
      <formula>$H46="non"</formula>
    </cfRule>
  </conditionalFormatting>
  <conditionalFormatting sqref="D46">
    <cfRule type="expression" dxfId="1925" priority="1886">
      <formula>$F46="Formation CCF"</formula>
    </cfRule>
    <cfRule type="expression" dxfId="1924" priority="1887">
      <formula>$F46="Direction"</formula>
    </cfRule>
    <cfRule type="expression" dxfId="1923" priority="1888">
      <formula>$F46="Ventes Sicli"</formula>
    </cfRule>
    <cfRule type="expression" dxfId="1922" priority="1889">
      <formula>$F46="Ventes Chubb"</formula>
    </cfRule>
    <cfRule type="expression" dxfId="1921" priority="1890">
      <formula>$F46="SAV Sicli"</formula>
    </cfRule>
    <cfRule type="expression" dxfId="1920" priority="1891">
      <formula>$F46="SAV Chubb"</formula>
    </cfRule>
    <cfRule type="expression" dxfId="1919" priority="1892">
      <formula>$F46="Réalisation"</formula>
    </cfRule>
    <cfRule type="expression" dxfId="1918" priority="1893">
      <formula>$F46="Désenfumage"</formula>
    </cfRule>
    <cfRule type="expression" dxfId="1917" priority="1894">
      <formula>$F46="Administratif"</formula>
    </cfRule>
  </conditionalFormatting>
  <conditionalFormatting sqref="D46">
    <cfRule type="expression" dxfId="1916" priority="1885">
      <formula>$H46="non"</formula>
    </cfRule>
  </conditionalFormatting>
  <conditionalFormatting sqref="D46">
    <cfRule type="expression" dxfId="1915" priority="1876">
      <formula>$F46="Formation CCF"</formula>
    </cfRule>
    <cfRule type="expression" dxfId="1914" priority="1877">
      <formula>$F46="Direction"</formula>
    </cfRule>
    <cfRule type="expression" dxfId="1913" priority="1878">
      <formula>$F46="Ventes Sicli"</formula>
    </cfRule>
    <cfRule type="expression" dxfId="1912" priority="1879">
      <formula>$F46="Ventes Chubb"</formula>
    </cfRule>
    <cfRule type="expression" dxfId="1911" priority="1880">
      <formula>$F46="SAV Sicli"</formula>
    </cfRule>
    <cfRule type="expression" dxfId="1910" priority="1881">
      <formula>$F46="SAV Chubb"</formula>
    </cfRule>
    <cfRule type="expression" dxfId="1909" priority="1882">
      <formula>$F46="Réalisation"</formula>
    </cfRule>
    <cfRule type="expression" dxfId="1908" priority="1883">
      <formula>$F46="Désenfumage"</formula>
    </cfRule>
    <cfRule type="expression" dxfId="1907" priority="1884">
      <formula>$F46="Administratif"</formula>
    </cfRule>
  </conditionalFormatting>
  <conditionalFormatting sqref="D46">
    <cfRule type="expression" dxfId="1906" priority="1875">
      <formula>$H46="non"</formula>
    </cfRule>
  </conditionalFormatting>
  <conditionalFormatting sqref="D46">
    <cfRule type="expression" dxfId="1905" priority="1866">
      <formula>$F46="Formation CCF"</formula>
    </cfRule>
    <cfRule type="expression" dxfId="1904" priority="1867">
      <formula>$F46="Direction"</formula>
    </cfRule>
    <cfRule type="expression" dxfId="1903" priority="1868">
      <formula>$F46="Ventes Sicli"</formula>
    </cfRule>
    <cfRule type="expression" dxfId="1902" priority="1869">
      <formula>$F46="Ventes Chubb"</formula>
    </cfRule>
    <cfRule type="expression" dxfId="1901" priority="1870">
      <formula>$F46="SAV Sicli"</formula>
    </cfRule>
    <cfRule type="expression" dxfId="1900" priority="1871">
      <formula>$F46="SAV Chubb"</formula>
    </cfRule>
    <cfRule type="expression" dxfId="1899" priority="1872">
      <formula>$F46="Réalisation"</formula>
    </cfRule>
    <cfRule type="expression" dxfId="1898" priority="1873">
      <formula>$F46="Désenfumage"</formula>
    </cfRule>
    <cfRule type="expression" dxfId="1897" priority="1874">
      <formula>$F46="Administratif"</formula>
    </cfRule>
  </conditionalFormatting>
  <conditionalFormatting sqref="D46">
    <cfRule type="expression" dxfId="1896" priority="1865">
      <formula>$H46="non"</formula>
    </cfRule>
  </conditionalFormatting>
  <conditionalFormatting sqref="D46">
    <cfRule type="expression" dxfId="1895" priority="1856">
      <formula>$F46="Formation CCF"</formula>
    </cfRule>
    <cfRule type="expression" dxfId="1894" priority="1857">
      <formula>$F46="Direction"</formula>
    </cfRule>
    <cfRule type="expression" dxfId="1893" priority="1858">
      <formula>$F46="Ventes Sicli"</formula>
    </cfRule>
    <cfRule type="expression" dxfId="1892" priority="1859">
      <formula>$F46="Ventes Chubb"</formula>
    </cfRule>
    <cfRule type="expression" dxfId="1891" priority="1860">
      <formula>$F46="SAV Sicli"</formula>
    </cfRule>
    <cfRule type="expression" dxfId="1890" priority="1861">
      <formula>$F46="SAV Chubb"</formula>
    </cfRule>
    <cfRule type="expression" dxfId="1889" priority="1862">
      <formula>$F46="Réalisation"</formula>
    </cfRule>
    <cfRule type="expression" dxfId="1888" priority="1863">
      <formula>$F46="Désenfumage"</formula>
    </cfRule>
    <cfRule type="expression" dxfId="1887" priority="1864">
      <formula>$F46="Administratif"</formula>
    </cfRule>
  </conditionalFormatting>
  <conditionalFormatting sqref="D46">
    <cfRule type="expression" dxfId="1886" priority="1855">
      <formula>$H46="non"</formula>
    </cfRule>
  </conditionalFormatting>
  <conditionalFormatting sqref="D46">
    <cfRule type="expression" dxfId="1885" priority="1846">
      <formula>$F46="Formation CCF"</formula>
    </cfRule>
    <cfRule type="expression" dxfId="1884" priority="1847">
      <formula>$F46="Direction"</formula>
    </cfRule>
    <cfRule type="expression" dxfId="1883" priority="1848">
      <formula>$F46="Ventes Sicli"</formula>
    </cfRule>
    <cfRule type="expression" dxfId="1882" priority="1849">
      <formula>$F46="Ventes Chubb"</formula>
    </cfRule>
    <cfRule type="expression" dxfId="1881" priority="1850">
      <formula>$F46="SAV Sicli"</formula>
    </cfRule>
    <cfRule type="expression" dxfId="1880" priority="1851">
      <formula>$F46="SAV Chubb"</formula>
    </cfRule>
    <cfRule type="expression" dxfId="1879" priority="1852">
      <formula>$F46="Réalisation"</formula>
    </cfRule>
    <cfRule type="expression" dxfId="1878" priority="1853">
      <formula>$F46="Désenfumage"</formula>
    </cfRule>
    <cfRule type="expression" dxfId="1877" priority="1854">
      <formula>$F46="Administratif"</formula>
    </cfRule>
  </conditionalFormatting>
  <conditionalFormatting sqref="D46">
    <cfRule type="expression" dxfId="1876" priority="1845">
      <formula>$H46="non"</formula>
    </cfRule>
  </conditionalFormatting>
  <conditionalFormatting sqref="D46">
    <cfRule type="expression" dxfId="1875" priority="1836">
      <formula>$F46="Formation CCF"</formula>
    </cfRule>
    <cfRule type="expression" dxfId="1874" priority="1837">
      <formula>$F46="Direction"</formula>
    </cfRule>
    <cfRule type="expression" dxfId="1873" priority="1838">
      <formula>$F46="Ventes Sicli"</formula>
    </cfRule>
    <cfRule type="expression" dxfId="1872" priority="1839">
      <formula>$F46="Ventes Chubb"</formula>
    </cfRule>
    <cfRule type="expression" dxfId="1871" priority="1840">
      <formula>$F46="SAV Sicli"</formula>
    </cfRule>
    <cfRule type="expression" dxfId="1870" priority="1841">
      <formula>$F46="SAV Chubb"</formula>
    </cfRule>
    <cfRule type="expression" dxfId="1869" priority="1842">
      <formula>$F46="Réalisation"</formula>
    </cfRule>
    <cfRule type="expression" dxfId="1868" priority="1843">
      <formula>$F46="Désenfumage"</formula>
    </cfRule>
    <cfRule type="expression" dxfId="1867" priority="1844">
      <formula>$F46="Administratif"</formula>
    </cfRule>
  </conditionalFormatting>
  <conditionalFormatting sqref="D46">
    <cfRule type="expression" dxfId="1866" priority="1835">
      <formula>$H46="non"</formula>
    </cfRule>
  </conditionalFormatting>
  <conditionalFormatting sqref="D46">
    <cfRule type="expression" dxfId="1865" priority="1826">
      <formula>$F46="Formation CCF"</formula>
    </cfRule>
    <cfRule type="expression" dxfId="1864" priority="1827">
      <formula>$F46="Direction"</formula>
    </cfRule>
    <cfRule type="expression" dxfId="1863" priority="1828">
      <formula>$F46="Ventes Sicli"</formula>
    </cfRule>
    <cfRule type="expression" dxfId="1862" priority="1829">
      <formula>$F46="Ventes Chubb"</formula>
    </cfRule>
    <cfRule type="expression" dxfId="1861" priority="1830">
      <formula>$F46="SAV Sicli"</formula>
    </cfRule>
    <cfRule type="expression" dxfId="1860" priority="1831">
      <formula>$F46="SAV Chubb"</formula>
    </cfRule>
    <cfRule type="expression" dxfId="1859" priority="1832">
      <formula>$F46="Réalisation"</formula>
    </cfRule>
    <cfRule type="expression" dxfId="1858" priority="1833">
      <formula>$F46="Désenfumage"</formula>
    </cfRule>
    <cfRule type="expression" dxfId="1857" priority="1834">
      <formula>$F46="Administratif"</formula>
    </cfRule>
  </conditionalFormatting>
  <conditionalFormatting sqref="D46">
    <cfRule type="expression" dxfId="1856" priority="1825">
      <formula>$H46="non"</formula>
    </cfRule>
  </conditionalFormatting>
  <conditionalFormatting sqref="D46">
    <cfRule type="expression" dxfId="1855" priority="1816">
      <formula>$F46="Formation CCF"</formula>
    </cfRule>
    <cfRule type="expression" dxfId="1854" priority="1817">
      <formula>$F46="Direction"</formula>
    </cfRule>
    <cfRule type="expression" dxfId="1853" priority="1818">
      <formula>$F46="Ventes Sicli"</formula>
    </cfRule>
    <cfRule type="expression" dxfId="1852" priority="1819">
      <formula>$F46="Ventes Chubb"</formula>
    </cfRule>
    <cfRule type="expression" dxfId="1851" priority="1820">
      <formula>$F46="SAV Sicli"</formula>
    </cfRule>
    <cfRule type="expression" dxfId="1850" priority="1821">
      <formula>$F46="SAV Chubb"</formula>
    </cfRule>
    <cfRule type="expression" dxfId="1849" priority="1822">
      <formula>$F46="Réalisation"</formula>
    </cfRule>
    <cfRule type="expression" dxfId="1848" priority="1823">
      <formula>$F46="Désenfumage"</formula>
    </cfRule>
    <cfRule type="expression" dxfId="1847" priority="1824">
      <formula>$F46="Administratif"</formula>
    </cfRule>
  </conditionalFormatting>
  <conditionalFormatting sqref="D46">
    <cfRule type="expression" dxfId="1846" priority="1815">
      <formula>$H46="non"</formula>
    </cfRule>
  </conditionalFormatting>
  <conditionalFormatting sqref="D46">
    <cfRule type="expression" dxfId="1845" priority="1806">
      <formula>$F46="Formation CCF"</formula>
    </cfRule>
    <cfRule type="expression" dxfId="1844" priority="1807">
      <formula>$F46="Direction"</formula>
    </cfRule>
    <cfRule type="expression" dxfId="1843" priority="1808">
      <formula>$F46="Ventes Sicli"</formula>
    </cfRule>
    <cfRule type="expression" dxfId="1842" priority="1809">
      <formula>$F46="Ventes Chubb"</formula>
    </cfRule>
    <cfRule type="expression" dxfId="1841" priority="1810">
      <formula>$F46="SAV Sicli"</formula>
    </cfRule>
    <cfRule type="expression" dxfId="1840" priority="1811">
      <formula>$F46="SAV Chubb"</formula>
    </cfRule>
    <cfRule type="expression" dxfId="1839" priority="1812">
      <formula>$F46="Réalisation"</formula>
    </cfRule>
    <cfRule type="expression" dxfId="1838" priority="1813">
      <formula>$F46="Désenfumage"</formula>
    </cfRule>
    <cfRule type="expression" dxfId="1837" priority="1814">
      <formula>$F46="Administratif"</formula>
    </cfRule>
  </conditionalFormatting>
  <conditionalFormatting sqref="D46">
    <cfRule type="expression" dxfId="1836" priority="1805">
      <formula>$H46="non"</formula>
    </cfRule>
  </conditionalFormatting>
  <conditionalFormatting sqref="D46">
    <cfRule type="expression" dxfId="1835" priority="1796">
      <formula>$F46="Formation CCF"</formula>
    </cfRule>
    <cfRule type="expression" dxfId="1834" priority="1797">
      <formula>$F46="Direction"</formula>
    </cfRule>
    <cfRule type="expression" dxfId="1833" priority="1798">
      <formula>$F46="Ventes Sicli"</formula>
    </cfRule>
    <cfRule type="expression" dxfId="1832" priority="1799">
      <formula>$F46="Ventes Chubb"</formula>
    </cfRule>
    <cfRule type="expression" dxfId="1831" priority="1800">
      <formula>$F46="SAV Sicli"</formula>
    </cfRule>
    <cfRule type="expression" dxfId="1830" priority="1801">
      <formula>$F46="SAV Chubb"</formula>
    </cfRule>
    <cfRule type="expression" dxfId="1829" priority="1802">
      <formula>$F46="Réalisation"</formula>
    </cfRule>
    <cfRule type="expression" dxfId="1828" priority="1803">
      <formula>$F46="Désenfumage"</formula>
    </cfRule>
    <cfRule type="expression" dxfId="1827" priority="1804">
      <formula>$F46="Administratif"</formula>
    </cfRule>
  </conditionalFormatting>
  <conditionalFormatting sqref="D46">
    <cfRule type="expression" dxfId="1826" priority="1795">
      <formula>$H46="non"</formula>
    </cfRule>
  </conditionalFormatting>
  <conditionalFormatting sqref="D46">
    <cfRule type="expression" dxfId="1825" priority="1786">
      <formula>$F46="Formation CCF"</formula>
    </cfRule>
    <cfRule type="expression" dxfId="1824" priority="1787">
      <formula>$F46="Direction"</formula>
    </cfRule>
    <cfRule type="expression" dxfId="1823" priority="1788">
      <formula>$F46="Ventes Sicli"</formula>
    </cfRule>
    <cfRule type="expression" dxfId="1822" priority="1789">
      <formula>$F46="Ventes Chubb"</formula>
    </cfRule>
    <cfRule type="expression" dxfId="1821" priority="1790">
      <formula>$F46="SAV Sicli"</formula>
    </cfRule>
    <cfRule type="expression" dxfId="1820" priority="1791">
      <formula>$F46="SAV Chubb"</formula>
    </cfRule>
    <cfRule type="expression" dxfId="1819" priority="1792">
      <formula>$F46="Réalisation"</formula>
    </cfRule>
    <cfRule type="expression" dxfId="1818" priority="1793">
      <formula>$F46="Désenfumage"</formula>
    </cfRule>
    <cfRule type="expression" dxfId="1817" priority="1794">
      <formula>$F46="Administratif"</formula>
    </cfRule>
  </conditionalFormatting>
  <conditionalFormatting sqref="D46">
    <cfRule type="expression" dxfId="1816" priority="1785">
      <formula>$H46="non"</formula>
    </cfRule>
  </conditionalFormatting>
  <conditionalFormatting sqref="D46">
    <cfRule type="expression" dxfId="1815" priority="1776">
      <formula>$F46="Formation CCF"</formula>
    </cfRule>
    <cfRule type="expression" dxfId="1814" priority="1777">
      <formula>$F46="Direction"</formula>
    </cfRule>
    <cfRule type="expression" dxfId="1813" priority="1778">
      <formula>$F46="Ventes Sicli"</formula>
    </cfRule>
    <cfRule type="expression" dxfId="1812" priority="1779">
      <formula>$F46="Ventes Chubb"</formula>
    </cfRule>
    <cfRule type="expression" dxfId="1811" priority="1780">
      <formula>$F46="SAV Sicli"</formula>
    </cfRule>
    <cfRule type="expression" dxfId="1810" priority="1781">
      <formula>$F46="SAV Chubb"</formula>
    </cfRule>
    <cfRule type="expression" dxfId="1809" priority="1782">
      <formula>$F46="Réalisation"</formula>
    </cfRule>
    <cfRule type="expression" dxfId="1808" priority="1783">
      <formula>$F46="Désenfumage"</formula>
    </cfRule>
    <cfRule type="expression" dxfId="1807" priority="1784">
      <formula>$F46="Administratif"</formula>
    </cfRule>
  </conditionalFormatting>
  <conditionalFormatting sqref="D46">
    <cfRule type="expression" dxfId="1806" priority="1775">
      <formula>$H46="non"</formula>
    </cfRule>
  </conditionalFormatting>
  <conditionalFormatting sqref="D46">
    <cfRule type="expression" dxfId="1805" priority="1766">
      <formula>$F46="Formation CCF"</formula>
    </cfRule>
    <cfRule type="expression" dxfId="1804" priority="1767">
      <formula>$F46="Direction"</formula>
    </cfRule>
    <cfRule type="expression" dxfId="1803" priority="1768">
      <formula>$F46="Ventes Sicli"</formula>
    </cfRule>
    <cfRule type="expression" dxfId="1802" priority="1769">
      <formula>$F46="Ventes Chubb"</formula>
    </cfRule>
    <cfRule type="expression" dxfId="1801" priority="1770">
      <formula>$F46="SAV Sicli"</formula>
    </cfRule>
    <cfRule type="expression" dxfId="1800" priority="1771">
      <formula>$F46="SAV Chubb"</formula>
    </cfRule>
    <cfRule type="expression" dxfId="1799" priority="1772">
      <formula>$F46="Réalisation"</formula>
    </cfRule>
    <cfRule type="expression" dxfId="1798" priority="1773">
      <formula>$F46="Désenfumage"</formula>
    </cfRule>
    <cfRule type="expression" dxfId="1797" priority="1774">
      <formula>$F46="Administratif"</formula>
    </cfRule>
  </conditionalFormatting>
  <conditionalFormatting sqref="D46">
    <cfRule type="expression" dxfId="1796" priority="1765">
      <formula>$H46="non"</formula>
    </cfRule>
  </conditionalFormatting>
  <conditionalFormatting sqref="D46">
    <cfRule type="expression" dxfId="1795" priority="1756">
      <formula>$F46="Formation CCF"</formula>
    </cfRule>
    <cfRule type="expression" dxfId="1794" priority="1757">
      <formula>$F46="Direction"</formula>
    </cfRule>
    <cfRule type="expression" dxfId="1793" priority="1758">
      <formula>$F46="Ventes Sicli"</formula>
    </cfRule>
    <cfRule type="expression" dxfId="1792" priority="1759">
      <formula>$F46="Ventes Chubb"</formula>
    </cfRule>
    <cfRule type="expression" dxfId="1791" priority="1760">
      <formula>$F46="SAV Sicli"</formula>
    </cfRule>
    <cfRule type="expression" dxfId="1790" priority="1761">
      <formula>$F46="SAV Chubb"</formula>
    </cfRule>
    <cfRule type="expression" dxfId="1789" priority="1762">
      <formula>$F46="Réalisation"</formula>
    </cfRule>
    <cfRule type="expression" dxfId="1788" priority="1763">
      <formula>$F46="Désenfumage"</formula>
    </cfRule>
    <cfRule type="expression" dxfId="1787" priority="1764">
      <formula>$F46="Administratif"</formula>
    </cfRule>
  </conditionalFormatting>
  <conditionalFormatting sqref="D46">
    <cfRule type="expression" dxfId="1786" priority="1755">
      <formula>$H46="non"</formula>
    </cfRule>
  </conditionalFormatting>
  <conditionalFormatting sqref="D46">
    <cfRule type="expression" dxfId="1785" priority="1746">
      <formula>$F46="Formation CCF"</formula>
    </cfRule>
    <cfRule type="expression" dxfId="1784" priority="1747">
      <formula>$F46="Direction"</formula>
    </cfRule>
    <cfRule type="expression" dxfId="1783" priority="1748">
      <formula>$F46="Ventes Sicli"</formula>
    </cfRule>
    <cfRule type="expression" dxfId="1782" priority="1749">
      <formula>$F46="Ventes Chubb"</formula>
    </cfRule>
    <cfRule type="expression" dxfId="1781" priority="1750">
      <formula>$F46="SAV Sicli"</formula>
    </cfRule>
    <cfRule type="expression" dxfId="1780" priority="1751">
      <formula>$F46="SAV Chubb"</formula>
    </cfRule>
    <cfRule type="expression" dxfId="1779" priority="1752">
      <formula>$F46="Réalisation"</formula>
    </cfRule>
    <cfRule type="expression" dxfId="1778" priority="1753">
      <formula>$F46="Désenfumage"</formula>
    </cfRule>
    <cfRule type="expression" dxfId="1777" priority="1754">
      <formula>$F46="Administratif"</formula>
    </cfRule>
  </conditionalFormatting>
  <conditionalFormatting sqref="D46">
    <cfRule type="expression" dxfId="1776" priority="1745">
      <formula>$H46="non"</formula>
    </cfRule>
  </conditionalFormatting>
  <conditionalFormatting sqref="D46">
    <cfRule type="expression" dxfId="1775" priority="1736">
      <formula>$F46="Formation CCF"</formula>
    </cfRule>
    <cfRule type="expression" dxfId="1774" priority="1737">
      <formula>$F46="Direction"</formula>
    </cfRule>
    <cfRule type="expression" dxfId="1773" priority="1738">
      <formula>$F46="Ventes Sicli"</formula>
    </cfRule>
    <cfRule type="expression" dxfId="1772" priority="1739">
      <formula>$F46="Ventes Chubb"</formula>
    </cfRule>
    <cfRule type="expression" dxfId="1771" priority="1740">
      <formula>$F46="SAV Sicli"</formula>
    </cfRule>
    <cfRule type="expression" dxfId="1770" priority="1741">
      <formula>$F46="SAV Chubb"</formula>
    </cfRule>
    <cfRule type="expression" dxfId="1769" priority="1742">
      <formula>$F46="Réalisation"</formula>
    </cfRule>
    <cfRule type="expression" dxfId="1768" priority="1743">
      <formula>$F46="Désenfumage"</formula>
    </cfRule>
    <cfRule type="expression" dxfId="1767" priority="1744">
      <formula>$F46="Administratif"</formula>
    </cfRule>
  </conditionalFormatting>
  <conditionalFormatting sqref="D46">
    <cfRule type="expression" dxfId="1766" priority="1735">
      <formula>$H46="non"</formula>
    </cfRule>
  </conditionalFormatting>
  <conditionalFormatting sqref="D46">
    <cfRule type="expression" dxfId="1765" priority="1726">
      <formula>$F46="Formation CCF"</formula>
    </cfRule>
    <cfRule type="expression" dxfId="1764" priority="1727">
      <formula>$F46="Direction"</formula>
    </cfRule>
    <cfRule type="expression" dxfId="1763" priority="1728">
      <formula>$F46="Ventes Sicli"</formula>
    </cfRule>
    <cfRule type="expression" dxfId="1762" priority="1729">
      <formula>$F46="Ventes Chubb"</formula>
    </cfRule>
    <cfRule type="expression" dxfId="1761" priority="1730">
      <formula>$F46="SAV Sicli"</formula>
    </cfRule>
    <cfRule type="expression" dxfId="1760" priority="1731">
      <formula>$F46="SAV Chubb"</formula>
    </cfRule>
    <cfRule type="expression" dxfId="1759" priority="1732">
      <formula>$F46="Réalisation"</formula>
    </cfRule>
    <cfRule type="expression" dxfId="1758" priority="1733">
      <formula>$F46="Désenfumage"</formula>
    </cfRule>
    <cfRule type="expression" dxfId="1757" priority="1734">
      <formula>$F46="Administratif"</formula>
    </cfRule>
  </conditionalFormatting>
  <conditionalFormatting sqref="D46">
    <cfRule type="expression" dxfId="1756" priority="1725">
      <formula>$H46="non"</formula>
    </cfRule>
  </conditionalFormatting>
  <conditionalFormatting sqref="D46">
    <cfRule type="expression" dxfId="1755" priority="1716">
      <formula>$F46="Formation CCF"</formula>
    </cfRule>
    <cfRule type="expression" dxfId="1754" priority="1717">
      <formula>$F46="Direction"</formula>
    </cfRule>
    <cfRule type="expression" dxfId="1753" priority="1718">
      <formula>$F46="Ventes Sicli"</formula>
    </cfRule>
    <cfRule type="expression" dxfId="1752" priority="1719">
      <formula>$F46="Ventes Chubb"</formula>
    </cfRule>
    <cfRule type="expression" dxfId="1751" priority="1720">
      <formula>$F46="SAV Sicli"</formula>
    </cfRule>
    <cfRule type="expression" dxfId="1750" priority="1721">
      <formula>$F46="SAV Chubb"</formula>
    </cfRule>
    <cfRule type="expression" dxfId="1749" priority="1722">
      <formula>$F46="Réalisation"</formula>
    </cfRule>
    <cfRule type="expression" dxfId="1748" priority="1723">
      <formula>$F46="Désenfumage"</formula>
    </cfRule>
    <cfRule type="expression" dxfId="1747" priority="1724">
      <formula>$F46="Administratif"</formula>
    </cfRule>
  </conditionalFormatting>
  <conditionalFormatting sqref="D46">
    <cfRule type="expression" dxfId="1746" priority="1715">
      <formula>$H46="non"</formula>
    </cfRule>
  </conditionalFormatting>
  <conditionalFormatting sqref="D46">
    <cfRule type="expression" dxfId="1745" priority="1706">
      <formula>$F46="Formation CCF"</formula>
    </cfRule>
    <cfRule type="expression" dxfId="1744" priority="1707">
      <formula>$F46="Direction"</formula>
    </cfRule>
    <cfRule type="expression" dxfId="1743" priority="1708">
      <formula>$F46="Ventes Sicli"</formula>
    </cfRule>
    <cfRule type="expression" dxfId="1742" priority="1709">
      <formula>$F46="Ventes Chubb"</formula>
    </cfRule>
    <cfRule type="expression" dxfId="1741" priority="1710">
      <formula>$F46="SAV Sicli"</formula>
    </cfRule>
    <cfRule type="expression" dxfId="1740" priority="1711">
      <formula>$F46="SAV Chubb"</formula>
    </cfRule>
    <cfRule type="expression" dxfId="1739" priority="1712">
      <formula>$F46="Réalisation"</formula>
    </cfRule>
    <cfRule type="expression" dxfId="1738" priority="1713">
      <formula>$F46="Désenfumage"</formula>
    </cfRule>
    <cfRule type="expression" dxfId="1737" priority="1714">
      <formula>$F46="Administratif"</formula>
    </cfRule>
  </conditionalFormatting>
  <conditionalFormatting sqref="D46">
    <cfRule type="expression" dxfId="1736" priority="1705">
      <formula>$H46="non"</formula>
    </cfRule>
  </conditionalFormatting>
  <conditionalFormatting sqref="D46">
    <cfRule type="expression" dxfId="1735" priority="1696">
      <formula>$F46="Formation CCF"</formula>
    </cfRule>
    <cfRule type="expression" dxfId="1734" priority="1697">
      <formula>$F46="Direction"</formula>
    </cfRule>
    <cfRule type="expression" dxfId="1733" priority="1698">
      <formula>$F46="Ventes Sicli"</formula>
    </cfRule>
    <cfRule type="expression" dxfId="1732" priority="1699">
      <formula>$F46="Ventes Chubb"</formula>
    </cfRule>
    <cfRule type="expression" dxfId="1731" priority="1700">
      <formula>$F46="SAV Sicli"</formula>
    </cfRule>
    <cfRule type="expression" dxfId="1730" priority="1701">
      <formula>$F46="SAV Chubb"</formula>
    </cfRule>
    <cfRule type="expression" dxfId="1729" priority="1702">
      <formula>$F46="Réalisation"</formula>
    </cfRule>
    <cfRule type="expression" dxfId="1728" priority="1703">
      <formula>$F46="Désenfumage"</formula>
    </cfRule>
    <cfRule type="expression" dxfId="1727" priority="1704">
      <formula>$F46="Administratif"</formula>
    </cfRule>
  </conditionalFormatting>
  <conditionalFormatting sqref="D46">
    <cfRule type="expression" dxfId="1726" priority="1695">
      <formula>$H46="non"</formula>
    </cfRule>
  </conditionalFormatting>
  <conditionalFormatting sqref="D46">
    <cfRule type="expression" dxfId="1725" priority="1686">
      <formula>$F46="Formation CCF"</formula>
    </cfRule>
    <cfRule type="expression" dxfId="1724" priority="1687">
      <formula>$F46="Direction"</formula>
    </cfRule>
    <cfRule type="expression" dxfId="1723" priority="1688">
      <formula>$F46="Ventes Sicli"</formula>
    </cfRule>
    <cfRule type="expression" dxfId="1722" priority="1689">
      <formula>$F46="Ventes Chubb"</formula>
    </cfRule>
    <cfRule type="expression" dxfId="1721" priority="1690">
      <formula>$F46="SAV Sicli"</formula>
    </cfRule>
    <cfRule type="expression" dxfId="1720" priority="1691">
      <formula>$F46="SAV Chubb"</formula>
    </cfRule>
    <cfRule type="expression" dxfId="1719" priority="1692">
      <formula>$F46="Réalisation"</formula>
    </cfRule>
    <cfRule type="expression" dxfId="1718" priority="1693">
      <formula>$F46="Désenfumage"</formula>
    </cfRule>
    <cfRule type="expression" dxfId="1717" priority="1694">
      <formula>$F46="Administratif"</formula>
    </cfRule>
  </conditionalFormatting>
  <conditionalFormatting sqref="D46">
    <cfRule type="expression" dxfId="1716" priority="1685">
      <formula>$H46="non"</formula>
    </cfRule>
  </conditionalFormatting>
  <conditionalFormatting sqref="D46">
    <cfRule type="expression" dxfId="1715" priority="1676">
      <formula>$F46="Formation CCF"</formula>
    </cfRule>
    <cfRule type="expression" dxfId="1714" priority="1677">
      <formula>$F46="Direction"</formula>
    </cfRule>
    <cfRule type="expression" dxfId="1713" priority="1678">
      <formula>$F46="Ventes Sicli"</formula>
    </cfRule>
    <cfRule type="expression" dxfId="1712" priority="1679">
      <formula>$F46="Ventes Chubb"</formula>
    </cfRule>
    <cfRule type="expression" dxfId="1711" priority="1680">
      <formula>$F46="SAV Sicli"</formula>
    </cfRule>
    <cfRule type="expression" dxfId="1710" priority="1681">
      <formula>$F46="SAV Chubb"</formula>
    </cfRule>
    <cfRule type="expression" dxfId="1709" priority="1682">
      <formula>$F46="Réalisation"</formula>
    </cfRule>
    <cfRule type="expression" dxfId="1708" priority="1683">
      <formula>$F46="Désenfumage"</formula>
    </cfRule>
    <cfRule type="expression" dxfId="1707" priority="1684">
      <formula>$F46="Administratif"</formula>
    </cfRule>
  </conditionalFormatting>
  <conditionalFormatting sqref="D46">
    <cfRule type="expression" dxfId="1706" priority="1675">
      <formula>$H46="non"</formula>
    </cfRule>
  </conditionalFormatting>
  <conditionalFormatting sqref="D46">
    <cfRule type="expression" dxfId="1705" priority="1666">
      <formula>$F46="Formation CCF"</formula>
    </cfRule>
    <cfRule type="expression" dxfId="1704" priority="1667">
      <formula>$F46="Direction"</formula>
    </cfRule>
    <cfRule type="expression" dxfId="1703" priority="1668">
      <formula>$F46="Ventes Sicli"</formula>
    </cfRule>
    <cfRule type="expression" dxfId="1702" priority="1669">
      <formula>$F46="Ventes Chubb"</formula>
    </cfRule>
    <cfRule type="expression" dxfId="1701" priority="1670">
      <formula>$F46="SAV Sicli"</formula>
    </cfRule>
    <cfRule type="expression" dxfId="1700" priority="1671">
      <formula>$F46="SAV Chubb"</formula>
    </cfRule>
    <cfRule type="expression" dxfId="1699" priority="1672">
      <formula>$F46="Réalisation"</formula>
    </cfRule>
    <cfRule type="expression" dxfId="1698" priority="1673">
      <formula>$F46="Désenfumage"</formula>
    </cfRule>
    <cfRule type="expression" dxfId="1697" priority="1674">
      <formula>$F46="Administratif"</formula>
    </cfRule>
  </conditionalFormatting>
  <conditionalFormatting sqref="D46">
    <cfRule type="expression" dxfId="1696" priority="1665">
      <formula>$H46="non"</formula>
    </cfRule>
  </conditionalFormatting>
  <conditionalFormatting sqref="C46:D46">
    <cfRule type="expression" dxfId="1695" priority="1656">
      <formula>$F46="Formation CCF"</formula>
    </cfRule>
    <cfRule type="expression" dxfId="1694" priority="1657">
      <formula>$F46="Direction"</formula>
    </cfRule>
    <cfRule type="expression" dxfId="1693" priority="1658">
      <formula>$F46="Ventes Sicli"</formula>
    </cfRule>
    <cfRule type="expression" dxfId="1692" priority="1659">
      <formula>$F46="Ventes Chubb"</formula>
    </cfRule>
    <cfRule type="expression" dxfId="1691" priority="1660">
      <formula>$F46="SAV Sicli"</formula>
    </cfRule>
    <cfRule type="expression" dxfId="1690" priority="1661">
      <formula>$F46="SAV Chubb"</formula>
    </cfRule>
    <cfRule type="expression" dxfId="1689" priority="1662">
      <formula>$F46="Réalisation"</formula>
    </cfRule>
    <cfRule type="expression" dxfId="1688" priority="1663">
      <formula>$F46="Désenfumage"</formula>
    </cfRule>
    <cfRule type="expression" dxfId="1687" priority="1664">
      <formula>$F46="Administratif"</formula>
    </cfRule>
  </conditionalFormatting>
  <conditionalFormatting sqref="C46:D46">
    <cfRule type="expression" dxfId="1686" priority="1655">
      <formula>$H46="non"</formula>
    </cfRule>
  </conditionalFormatting>
  <conditionalFormatting sqref="D46">
    <cfRule type="expression" dxfId="1685" priority="1646">
      <formula>$F46="Formation CCF"</formula>
    </cfRule>
    <cfRule type="expression" dxfId="1684" priority="1647">
      <formula>$F46="Direction"</formula>
    </cfRule>
    <cfRule type="expression" dxfId="1683" priority="1648">
      <formula>$F46="Ventes Sicli"</formula>
    </cfRule>
    <cfRule type="expression" dxfId="1682" priority="1649">
      <formula>$F46="Ventes Chubb"</formula>
    </cfRule>
    <cfRule type="expression" dxfId="1681" priority="1650">
      <formula>$F46="SAV Sicli"</formula>
    </cfRule>
    <cfRule type="expression" dxfId="1680" priority="1651">
      <formula>$F46="SAV Chubb"</formula>
    </cfRule>
    <cfRule type="expression" dxfId="1679" priority="1652">
      <formula>$F46="Réalisation"</formula>
    </cfRule>
    <cfRule type="expression" dxfId="1678" priority="1653">
      <formula>$F46="Désenfumage"</formula>
    </cfRule>
    <cfRule type="expression" dxfId="1677" priority="1654">
      <formula>$F46="Administratif"</formula>
    </cfRule>
  </conditionalFormatting>
  <conditionalFormatting sqref="D46">
    <cfRule type="expression" dxfId="1676" priority="1645">
      <formula>$H46="non"</formula>
    </cfRule>
  </conditionalFormatting>
  <conditionalFormatting sqref="D46">
    <cfRule type="expression" dxfId="1675" priority="1636">
      <formula>$F46="Formation CCF"</formula>
    </cfRule>
    <cfRule type="expression" dxfId="1674" priority="1637">
      <formula>$F46="Direction"</formula>
    </cfRule>
    <cfRule type="expression" dxfId="1673" priority="1638">
      <formula>$F46="Ventes Sicli"</formula>
    </cfRule>
    <cfRule type="expression" dxfId="1672" priority="1639">
      <formula>$F46="Ventes Chubb"</formula>
    </cfRule>
    <cfRule type="expression" dxfId="1671" priority="1640">
      <formula>$F46="SAV Sicli"</formula>
    </cfRule>
    <cfRule type="expression" dxfId="1670" priority="1641">
      <formula>$F46="SAV Chubb"</formula>
    </cfRule>
    <cfRule type="expression" dxfId="1669" priority="1642">
      <formula>$F46="Réalisation"</formula>
    </cfRule>
    <cfRule type="expression" dxfId="1668" priority="1643">
      <formula>$F46="Désenfumage"</formula>
    </cfRule>
    <cfRule type="expression" dxfId="1667" priority="1644">
      <formula>$F46="Administratif"</formula>
    </cfRule>
  </conditionalFormatting>
  <conditionalFormatting sqref="D46">
    <cfRule type="expression" dxfId="1666" priority="1635">
      <formula>$H46="non"</formula>
    </cfRule>
  </conditionalFormatting>
  <conditionalFormatting sqref="D46">
    <cfRule type="expression" dxfId="1665" priority="1626">
      <formula>$F46="Formation CCF"</formula>
    </cfRule>
    <cfRule type="expression" dxfId="1664" priority="1627">
      <formula>$F46="Direction"</formula>
    </cfRule>
    <cfRule type="expression" dxfId="1663" priority="1628">
      <formula>$F46="Ventes Sicli"</formula>
    </cfRule>
    <cfRule type="expression" dxfId="1662" priority="1629">
      <formula>$F46="Ventes Chubb"</formula>
    </cfRule>
    <cfRule type="expression" dxfId="1661" priority="1630">
      <formula>$F46="SAV Sicli"</formula>
    </cfRule>
    <cfRule type="expression" dxfId="1660" priority="1631">
      <formula>$F46="SAV Chubb"</formula>
    </cfRule>
    <cfRule type="expression" dxfId="1659" priority="1632">
      <formula>$F46="Réalisation"</formula>
    </cfRule>
    <cfRule type="expression" dxfId="1658" priority="1633">
      <formula>$F46="Désenfumage"</formula>
    </cfRule>
    <cfRule type="expression" dxfId="1657" priority="1634">
      <formula>$F46="Administratif"</formula>
    </cfRule>
  </conditionalFormatting>
  <conditionalFormatting sqref="D46">
    <cfRule type="expression" dxfId="1656" priority="1625">
      <formula>$H46="non"</formula>
    </cfRule>
  </conditionalFormatting>
  <conditionalFormatting sqref="D46">
    <cfRule type="expression" dxfId="1655" priority="1616">
      <formula>$F46="Formation CCF"</formula>
    </cfRule>
    <cfRule type="expression" dxfId="1654" priority="1617">
      <formula>$F46="Direction"</formula>
    </cfRule>
    <cfRule type="expression" dxfId="1653" priority="1618">
      <formula>$F46="Ventes Sicli"</formula>
    </cfRule>
    <cfRule type="expression" dxfId="1652" priority="1619">
      <formula>$F46="Ventes Chubb"</formula>
    </cfRule>
    <cfRule type="expression" dxfId="1651" priority="1620">
      <formula>$F46="SAV Sicli"</formula>
    </cfRule>
    <cfRule type="expression" dxfId="1650" priority="1621">
      <formula>$F46="SAV Chubb"</formula>
    </cfRule>
    <cfRule type="expression" dxfId="1649" priority="1622">
      <formula>$F46="Réalisation"</formula>
    </cfRule>
    <cfRule type="expression" dxfId="1648" priority="1623">
      <formula>$F46="Désenfumage"</formula>
    </cfRule>
    <cfRule type="expression" dxfId="1647" priority="1624">
      <formula>$F46="Administratif"</formula>
    </cfRule>
  </conditionalFormatting>
  <conditionalFormatting sqref="D46">
    <cfRule type="expression" dxfId="1646" priority="1615">
      <formula>$H46="non"</formula>
    </cfRule>
  </conditionalFormatting>
  <conditionalFormatting sqref="D46">
    <cfRule type="expression" dxfId="1645" priority="1606">
      <formula>$F46="Formation CCF"</formula>
    </cfRule>
    <cfRule type="expression" dxfId="1644" priority="1607">
      <formula>$F46="Direction"</formula>
    </cfRule>
    <cfRule type="expression" dxfId="1643" priority="1608">
      <formula>$F46="Ventes Sicli"</formula>
    </cfRule>
    <cfRule type="expression" dxfId="1642" priority="1609">
      <formula>$F46="Ventes Chubb"</formula>
    </cfRule>
    <cfRule type="expression" dxfId="1641" priority="1610">
      <formula>$F46="SAV Sicli"</formula>
    </cfRule>
    <cfRule type="expression" dxfId="1640" priority="1611">
      <formula>$F46="SAV Chubb"</formula>
    </cfRule>
    <cfRule type="expression" dxfId="1639" priority="1612">
      <formula>$F46="Réalisation"</formula>
    </cfRule>
    <cfRule type="expression" dxfId="1638" priority="1613">
      <formula>$F46="Désenfumage"</formula>
    </cfRule>
    <cfRule type="expression" dxfId="1637" priority="1614">
      <formula>$F46="Administratif"</formula>
    </cfRule>
  </conditionalFormatting>
  <conditionalFormatting sqref="D46">
    <cfRule type="expression" dxfId="1636" priority="1605">
      <formula>$H46="non"</formula>
    </cfRule>
  </conditionalFormatting>
  <conditionalFormatting sqref="D46">
    <cfRule type="expression" dxfId="1635" priority="1596">
      <formula>$F46="Formation CCF"</formula>
    </cfRule>
    <cfRule type="expression" dxfId="1634" priority="1597">
      <formula>$F46="Direction"</formula>
    </cfRule>
    <cfRule type="expression" dxfId="1633" priority="1598">
      <formula>$F46="Ventes Sicli"</formula>
    </cfRule>
    <cfRule type="expression" dxfId="1632" priority="1599">
      <formula>$F46="Ventes Chubb"</formula>
    </cfRule>
    <cfRule type="expression" dxfId="1631" priority="1600">
      <formula>$F46="SAV Sicli"</formula>
    </cfRule>
    <cfRule type="expression" dxfId="1630" priority="1601">
      <formula>$F46="SAV Chubb"</formula>
    </cfRule>
    <cfRule type="expression" dxfId="1629" priority="1602">
      <formula>$F46="Réalisation"</formula>
    </cfRule>
    <cfRule type="expression" dxfId="1628" priority="1603">
      <formula>$F46="Désenfumage"</formula>
    </cfRule>
    <cfRule type="expression" dxfId="1627" priority="1604">
      <formula>$F46="Administratif"</formula>
    </cfRule>
  </conditionalFormatting>
  <conditionalFormatting sqref="D46">
    <cfRule type="expression" dxfId="1626" priority="1595">
      <formula>$H46="non"</formula>
    </cfRule>
  </conditionalFormatting>
  <conditionalFormatting sqref="D46">
    <cfRule type="expression" dxfId="1625" priority="1586">
      <formula>$F46="Formation CCF"</formula>
    </cfRule>
    <cfRule type="expression" dxfId="1624" priority="1587">
      <formula>$F46="Direction"</formula>
    </cfRule>
    <cfRule type="expression" dxfId="1623" priority="1588">
      <formula>$F46="Ventes Sicli"</formula>
    </cfRule>
    <cfRule type="expression" dxfId="1622" priority="1589">
      <formula>$F46="Ventes Chubb"</formula>
    </cfRule>
    <cfRule type="expression" dxfId="1621" priority="1590">
      <formula>$F46="SAV Sicli"</formula>
    </cfRule>
    <cfRule type="expression" dxfId="1620" priority="1591">
      <formula>$F46="SAV Chubb"</formula>
    </cfRule>
    <cfRule type="expression" dxfId="1619" priority="1592">
      <formula>$F46="Réalisation"</formula>
    </cfRule>
    <cfRule type="expression" dxfId="1618" priority="1593">
      <formula>$F46="Désenfumage"</formula>
    </cfRule>
    <cfRule type="expression" dxfId="1617" priority="1594">
      <formula>$F46="Administratif"</formula>
    </cfRule>
  </conditionalFormatting>
  <conditionalFormatting sqref="D46">
    <cfRule type="expression" dxfId="1616" priority="1585">
      <formula>$H46="non"</formula>
    </cfRule>
  </conditionalFormatting>
  <conditionalFormatting sqref="D46">
    <cfRule type="expression" dxfId="1615" priority="1576">
      <formula>$F46="Formation CCF"</formula>
    </cfRule>
    <cfRule type="expression" dxfId="1614" priority="1577">
      <formula>$F46="Direction"</formula>
    </cfRule>
    <cfRule type="expression" dxfId="1613" priority="1578">
      <formula>$F46="Ventes Sicli"</formula>
    </cfRule>
    <cfRule type="expression" dxfId="1612" priority="1579">
      <formula>$F46="Ventes Chubb"</formula>
    </cfRule>
    <cfRule type="expression" dxfId="1611" priority="1580">
      <formula>$F46="SAV Sicli"</formula>
    </cfRule>
    <cfRule type="expression" dxfId="1610" priority="1581">
      <formula>$F46="SAV Chubb"</formula>
    </cfRule>
    <cfRule type="expression" dxfId="1609" priority="1582">
      <formula>$F46="Réalisation"</formula>
    </cfRule>
    <cfRule type="expression" dxfId="1608" priority="1583">
      <formula>$F46="Désenfumage"</formula>
    </cfRule>
    <cfRule type="expression" dxfId="1607" priority="1584">
      <formula>$F46="Administratif"</formula>
    </cfRule>
  </conditionalFormatting>
  <conditionalFormatting sqref="D46">
    <cfRule type="expression" dxfId="1606" priority="1575">
      <formula>$H46="non"</formula>
    </cfRule>
  </conditionalFormatting>
  <conditionalFormatting sqref="AT39:AY39">
    <cfRule type="expression" dxfId="1605" priority="1574">
      <formula>$E$3="Non"</formula>
    </cfRule>
  </conditionalFormatting>
  <conditionalFormatting sqref="AO39:AR39">
    <cfRule type="expression" dxfId="1604" priority="1573">
      <formula>$E$4="Non"</formula>
    </cfRule>
  </conditionalFormatting>
  <conditionalFormatting sqref="N39:Q39 I39:K39">
    <cfRule type="expression" dxfId="1603" priority="1572">
      <formula>$L39="NA"</formula>
    </cfRule>
  </conditionalFormatting>
  <conditionalFormatting sqref="X39:AA39">
    <cfRule type="expression" dxfId="1602" priority="1571">
      <formula>$V39="NA"</formula>
    </cfRule>
  </conditionalFormatting>
  <conditionalFormatting sqref="AE39:AH39">
    <cfRule type="expression" dxfId="1601" priority="1570">
      <formula>$AC39="NA"</formula>
    </cfRule>
  </conditionalFormatting>
  <conditionalFormatting sqref="S39:U39">
    <cfRule type="expression" dxfId="1600" priority="1569">
      <formula>$S39="NA"</formula>
    </cfRule>
  </conditionalFormatting>
  <conditionalFormatting sqref="E39:H39">
    <cfRule type="expression" dxfId="1599" priority="1568">
      <formula>$F39="Administratif"</formula>
    </cfRule>
  </conditionalFormatting>
  <conditionalFormatting sqref="E39:H39">
    <cfRule type="expression" dxfId="1598" priority="1559">
      <formula>$H39="non"</formula>
    </cfRule>
    <cfRule type="expression" dxfId="1597" priority="1564">
      <formula>$F39="SAV Sicli"</formula>
    </cfRule>
  </conditionalFormatting>
  <conditionalFormatting sqref="E39:H39">
    <cfRule type="expression" dxfId="1596" priority="1561">
      <formula>$F39="Direction"</formula>
    </cfRule>
  </conditionalFormatting>
  <conditionalFormatting sqref="E39:H39">
    <cfRule type="expression" dxfId="1595" priority="1560">
      <formula>$F39="Formation CCF"</formula>
    </cfRule>
  </conditionalFormatting>
  <conditionalFormatting sqref="E39:H39">
    <cfRule type="expression" dxfId="1594" priority="1562">
      <formula>$F39="Ventes Sicli"</formula>
    </cfRule>
    <cfRule type="expression" dxfId="1593" priority="1565">
      <formula>$F39="SAV Chubb"</formula>
    </cfRule>
  </conditionalFormatting>
  <conditionalFormatting sqref="E39:H39">
    <cfRule type="expression" dxfId="1592" priority="1563">
      <formula>$F39="Ventes Chubb"</formula>
    </cfRule>
  </conditionalFormatting>
  <conditionalFormatting sqref="E39:H39">
    <cfRule type="expression" dxfId="1591" priority="1566">
      <formula>$F39="Réalisation"</formula>
    </cfRule>
  </conditionalFormatting>
  <conditionalFormatting sqref="E39:H39">
    <cfRule type="expression" dxfId="1590" priority="1567">
      <formula>$F39="Désenfumage"</formula>
    </cfRule>
  </conditionalFormatting>
  <conditionalFormatting sqref="C39:D39">
    <cfRule type="expression" dxfId="1589" priority="1550">
      <formula>$F39="Formation CCF"</formula>
    </cfRule>
    <cfRule type="expression" dxfId="1588" priority="1551">
      <formula>$F39="Direction"</formula>
    </cfRule>
    <cfRule type="expression" dxfId="1587" priority="1552">
      <formula>$F39="Ventes Sicli"</formula>
    </cfRule>
    <cfRule type="expression" dxfId="1586" priority="1553">
      <formula>$F39="Ventes Chubb"</formula>
    </cfRule>
    <cfRule type="expression" dxfId="1585" priority="1554">
      <formula>$F39="SAV Sicli"</formula>
    </cfRule>
    <cfRule type="expression" dxfId="1584" priority="1555">
      <formula>$F39="SAV Chubb"</formula>
    </cfRule>
    <cfRule type="expression" dxfId="1583" priority="1556">
      <formula>$F39="Réalisation"</formula>
    </cfRule>
    <cfRule type="expression" dxfId="1582" priority="1557">
      <formula>$F39="Désenfumage"</formula>
    </cfRule>
    <cfRule type="expression" dxfId="1581" priority="1558">
      <formula>$F39="Administratif"</formula>
    </cfRule>
  </conditionalFormatting>
  <conditionalFormatting sqref="C39:D39">
    <cfRule type="expression" dxfId="1580" priority="1549">
      <formula>$H39="non"</formula>
    </cfRule>
  </conditionalFormatting>
  <conditionalFormatting sqref="C39:D39">
    <cfRule type="expression" dxfId="1579" priority="1540">
      <formula>$F39="Formation CCF"</formula>
    </cfRule>
    <cfRule type="expression" dxfId="1578" priority="1541">
      <formula>$F39="Direction"</formula>
    </cfRule>
    <cfRule type="expression" dxfId="1577" priority="1542">
      <formula>$F39="Ventes Sicli"</formula>
    </cfRule>
    <cfRule type="expression" dxfId="1576" priority="1543">
      <formula>$F39="Ventes Chubb"</formula>
    </cfRule>
    <cfRule type="expression" dxfId="1575" priority="1544">
      <formula>$F39="SAV Sicli"</formula>
    </cfRule>
    <cfRule type="expression" dxfId="1574" priority="1545">
      <formula>$F39="SAV Chubb"</formula>
    </cfRule>
    <cfRule type="expression" dxfId="1573" priority="1546">
      <formula>$F39="Réalisation"</formula>
    </cfRule>
    <cfRule type="expression" dxfId="1572" priority="1547">
      <formula>$F39="Désenfumage"</formula>
    </cfRule>
    <cfRule type="expression" dxfId="1571" priority="1548">
      <formula>$F39="Administratif"</formula>
    </cfRule>
  </conditionalFormatting>
  <conditionalFormatting sqref="C39:D39">
    <cfRule type="expression" dxfId="1570" priority="1539">
      <formula>$H39="non"</formula>
    </cfRule>
  </conditionalFormatting>
  <conditionalFormatting sqref="C39:D39">
    <cfRule type="expression" dxfId="1569" priority="1530">
      <formula>$F39="Formation CCF"</formula>
    </cfRule>
    <cfRule type="expression" dxfId="1568" priority="1531">
      <formula>$F39="Direction"</formula>
    </cfRule>
    <cfRule type="expression" dxfId="1567" priority="1532">
      <formula>$F39="Ventes Sicli"</formula>
    </cfRule>
    <cfRule type="expression" dxfId="1566" priority="1533">
      <formula>$F39="Ventes Chubb"</formula>
    </cfRule>
    <cfRule type="expression" dxfId="1565" priority="1534">
      <formula>$F39="SAV Sicli"</formula>
    </cfRule>
    <cfRule type="expression" dxfId="1564" priority="1535">
      <formula>$F39="SAV Chubb"</formula>
    </cfRule>
    <cfRule type="expression" dxfId="1563" priority="1536">
      <formula>$F39="Réalisation"</formula>
    </cfRule>
    <cfRule type="expression" dxfId="1562" priority="1537">
      <formula>$F39="Désenfumage"</formula>
    </cfRule>
    <cfRule type="expression" dxfId="1561" priority="1538">
      <formula>$F39="Administratif"</formula>
    </cfRule>
  </conditionalFormatting>
  <conditionalFormatting sqref="C39:D39">
    <cfRule type="expression" dxfId="1560" priority="1529">
      <formula>$H39="non"</formula>
    </cfRule>
  </conditionalFormatting>
  <conditionalFormatting sqref="C39:D39">
    <cfRule type="expression" dxfId="1559" priority="1520">
      <formula>$F39="Formation CCF"</formula>
    </cfRule>
    <cfRule type="expression" dxfId="1558" priority="1521">
      <formula>$F39="Direction"</formula>
    </cfRule>
    <cfRule type="expression" dxfId="1557" priority="1522">
      <formula>$F39="Ventes Sicli"</formula>
    </cfRule>
    <cfRule type="expression" dxfId="1556" priority="1523">
      <formula>$F39="Ventes Chubb"</formula>
    </cfRule>
    <cfRule type="expression" dxfId="1555" priority="1524">
      <formula>$F39="SAV Sicli"</formula>
    </cfRule>
    <cfRule type="expression" dxfId="1554" priority="1525">
      <formula>$F39="SAV Chubb"</formula>
    </cfRule>
    <cfRule type="expression" dxfId="1553" priority="1526">
      <formula>$F39="Réalisation"</formula>
    </cfRule>
    <cfRule type="expression" dxfId="1552" priority="1527">
      <formula>$F39="Désenfumage"</formula>
    </cfRule>
    <cfRule type="expression" dxfId="1551" priority="1528">
      <formula>$F39="Administratif"</formula>
    </cfRule>
  </conditionalFormatting>
  <conditionalFormatting sqref="C39:D39">
    <cfRule type="expression" dxfId="1550" priority="1519">
      <formula>$H39="non"</formula>
    </cfRule>
  </conditionalFormatting>
  <conditionalFormatting sqref="C39:D39">
    <cfRule type="expression" dxfId="1549" priority="1510">
      <formula>$F39="Formation CCF"</formula>
    </cfRule>
    <cfRule type="expression" dxfId="1548" priority="1511">
      <formula>$F39="Direction"</formula>
    </cfRule>
    <cfRule type="expression" dxfId="1547" priority="1512">
      <formula>$F39="Ventes Sicli"</formula>
    </cfRule>
    <cfRule type="expression" dxfId="1546" priority="1513">
      <formula>$F39="Ventes Chubb"</formula>
    </cfRule>
    <cfRule type="expression" dxfId="1545" priority="1514">
      <formula>$F39="SAV Sicli"</formula>
    </cfRule>
    <cfRule type="expression" dxfId="1544" priority="1515">
      <formula>$F39="SAV Chubb"</formula>
    </cfRule>
    <cfRule type="expression" dxfId="1543" priority="1516">
      <formula>$F39="Réalisation"</formula>
    </cfRule>
    <cfRule type="expression" dxfId="1542" priority="1517">
      <formula>$F39="Désenfumage"</formula>
    </cfRule>
    <cfRule type="expression" dxfId="1541" priority="1518">
      <formula>$F39="Administratif"</formula>
    </cfRule>
  </conditionalFormatting>
  <conditionalFormatting sqref="C39:D39">
    <cfRule type="expression" dxfId="1540" priority="1509">
      <formula>$H39="non"</formula>
    </cfRule>
  </conditionalFormatting>
  <conditionalFormatting sqref="C39:D39">
    <cfRule type="expression" dxfId="1539" priority="1500">
      <formula>$F39="Formation CCF"</formula>
    </cfRule>
    <cfRule type="expression" dxfId="1538" priority="1501">
      <formula>$F39="Direction"</formula>
    </cfRule>
    <cfRule type="expression" dxfId="1537" priority="1502">
      <formula>$F39="Ventes Sicli"</formula>
    </cfRule>
    <cfRule type="expression" dxfId="1536" priority="1503">
      <formula>$F39="Ventes Chubb"</formula>
    </cfRule>
    <cfRule type="expression" dxfId="1535" priority="1504">
      <formula>$F39="SAV Sicli"</formula>
    </cfRule>
    <cfRule type="expression" dxfId="1534" priority="1505">
      <formula>$F39="SAV Chubb"</formula>
    </cfRule>
    <cfRule type="expression" dxfId="1533" priority="1506">
      <formula>$F39="Réalisation"</formula>
    </cfRule>
    <cfRule type="expression" dxfId="1532" priority="1507">
      <formula>$F39="Désenfumage"</formula>
    </cfRule>
    <cfRule type="expression" dxfId="1531" priority="1508">
      <formula>$F39="Administratif"</formula>
    </cfRule>
  </conditionalFormatting>
  <conditionalFormatting sqref="C39:D39">
    <cfRule type="expression" dxfId="1530" priority="1499">
      <formula>$H39="non"</formula>
    </cfRule>
  </conditionalFormatting>
  <conditionalFormatting sqref="D39">
    <cfRule type="expression" dxfId="1529" priority="1490">
      <formula>$F39="Formation CCF"</formula>
    </cfRule>
    <cfRule type="expression" dxfId="1528" priority="1491">
      <formula>$F39="Direction"</formula>
    </cfRule>
    <cfRule type="expression" dxfId="1527" priority="1492">
      <formula>$F39="Ventes Sicli"</formula>
    </cfRule>
    <cfRule type="expression" dxfId="1526" priority="1493">
      <formula>$F39="Ventes Chubb"</formula>
    </cfRule>
    <cfRule type="expression" dxfId="1525" priority="1494">
      <formula>$F39="SAV Sicli"</formula>
    </cfRule>
    <cfRule type="expression" dxfId="1524" priority="1495">
      <formula>$F39="SAV Chubb"</formula>
    </cfRule>
    <cfRule type="expression" dxfId="1523" priority="1496">
      <formula>$F39="Réalisation"</formula>
    </cfRule>
    <cfRule type="expression" dxfId="1522" priority="1497">
      <formula>$F39="Désenfumage"</formula>
    </cfRule>
    <cfRule type="expression" dxfId="1521" priority="1498">
      <formula>$F39="Administratif"</formula>
    </cfRule>
  </conditionalFormatting>
  <conditionalFormatting sqref="D39">
    <cfRule type="expression" dxfId="1520" priority="1489">
      <formula>$H39="non"</formula>
    </cfRule>
  </conditionalFormatting>
  <conditionalFormatting sqref="D39">
    <cfRule type="expression" dxfId="1519" priority="1480">
      <formula>$F39="Formation CCF"</formula>
    </cfRule>
    <cfRule type="expression" dxfId="1518" priority="1481">
      <formula>$F39="Direction"</formula>
    </cfRule>
    <cfRule type="expression" dxfId="1517" priority="1482">
      <formula>$F39="Ventes Sicli"</formula>
    </cfRule>
    <cfRule type="expression" dxfId="1516" priority="1483">
      <formula>$F39="Ventes Chubb"</formula>
    </cfRule>
    <cfRule type="expression" dxfId="1515" priority="1484">
      <formula>$F39="SAV Sicli"</formula>
    </cfRule>
    <cfRule type="expression" dxfId="1514" priority="1485">
      <formula>$F39="SAV Chubb"</formula>
    </cfRule>
    <cfRule type="expression" dxfId="1513" priority="1486">
      <formula>$F39="Réalisation"</formula>
    </cfRule>
    <cfRule type="expression" dxfId="1512" priority="1487">
      <formula>$F39="Désenfumage"</formula>
    </cfRule>
    <cfRule type="expression" dxfId="1511" priority="1488">
      <formula>$F39="Administratif"</formula>
    </cfRule>
  </conditionalFormatting>
  <conditionalFormatting sqref="D39">
    <cfRule type="expression" dxfId="1510" priority="1479">
      <formula>$H39="non"</formula>
    </cfRule>
  </conditionalFormatting>
  <conditionalFormatting sqref="D39">
    <cfRule type="expression" dxfId="1509" priority="1470">
      <formula>$F39="Formation CCF"</formula>
    </cfRule>
    <cfRule type="expression" dxfId="1508" priority="1471">
      <formula>$F39="Direction"</formula>
    </cfRule>
    <cfRule type="expression" dxfId="1507" priority="1472">
      <formula>$F39="Ventes Sicli"</formula>
    </cfRule>
    <cfRule type="expression" dxfId="1506" priority="1473">
      <formula>$F39="Ventes Chubb"</formula>
    </cfRule>
    <cfRule type="expression" dxfId="1505" priority="1474">
      <formula>$F39="SAV Sicli"</formula>
    </cfRule>
    <cfRule type="expression" dxfId="1504" priority="1475">
      <formula>$F39="SAV Chubb"</formula>
    </cfRule>
    <cfRule type="expression" dxfId="1503" priority="1476">
      <formula>$F39="Réalisation"</formula>
    </cfRule>
    <cfRule type="expression" dxfId="1502" priority="1477">
      <formula>$F39="Désenfumage"</formula>
    </cfRule>
    <cfRule type="expression" dxfId="1501" priority="1478">
      <formula>$F39="Administratif"</formula>
    </cfRule>
  </conditionalFormatting>
  <conditionalFormatting sqref="D39">
    <cfRule type="expression" dxfId="1500" priority="1469">
      <formula>$H39="non"</formula>
    </cfRule>
  </conditionalFormatting>
  <conditionalFormatting sqref="D39">
    <cfRule type="expression" dxfId="1499" priority="1460">
      <formula>$F39="Formation CCF"</formula>
    </cfRule>
    <cfRule type="expression" dxfId="1498" priority="1461">
      <formula>$F39="Direction"</formula>
    </cfRule>
    <cfRule type="expression" dxfId="1497" priority="1462">
      <formula>$F39="Ventes Sicli"</formula>
    </cfRule>
    <cfRule type="expression" dxfId="1496" priority="1463">
      <formula>$F39="Ventes Chubb"</formula>
    </cfRule>
    <cfRule type="expression" dxfId="1495" priority="1464">
      <formula>$F39="SAV Sicli"</formula>
    </cfRule>
    <cfRule type="expression" dxfId="1494" priority="1465">
      <formula>$F39="SAV Chubb"</formula>
    </cfRule>
    <cfRule type="expression" dxfId="1493" priority="1466">
      <formula>$F39="Réalisation"</formula>
    </cfRule>
    <cfRule type="expression" dxfId="1492" priority="1467">
      <formula>$F39="Désenfumage"</formula>
    </cfRule>
    <cfRule type="expression" dxfId="1491" priority="1468">
      <formula>$F39="Administratif"</formula>
    </cfRule>
  </conditionalFormatting>
  <conditionalFormatting sqref="D39">
    <cfRule type="expression" dxfId="1490" priority="1459">
      <formula>$H39="non"</formula>
    </cfRule>
  </conditionalFormatting>
  <conditionalFormatting sqref="C39:D39">
    <cfRule type="expression" dxfId="1489" priority="1450">
      <formula>$F39="Formation CCF"</formula>
    </cfRule>
    <cfRule type="expression" dxfId="1488" priority="1451">
      <formula>$F39="Direction"</formula>
    </cfRule>
    <cfRule type="expression" dxfId="1487" priority="1452">
      <formula>$F39="Ventes Sicli"</formula>
    </cfRule>
    <cfRule type="expression" dxfId="1486" priority="1453">
      <formula>$F39="Ventes Chubb"</formula>
    </cfRule>
    <cfRule type="expression" dxfId="1485" priority="1454">
      <formula>$F39="SAV Sicli"</formula>
    </cfRule>
    <cfRule type="expression" dxfId="1484" priority="1455">
      <formula>$F39="SAV Chubb"</formula>
    </cfRule>
    <cfRule type="expression" dxfId="1483" priority="1456">
      <formula>$F39="Réalisation"</formula>
    </cfRule>
    <cfRule type="expression" dxfId="1482" priority="1457">
      <formula>$F39="Désenfumage"</formula>
    </cfRule>
    <cfRule type="expression" dxfId="1481" priority="1458">
      <formula>$F39="Administratif"</formula>
    </cfRule>
  </conditionalFormatting>
  <conditionalFormatting sqref="C39:D39">
    <cfRule type="expression" dxfId="1480" priority="1449">
      <formula>$H39="non"</formula>
    </cfRule>
  </conditionalFormatting>
  <conditionalFormatting sqref="C39:D39">
    <cfRule type="expression" dxfId="1479" priority="1440">
      <formula>$F39="Formation CCF"</formula>
    </cfRule>
    <cfRule type="expression" dxfId="1478" priority="1441">
      <formula>$F39="Direction"</formula>
    </cfRule>
    <cfRule type="expression" dxfId="1477" priority="1442">
      <formula>$F39="Ventes Sicli"</formula>
    </cfRule>
    <cfRule type="expression" dxfId="1476" priority="1443">
      <formula>$F39="Ventes Chubb"</formula>
    </cfRule>
    <cfRule type="expression" dxfId="1475" priority="1444">
      <formula>$F39="SAV Sicli"</formula>
    </cfRule>
    <cfRule type="expression" dxfId="1474" priority="1445">
      <formula>$F39="SAV Chubb"</formula>
    </cfRule>
    <cfRule type="expression" dxfId="1473" priority="1446">
      <formula>$F39="Réalisation"</formula>
    </cfRule>
    <cfRule type="expression" dxfId="1472" priority="1447">
      <formula>$F39="Désenfumage"</formula>
    </cfRule>
    <cfRule type="expression" dxfId="1471" priority="1448">
      <formula>$F39="Administratif"</formula>
    </cfRule>
  </conditionalFormatting>
  <conditionalFormatting sqref="C39:D39">
    <cfRule type="expression" dxfId="1470" priority="1439">
      <formula>$H39="non"</formula>
    </cfRule>
  </conditionalFormatting>
  <conditionalFormatting sqref="C39:D39">
    <cfRule type="expression" dxfId="1469" priority="1430">
      <formula>$F39="Formation CCF"</formula>
    </cfRule>
    <cfRule type="expression" dxfId="1468" priority="1431">
      <formula>$F39="Direction"</formula>
    </cfRule>
    <cfRule type="expression" dxfId="1467" priority="1432">
      <formula>$F39="Ventes Sicli"</formula>
    </cfRule>
    <cfRule type="expression" dxfId="1466" priority="1433">
      <formula>$F39="Ventes Chubb"</formula>
    </cfRule>
    <cfRule type="expression" dxfId="1465" priority="1434">
      <formula>$F39="SAV Sicli"</formula>
    </cfRule>
    <cfRule type="expression" dxfId="1464" priority="1435">
      <formula>$F39="SAV Chubb"</formula>
    </cfRule>
    <cfRule type="expression" dxfId="1463" priority="1436">
      <formula>$F39="Réalisation"</formula>
    </cfRule>
    <cfRule type="expression" dxfId="1462" priority="1437">
      <formula>$F39="Désenfumage"</formula>
    </cfRule>
    <cfRule type="expression" dxfId="1461" priority="1438">
      <formula>$F39="Administratif"</formula>
    </cfRule>
  </conditionalFormatting>
  <conditionalFormatting sqref="C39:D39">
    <cfRule type="expression" dxfId="1460" priority="1429">
      <formula>$H39="non"</formula>
    </cfRule>
  </conditionalFormatting>
  <conditionalFormatting sqref="C39:D39">
    <cfRule type="expression" dxfId="1459" priority="1420">
      <formula>$F39="Formation CCF"</formula>
    </cfRule>
    <cfRule type="expression" dxfId="1458" priority="1421">
      <formula>$F39="Direction"</formula>
    </cfRule>
    <cfRule type="expression" dxfId="1457" priority="1422">
      <formula>$F39="Ventes Sicli"</formula>
    </cfRule>
    <cfRule type="expression" dxfId="1456" priority="1423">
      <formula>$F39="Ventes Chubb"</formula>
    </cfRule>
    <cfRule type="expression" dxfId="1455" priority="1424">
      <formula>$F39="SAV Sicli"</formula>
    </cfRule>
    <cfRule type="expression" dxfId="1454" priority="1425">
      <formula>$F39="SAV Chubb"</formula>
    </cfRule>
    <cfRule type="expression" dxfId="1453" priority="1426">
      <formula>$F39="Réalisation"</formula>
    </cfRule>
    <cfRule type="expression" dxfId="1452" priority="1427">
      <formula>$F39="Désenfumage"</formula>
    </cfRule>
    <cfRule type="expression" dxfId="1451" priority="1428">
      <formula>$F39="Administratif"</formula>
    </cfRule>
  </conditionalFormatting>
  <conditionalFormatting sqref="C39:D39">
    <cfRule type="expression" dxfId="1450" priority="1419">
      <formula>$H39="non"</formula>
    </cfRule>
  </conditionalFormatting>
  <conditionalFormatting sqref="C39:D39">
    <cfRule type="expression" dxfId="1449" priority="1410">
      <formula>$F39="Formation CCF"</formula>
    </cfRule>
    <cfRule type="expression" dxfId="1448" priority="1411">
      <formula>$F39="Direction"</formula>
    </cfRule>
    <cfRule type="expression" dxfId="1447" priority="1412">
      <formula>$F39="Ventes Sicli"</formula>
    </cfRule>
    <cfRule type="expression" dxfId="1446" priority="1413">
      <formula>$F39="Ventes Chubb"</formula>
    </cfRule>
    <cfRule type="expression" dxfId="1445" priority="1414">
      <formula>$F39="SAV Sicli"</formula>
    </cfRule>
    <cfRule type="expression" dxfId="1444" priority="1415">
      <formula>$F39="SAV Chubb"</formula>
    </cfRule>
    <cfRule type="expression" dxfId="1443" priority="1416">
      <formula>$F39="Réalisation"</formula>
    </cfRule>
    <cfRule type="expression" dxfId="1442" priority="1417">
      <formula>$F39="Désenfumage"</formula>
    </cfRule>
    <cfRule type="expression" dxfId="1441" priority="1418">
      <formula>$F39="Administratif"</formula>
    </cfRule>
  </conditionalFormatting>
  <conditionalFormatting sqref="C39:D39">
    <cfRule type="expression" dxfId="1440" priority="1409">
      <formula>$H39="non"</formula>
    </cfRule>
  </conditionalFormatting>
  <conditionalFormatting sqref="D39">
    <cfRule type="expression" dxfId="1439" priority="1400">
      <formula>$F39="Formation CCF"</formula>
    </cfRule>
    <cfRule type="expression" dxfId="1438" priority="1401">
      <formula>$F39="Direction"</formula>
    </cfRule>
    <cfRule type="expression" dxfId="1437" priority="1402">
      <formula>$F39="Ventes Sicli"</formula>
    </cfRule>
    <cfRule type="expression" dxfId="1436" priority="1403">
      <formula>$F39="Ventes Chubb"</formula>
    </cfRule>
    <cfRule type="expression" dxfId="1435" priority="1404">
      <formula>$F39="SAV Sicli"</formula>
    </cfRule>
    <cfRule type="expression" dxfId="1434" priority="1405">
      <formula>$F39="SAV Chubb"</formula>
    </cfRule>
    <cfRule type="expression" dxfId="1433" priority="1406">
      <formula>$F39="Réalisation"</formula>
    </cfRule>
    <cfRule type="expression" dxfId="1432" priority="1407">
      <formula>$F39="Désenfumage"</formula>
    </cfRule>
    <cfRule type="expression" dxfId="1431" priority="1408">
      <formula>$F39="Administratif"</formula>
    </cfRule>
  </conditionalFormatting>
  <conditionalFormatting sqref="D39">
    <cfRule type="expression" dxfId="1430" priority="1399">
      <formula>$H39="non"</formula>
    </cfRule>
  </conditionalFormatting>
  <conditionalFormatting sqref="D39">
    <cfRule type="expression" dxfId="1429" priority="1390">
      <formula>$F39="Formation CCF"</formula>
    </cfRule>
    <cfRule type="expression" dxfId="1428" priority="1391">
      <formula>$F39="Direction"</formula>
    </cfRule>
    <cfRule type="expression" dxfId="1427" priority="1392">
      <formula>$F39="Ventes Sicli"</formula>
    </cfRule>
    <cfRule type="expression" dxfId="1426" priority="1393">
      <formula>$F39="Ventes Chubb"</formula>
    </cfRule>
    <cfRule type="expression" dxfId="1425" priority="1394">
      <formula>$F39="SAV Sicli"</formula>
    </cfRule>
    <cfRule type="expression" dxfId="1424" priority="1395">
      <formula>$F39="SAV Chubb"</formula>
    </cfRule>
    <cfRule type="expression" dxfId="1423" priority="1396">
      <formula>$F39="Réalisation"</formula>
    </cfRule>
    <cfRule type="expression" dxfId="1422" priority="1397">
      <formula>$F39="Désenfumage"</formula>
    </cfRule>
    <cfRule type="expression" dxfId="1421" priority="1398">
      <formula>$F39="Administratif"</formula>
    </cfRule>
  </conditionalFormatting>
  <conditionalFormatting sqref="D39">
    <cfRule type="expression" dxfId="1420" priority="1389">
      <formula>$H39="non"</formula>
    </cfRule>
  </conditionalFormatting>
  <conditionalFormatting sqref="D39">
    <cfRule type="expression" dxfId="1419" priority="1380">
      <formula>$F39="Formation CCF"</formula>
    </cfRule>
    <cfRule type="expression" dxfId="1418" priority="1381">
      <formula>$F39="Direction"</formula>
    </cfRule>
    <cfRule type="expression" dxfId="1417" priority="1382">
      <formula>$F39="Ventes Sicli"</formula>
    </cfRule>
    <cfRule type="expression" dxfId="1416" priority="1383">
      <formula>$F39="Ventes Chubb"</formula>
    </cfRule>
    <cfRule type="expression" dxfId="1415" priority="1384">
      <formula>$F39="SAV Sicli"</formula>
    </cfRule>
    <cfRule type="expression" dxfId="1414" priority="1385">
      <formula>$F39="SAV Chubb"</formula>
    </cfRule>
    <cfRule type="expression" dxfId="1413" priority="1386">
      <formula>$F39="Réalisation"</formula>
    </cfRule>
    <cfRule type="expression" dxfId="1412" priority="1387">
      <formula>$F39="Désenfumage"</formula>
    </cfRule>
    <cfRule type="expression" dxfId="1411" priority="1388">
      <formula>$F39="Administratif"</formula>
    </cfRule>
  </conditionalFormatting>
  <conditionalFormatting sqref="D39">
    <cfRule type="expression" dxfId="1410" priority="1379">
      <formula>$H39="non"</formula>
    </cfRule>
  </conditionalFormatting>
  <conditionalFormatting sqref="D39">
    <cfRule type="expression" dxfId="1409" priority="1370">
      <formula>$F39="Formation CCF"</formula>
    </cfRule>
    <cfRule type="expression" dxfId="1408" priority="1371">
      <formula>$F39="Direction"</formula>
    </cfRule>
    <cfRule type="expression" dxfId="1407" priority="1372">
      <formula>$F39="Ventes Sicli"</formula>
    </cfRule>
    <cfRule type="expression" dxfId="1406" priority="1373">
      <formula>$F39="Ventes Chubb"</formula>
    </cfRule>
    <cfRule type="expression" dxfId="1405" priority="1374">
      <formula>$F39="SAV Sicli"</formula>
    </cfRule>
    <cfRule type="expression" dxfId="1404" priority="1375">
      <formula>$F39="SAV Chubb"</formula>
    </cfRule>
    <cfRule type="expression" dxfId="1403" priority="1376">
      <formula>$F39="Réalisation"</formula>
    </cfRule>
    <cfRule type="expression" dxfId="1402" priority="1377">
      <formula>$F39="Désenfumage"</formula>
    </cfRule>
    <cfRule type="expression" dxfId="1401" priority="1378">
      <formula>$F39="Administratif"</formula>
    </cfRule>
  </conditionalFormatting>
  <conditionalFormatting sqref="D39">
    <cfRule type="expression" dxfId="1400" priority="1369">
      <formula>$H39="non"</formula>
    </cfRule>
  </conditionalFormatting>
  <conditionalFormatting sqref="D39">
    <cfRule type="expression" dxfId="1399" priority="1360">
      <formula>$F39="Formation CCF"</formula>
    </cfRule>
    <cfRule type="expression" dxfId="1398" priority="1361">
      <formula>$F39="Direction"</formula>
    </cfRule>
    <cfRule type="expression" dxfId="1397" priority="1362">
      <formula>$F39="Ventes Sicli"</formula>
    </cfRule>
    <cfRule type="expression" dxfId="1396" priority="1363">
      <formula>$F39="Ventes Chubb"</formula>
    </cfRule>
    <cfRule type="expression" dxfId="1395" priority="1364">
      <formula>$F39="SAV Sicli"</formula>
    </cfRule>
    <cfRule type="expression" dxfId="1394" priority="1365">
      <formula>$F39="SAV Chubb"</formula>
    </cfRule>
    <cfRule type="expression" dxfId="1393" priority="1366">
      <formula>$F39="Réalisation"</formula>
    </cfRule>
    <cfRule type="expression" dxfId="1392" priority="1367">
      <formula>$F39="Désenfumage"</formula>
    </cfRule>
    <cfRule type="expression" dxfId="1391" priority="1368">
      <formula>$F39="Administratif"</formula>
    </cfRule>
  </conditionalFormatting>
  <conditionalFormatting sqref="D39">
    <cfRule type="expression" dxfId="1390" priority="1359">
      <formula>$H39="non"</formula>
    </cfRule>
  </conditionalFormatting>
  <conditionalFormatting sqref="D39">
    <cfRule type="expression" dxfId="1389" priority="1350">
      <formula>$F39="Formation CCF"</formula>
    </cfRule>
    <cfRule type="expression" dxfId="1388" priority="1351">
      <formula>$F39="Direction"</formula>
    </cfRule>
    <cfRule type="expression" dxfId="1387" priority="1352">
      <formula>$F39="Ventes Sicli"</formula>
    </cfRule>
    <cfRule type="expression" dxfId="1386" priority="1353">
      <formula>$F39="Ventes Chubb"</formula>
    </cfRule>
    <cfRule type="expression" dxfId="1385" priority="1354">
      <formula>$F39="SAV Sicli"</formula>
    </cfRule>
    <cfRule type="expression" dxfId="1384" priority="1355">
      <formula>$F39="SAV Chubb"</formula>
    </cfRule>
    <cfRule type="expression" dxfId="1383" priority="1356">
      <formula>$F39="Réalisation"</formula>
    </cfRule>
    <cfRule type="expression" dxfId="1382" priority="1357">
      <formula>$F39="Désenfumage"</formula>
    </cfRule>
    <cfRule type="expression" dxfId="1381" priority="1358">
      <formula>$F39="Administratif"</formula>
    </cfRule>
  </conditionalFormatting>
  <conditionalFormatting sqref="D39">
    <cfRule type="expression" dxfId="1380" priority="1349">
      <formula>$H39="non"</formula>
    </cfRule>
  </conditionalFormatting>
  <conditionalFormatting sqref="C39:D39">
    <cfRule type="expression" dxfId="1379" priority="1340">
      <formula>$F39="Formation CCF"</formula>
    </cfRule>
    <cfRule type="expression" dxfId="1378" priority="1341">
      <formula>$F39="Direction"</formula>
    </cfRule>
    <cfRule type="expression" dxfId="1377" priority="1342">
      <formula>$F39="Ventes Sicli"</formula>
    </cfRule>
    <cfRule type="expression" dxfId="1376" priority="1343">
      <formula>$F39="Ventes Chubb"</formula>
    </cfRule>
    <cfRule type="expression" dxfId="1375" priority="1344">
      <formula>$F39="SAV Sicli"</formula>
    </cfRule>
    <cfRule type="expression" dxfId="1374" priority="1345">
      <formula>$F39="SAV Chubb"</formula>
    </cfRule>
    <cfRule type="expression" dxfId="1373" priority="1346">
      <formula>$F39="Réalisation"</formula>
    </cfRule>
    <cfRule type="expression" dxfId="1372" priority="1347">
      <formula>$F39="Désenfumage"</formula>
    </cfRule>
    <cfRule type="expression" dxfId="1371" priority="1348">
      <formula>$F39="Administratif"</formula>
    </cfRule>
  </conditionalFormatting>
  <conditionalFormatting sqref="C39:D39">
    <cfRule type="expression" dxfId="1370" priority="1339">
      <formula>$H39="non"</formula>
    </cfRule>
  </conditionalFormatting>
  <conditionalFormatting sqref="C39:D39">
    <cfRule type="expression" dxfId="1369" priority="1330">
      <formula>$F39="Formation CCF"</formula>
    </cfRule>
    <cfRule type="expression" dxfId="1368" priority="1331">
      <formula>$F39="Direction"</formula>
    </cfRule>
    <cfRule type="expression" dxfId="1367" priority="1332">
      <formula>$F39="Ventes Sicli"</formula>
    </cfRule>
    <cfRule type="expression" dxfId="1366" priority="1333">
      <formula>$F39="Ventes Chubb"</formula>
    </cfRule>
    <cfRule type="expression" dxfId="1365" priority="1334">
      <formula>$F39="SAV Sicli"</formula>
    </cfRule>
    <cfRule type="expression" dxfId="1364" priority="1335">
      <formula>$F39="SAV Chubb"</formula>
    </cfRule>
    <cfRule type="expression" dxfId="1363" priority="1336">
      <formula>$F39="Réalisation"</formula>
    </cfRule>
    <cfRule type="expression" dxfId="1362" priority="1337">
      <formula>$F39="Désenfumage"</formula>
    </cfRule>
    <cfRule type="expression" dxfId="1361" priority="1338">
      <formula>$F39="Administratif"</formula>
    </cfRule>
  </conditionalFormatting>
  <conditionalFormatting sqref="C39:D39">
    <cfRule type="expression" dxfId="1360" priority="1329">
      <formula>$H39="non"</formula>
    </cfRule>
  </conditionalFormatting>
  <conditionalFormatting sqref="C39:D39">
    <cfRule type="expression" dxfId="1359" priority="1320">
      <formula>$F39="Formation CCF"</formula>
    </cfRule>
    <cfRule type="expression" dxfId="1358" priority="1321">
      <formula>$F39="Direction"</formula>
    </cfRule>
    <cfRule type="expression" dxfId="1357" priority="1322">
      <formula>$F39="Ventes Sicli"</formula>
    </cfRule>
    <cfRule type="expression" dxfId="1356" priority="1323">
      <formula>$F39="Ventes Chubb"</formula>
    </cfRule>
    <cfRule type="expression" dxfId="1355" priority="1324">
      <formula>$F39="SAV Sicli"</formula>
    </cfRule>
    <cfRule type="expression" dxfId="1354" priority="1325">
      <formula>$F39="SAV Chubb"</formula>
    </cfRule>
    <cfRule type="expression" dxfId="1353" priority="1326">
      <formula>$F39="Réalisation"</formula>
    </cfRule>
    <cfRule type="expression" dxfId="1352" priority="1327">
      <formula>$F39="Désenfumage"</formula>
    </cfRule>
    <cfRule type="expression" dxfId="1351" priority="1328">
      <formula>$F39="Administratif"</formula>
    </cfRule>
  </conditionalFormatting>
  <conditionalFormatting sqref="C39:D39">
    <cfRule type="expression" dxfId="1350" priority="1319">
      <formula>$H39="non"</formula>
    </cfRule>
  </conditionalFormatting>
  <conditionalFormatting sqref="C39:D39">
    <cfRule type="expression" dxfId="1349" priority="1310">
      <formula>$F39="Formation CCF"</formula>
    </cfRule>
    <cfRule type="expression" dxfId="1348" priority="1311">
      <formula>$F39="Direction"</formula>
    </cfRule>
    <cfRule type="expression" dxfId="1347" priority="1312">
      <formula>$F39="Ventes Sicli"</formula>
    </cfRule>
    <cfRule type="expression" dxfId="1346" priority="1313">
      <formula>$F39="Ventes Chubb"</formula>
    </cfRule>
    <cfRule type="expression" dxfId="1345" priority="1314">
      <formula>$F39="SAV Sicli"</formula>
    </cfRule>
    <cfRule type="expression" dxfId="1344" priority="1315">
      <formula>$F39="SAV Chubb"</formula>
    </cfRule>
    <cfRule type="expression" dxfId="1343" priority="1316">
      <formula>$F39="Réalisation"</formula>
    </cfRule>
    <cfRule type="expression" dxfId="1342" priority="1317">
      <formula>$F39="Désenfumage"</formula>
    </cfRule>
    <cfRule type="expression" dxfId="1341" priority="1318">
      <formula>$F39="Administratif"</formula>
    </cfRule>
  </conditionalFormatting>
  <conditionalFormatting sqref="C39:D39">
    <cfRule type="expression" dxfId="1340" priority="1309">
      <formula>$H39="non"</formula>
    </cfRule>
  </conditionalFormatting>
  <conditionalFormatting sqref="D39">
    <cfRule type="expression" dxfId="1339" priority="1300">
      <formula>$F39="Formation CCF"</formula>
    </cfRule>
    <cfRule type="expression" dxfId="1338" priority="1301">
      <formula>$F39="Direction"</formula>
    </cfRule>
    <cfRule type="expression" dxfId="1337" priority="1302">
      <formula>$F39="Ventes Sicli"</formula>
    </cfRule>
    <cfRule type="expression" dxfId="1336" priority="1303">
      <formula>$F39="Ventes Chubb"</formula>
    </cfRule>
    <cfRule type="expression" dxfId="1335" priority="1304">
      <formula>$F39="SAV Sicli"</formula>
    </cfRule>
    <cfRule type="expression" dxfId="1334" priority="1305">
      <formula>$F39="SAV Chubb"</formula>
    </cfRule>
    <cfRule type="expression" dxfId="1333" priority="1306">
      <formula>$F39="Réalisation"</formula>
    </cfRule>
    <cfRule type="expression" dxfId="1332" priority="1307">
      <formula>$F39="Désenfumage"</formula>
    </cfRule>
    <cfRule type="expression" dxfId="1331" priority="1308">
      <formula>$F39="Administratif"</formula>
    </cfRule>
  </conditionalFormatting>
  <conditionalFormatting sqref="D39">
    <cfRule type="expression" dxfId="1330" priority="1299">
      <formula>$H39="non"</formula>
    </cfRule>
  </conditionalFormatting>
  <conditionalFormatting sqref="D39">
    <cfRule type="expression" dxfId="1329" priority="1290">
      <formula>$F39="Formation CCF"</formula>
    </cfRule>
    <cfRule type="expression" dxfId="1328" priority="1291">
      <formula>$F39="Direction"</formula>
    </cfRule>
    <cfRule type="expression" dxfId="1327" priority="1292">
      <formula>$F39="Ventes Sicli"</formula>
    </cfRule>
    <cfRule type="expression" dxfId="1326" priority="1293">
      <formula>$F39="Ventes Chubb"</formula>
    </cfRule>
    <cfRule type="expression" dxfId="1325" priority="1294">
      <formula>$F39="SAV Sicli"</formula>
    </cfRule>
    <cfRule type="expression" dxfId="1324" priority="1295">
      <formula>$F39="SAV Chubb"</formula>
    </cfRule>
    <cfRule type="expression" dxfId="1323" priority="1296">
      <formula>$F39="Réalisation"</formula>
    </cfRule>
    <cfRule type="expression" dxfId="1322" priority="1297">
      <formula>$F39="Désenfumage"</formula>
    </cfRule>
    <cfRule type="expression" dxfId="1321" priority="1298">
      <formula>$F39="Administratif"</formula>
    </cfRule>
  </conditionalFormatting>
  <conditionalFormatting sqref="D39">
    <cfRule type="expression" dxfId="1320" priority="1289">
      <formula>$H39="non"</formula>
    </cfRule>
  </conditionalFormatting>
  <conditionalFormatting sqref="D39">
    <cfRule type="expression" dxfId="1319" priority="1280">
      <formula>$F39="Formation CCF"</formula>
    </cfRule>
    <cfRule type="expression" dxfId="1318" priority="1281">
      <formula>$F39="Direction"</formula>
    </cfRule>
    <cfRule type="expression" dxfId="1317" priority="1282">
      <formula>$F39="Ventes Sicli"</formula>
    </cfRule>
    <cfRule type="expression" dxfId="1316" priority="1283">
      <formula>$F39="Ventes Chubb"</formula>
    </cfRule>
    <cfRule type="expression" dxfId="1315" priority="1284">
      <formula>$F39="SAV Sicli"</formula>
    </cfRule>
    <cfRule type="expression" dxfId="1314" priority="1285">
      <formula>$F39="SAV Chubb"</formula>
    </cfRule>
    <cfRule type="expression" dxfId="1313" priority="1286">
      <formula>$F39="Réalisation"</formula>
    </cfRule>
    <cfRule type="expression" dxfId="1312" priority="1287">
      <formula>$F39="Désenfumage"</formula>
    </cfRule>
    <cfRule type="expression" dxfId="1311" priority="1288">
      <formula>$F39="Administratif"</formula>
    </cfRule>
  </conditionalFormatting>
  <conditionalFormatting sqref="D39">
    <cfRule type="expression" dxfId="1310" priority="1279">
      <formula>$H39="non"</formula>
    </cfRule>
  </conditionalFormatting>
  <conditionalFormatting sqref="D39">
    <cfRule type="expression" dxfId="1309" priority="1270">
      <formula>$F39="Formation CCF"</formula>
    </cfRule>
    <cfRule type="expression" dxfId="1308" priority="1271">
      <formula>$F39="Direction"</formula>
    </cfRule>
    <cfRule type="expression" dxfId="1307" priority="1272">
      <formula>$F39="Ventes Sicli"</formula>
    </cfRule>
    <cfRule type="expression" dxfId="1306" priority="1273">
      <formula>$F39="Ventes Chubb"</formula>
    </cfRule>
    <cfRule type="expression" dxfId="1305" priority="1274">
      <formula>$F39="SAV Sicli"</formula>
    </cfRule>
    <cfRule type="expression" dxfId="1304" priority="1275">
      <formula>$F39="SAV Chubb"</formula>
    </cfRule>
    <cfRule type="expression" dxfId="1303" priority="1276">
      <formula>$F39="Réalisation"</formula>
    </cfRule>
    <cfRule type="expression" dxfId="1302" priority="1277">
      <formula>$F39="Désenfumage"</formula>
    </cfRule>
    <cfRule type="expression" dxfId="1301" priority="1278">
      <formula>$F39="Administratif"</formula>
    </cfRule>
  </conditionalFormatting>
  <conditionalFormatting sqref="D39">
    <cfRule type="expression" dxfId="1300" priority="1269">
      <formula>$H39="non"</formula>
    </cfRule>
  </conditionalFormatting>
  <conditionalFormatting sqref="D39">
    <cfRule type="expression" dxfId="1299" priority="1260">
      <formula>$F39="Formation CCF"</formula>
    </cfRule>
    <cfRule type="expression" dxfId="1298" priority="1261">
      <formula>$F39="Direction"</formula>
    </cfRule>
    <cfRule type="expression" dxfId="1297" priority="1262">
      <formula>$F39="Ventes Sicli"</formula>
    </cfRule>
    <cfRule type="expression" dxfId="1296" priority="1263">
      <formula>$F39="Ventes Chubb"</formula>
    </cfRule>
    <cfRule type="expression" dxfId="1295" priority="1264">
      <formula>$F39="SAV Sicli"</formula>
    </cfRule>
    <cfRule type="expression" dxfId="1294" priority="1265">
      <formula>$F39="SAV Chubb"</formula>
    </cfRule>
    <cfRule type="expression" dxfId="1293" priority="1266">
      <formula>$F39="Réalisation"</formula>
    </cfRule>
    <cfRule type="expression" dxfId="1292" priority="1267">
      <formula>$F39="Désenfumage"</formula>
    </cfRule>
    <cfRule type="expression" dxfId="1291" priority="1268">
      <formula>$F39="Administratif"</formula>
    </cfRule>
  </conditionalFormatting>
  <conditionalFormatting sqref="D39">
    <cfRule type="expression" dxfId="1290" priority="1259">
      <formula>$H39="non"</formula>
    </cfRule>
  </conditionalFormatting>
  <conditionalFormatting sqref="D39">
    <cfRule type="expression" dxfId="1289" priority="1250">
      <formula>$F39="Formation CCF"</formula>
    </cfRule>
    <cfRule type="expression" dxfId="1288" priority="1251">
      <formula>$F39="Direction"</formula>
    </cfRule>
    <cfRule type="expression" dxfId="1287" priority="1252">
      <formula>$F39="Ventes Sicli"</formula>
    </cfRule>
    <cfRule type="expression" dxfId="1286" priority="1253">
      <formula>$F39="Ventes Chubb"</formula>
    </cfRule>
    <cfRule type="expression" dxfId="1285" priority="1254">
      <formula>$F39="SAV Sicli"</formula>
    </cfRule>
    <cfRule type="expression" dxfId="1284" priority="1255">
      <formula>$F39="SAV Chubb"</formula>
    </cfRule>
    <cfRule type="expression" dxfId="1283" priority="1256">
      <formula>$F39="Réalisation"</formula>
    </cfRule>
    <cfRule type="expression" dxfId="1282" priority="1257">
      <formula>$F39="Désenfumage"</formula>
    </cfRule>
    <cfRule type="expression" dxfId="1281" priority="1258">
      <formula>$F39="Administratif"</formula>
    </cfRule>
  </conditionalFormatting>
  <conditionalFormatting sqref="D39">
    <cfRule type="expression" dxfId="1280" priority="1249">
      <formula>$H39="non"</formula>
    </cfRule>
  </conditionalFormatting>
  <conditionalFormatting sqref="C39:D39">
    <cfRule type="expression" dxfId="1279" priority="1240">
      <formula>$F39="Formation CCF"</formula>
    </cfRule>
    <cfRule type="expression" dxfId="1278" priority="1241">
      <formula>$F39="Direction"</formula>
    </cfRule>
    <cfRule type="expression" dxfId="1277" priority="1242">
      <formula>$F39="Ventes Sicli"</formula>
    </cfRule>
    <cfRule type="expression" dxfId="1276" priority="1243">
      <formula>$F39="Ventes Chubb"</formula>
    </cfRule>
    <cfRule type="expression" dxfId="1275" priority="1244">
      <formula>$F39="SAV Sicli"</formula>
    </cfRule>
    <cfRule type="expression" dxfId="1274" priority="1245">
      <formula>$F39="SAV Chubb"</formula>
    </cfRule>
    <cfRule type="expression" dxfId="1273" priority="1246">
      <formula>$F39="Réalisation"</formula>
    </cfRule>
    <cfRule type="expression" dxfId="1272" priority="1247">
      <formula>$F39="Désenfumage"</formula>
    </cfRule>
    <cfRule type="expression" dxfId="1271" priority="1248">
      <formula>$F39="Administratif"</formula>
    </cfRule>
  </conditionalFormatting>
  <conditionalFormatting sqref="C39:D39">
    <cfRule type="expression" dxfId="1270" priority="1239">
      <formula>$H39="non"</formula>
    </cfRule>
  </conditionalFormatting>
  <conditionalFormatting sqref="C39:D39">
    <cfRule type="expression" dxfId="1269" priority="1230">
      <formula>$F39="Formation CCF"</formula>
    </cfRule>
    <cfRule type="expression" dxfId="1268" priority="1231">
      <formula>$F39="Direction"</formula>
    </cfRule>
    <cfRule type="expression" dxfId="1267" priority="1232">
      <formula>$F39="Ventes Sicli"</formula>
    </cfRule>
    <cfRule type="expression" dxfId="1266" priority="1233">
      <formula>$F39="Ventes Chubb"</formula>
    </cfRule>
    <cfRule type="expression" dxfId="1265" priority="1234">
      <formula>$F39="SAV Sicli"</formula>
    </cfRule>
    <cfRule type="expression" dxfId="1264" priority="1235">
      <formula>$F39="SAV Chubb"</formula>
    </cfRule>
    <cfRule type="expression" dxfId="1263" priority="1236">
      <formula>$F39="Réalisation"</formula>
    </cfRule>
    <cfRule type="expression" dxfId="1262" priority="1237">
      <formula>$F39="Désenfumage"</formula>
    </cfRule>
    <cfRule type="expression" dxfId="1261" priority="1238">
      <formula>$F39="Administratif"</formula>
    </cfRule>
  </conditionalFormatting>
  <conditionalFormatting sqref="C39:D39">
    <cfRule type="expression" dxfId="1260" priority="1229">
      <formula>$H39="non"</formula>
    </cfRule>
  </conditionalFormatting>
  <conditionalFormatting sqref="C39:D39">
    <cfRule type="expression" dxfId="1259" priority="1220">
      <formula>$F39="Formation CCF"</formula>
    </cfRule>
    <cfRule type="expression" dxfId="1258" priority="1221">
      <formula>$F39="Direction"</formula>
    </cfRule>
    <cfRule type="expression" dxfId="1257" priority="1222">
      <formula>$F39="Ventes Sicli"</formula>
    </cfRule>
    <cfRule type="expression" dxfId="1256" priority="1223">
      <formula>$F39="Ventes Chubb"</formula>
    </cfRule>
    <cfRule type="expression" dxfId="1255" priority="1224">
      <formula>$F39="SAV Sicli"</formula>
    </cfRule>
    <cfRule type="expression" dxfId="1254" priority="1225">
      <formula>$F39="SAV Chubb"</formula>
    </cfRule>
    <cfRule type="expression" dxfId="1253" priority="1226">
      <formula>$F39="Réalisation"</formula>
    </cfRule>
    <cfRule type="expression" dxfId="1252" priority="1227">
      <formula>$F39="Désenfumage"</formula>
    </cfRule>
    <cfRule type="expression" dxfId="1251" priority="1228">
      <formula>$F39="Administratif"</formula>
    </cfRule>
  </conditionalFormatting>
  <conditionalFormatting sqref="C39:D39">
    <cfRule type="expression" dxfId="1250" priority="1219">
      <formula>$H39="non"</formula>
    </cfRule>
  </conditionalFormatting>
  <conditionalFormatting sqref="D39">
    <cfRule type="expression" dxfId="1249" priority="1210">
      <formula>$F39="Formation CCF"</formula>
    </cfRule>
    <cfRule type="expression" dxfId="1248" priority="1211">
      <formula>$F39="Direction"</formula>
    </cfRule>
    <cfRule type="expression" dxfId="1247" priority="1212">
      <formula>$F39="Ventes Sicli"</formula>
    </cfRule>
    <cfRule type="expression" dxfId="1246" priority="1213">
      <formula>$F39="Ventes Chubb"</formula>
    </cfRule>
    <cfRule type="expression" dxfId="1245" priority="1214">
      <formula>$F39="SAV Sicli"</formula>
    </cfRule>
    <cfRule type="expression" dxfId="1244" priority="1215">
      <formula>$F39="SAV Chubb"</formula>
    </cfRule>
    <cfRule type="expression" dxfId="1243" priority="1216">
      <formula>$F39="Réalisation"</formula>
    </cfRule>
    <cfRule type="expression" dxfId="1242" priority="1217">
      <formula>$F39="Désenfumage"</formula>
    </cfRule>
    <cfRule type="expression" dxfId="1241" priority="1218">
      <formula>$F39="Administratif"</formula>
    </cfRule>
  </conditionalFormatting>
  <conditionalFormatting sqref="D39">
    <cfRule type="expression" dxfId="1240" priority="1209">
      <formula>$H39="non"</formula>
    </cfRule>
  </conditionalFormatting>
  <conditionalFormatting sqref="D39">
    <cfRule type="expression" dxfId="1239" priority="1200">
      <formula>$F39="Formation CCF"</formula>
    </cfRule>
    <cfRule type="expression" dxfId="1238" priority="1201">
      <formula>$F39="Direction"</formula>
    </cfRule>
    <cfRule type="expression" dxfId="1237" priority="1202">
      <formula>$F39="Ventes Sicli"</formula>
    </cfRule>
    <cfRule type="expression" dxfId="1236" priority="1203">
      <formula>$F39="Ventes Chubb"</formula>
    </cfRule>
    <cfRule type="expression" dxfId="1235" priority="1204">
      <formula>$F39="SAV Sicli"</formula>
    </cfRule>
    <cfRule type="expression" dxfId="1234" priority="1205">
      <formula>$F39="SAV Chubb"</formula>
    </cfRule>
    <cfRule type="expression" dxfId="1233" priority="1206">
      <formula>$F39="Réalisation"</formula>
    </cfRule>
    <cfRule type="expression" dxfId="1232" priority="1207">
      <formula>$F39="Désenfumage"</formula>
    </cfRule>
    <cfRule type="expression" dxfId="1231" priority="1208">
      <formula>$F39="Administratif"</formula>
    </cfRule>
  </conditionalFormatting>
  <conditionalFormatting sqref="D39">
    <cfRule type="expression" dxfId="1230" priority="1199">
      <formula>$H39="non"</formula>
    </cfRule>
  </conditionalFormatting>
  <conditionalFormatting sqref="D39">
    <cfRule type="expression" dxfId="1229" priority="1190">
      <formula>$F39="Formation CCF"</formula>
    </cfRule>
    <cfRule type="expression" dxfId="1228" priority="1191">
      <formula>$F39="Direction"</formula>
    </cfRule>
    <cfRule type="expression" dxfId="1227" priority="1192">
      <formula>$F39="Ventes Sicli"</formula>
    </cfRule>
    <cfRule type="expression" dxfId="1226" priority="1193">
      <formula>$F39="Ventes Chubb"</formula>
    </cfRule>
    <cfRule type="expression" dxfId="1225" priority="1194">
      <formula>$F39="SAV Sicli"</formula>
    </cfRule>
    <cfRule type="expression" dxfId="1224" priority="1195">
      <formula>$F39="SAV Chubb"</formula>
    </cfRule>
    <cfRule type="expression" dxfId="1223" priority="1196">
      <formula>$F39="Réalisation"</formula>
    </cfRule>
    <cfRule type="expression" dxfId="1222" priority="1197">
      <formula>$F39="Désenfumage"</formula>
    </cfRule>
    <cfRule type="expression" dxfId="1221" priority="1198">
      <formula>$F39="Administratif"</formula>
    </cfRule>
  </conditionalFormatting>
  <conditionalFormatting sqref="D39">
    <cfRule type="expression" dxfId="1220" priority="1189">
      <formula>$H39="non"</formula>
    </cfRule>
  </conditionalFormatting>
  <conditionalFormatting sqref="D39">
    <cfRule type="expression" dxfId="1219" priority="1180">
      <formula>$F39="Formation CCF"</formula>
    </cfRule>
    <cfRule type="expression" dxfId="1218" priority="1181">
      <formula>$F39="Direction"</formula>
    </cfRule>
    <cfRule type="expression" dxfId="1217" priority="1182">
      <formula>$F39="Ventes Sicli"</formula>
    </cfRule>
    <cfRule type="expression" dxfId="1216" priority="1183">
      <formula>$F39="Ventes Chubb"</formula>
    </cfRule>
    <cfRule type="expression" dxfId="1215" priority="1184">
      <formula>$F39="SAV Sicli"</formula>
    </cfRule>
    <cfRule type="expression" dxfId="1214" priority="1185">
      <formula>$F39="SAV Chubb"</formula>
    </cfRule>
    <cfRule type="expression" dxfId="1213" priority="1186">
      <formula>$F39="Réalisation"</formula>
    </cfRule>
    <cfRule type="expression" dxfId="1212" priority="1187">
      <formula>$F39="Désenfumage"</formula>
    </cfRule>
    <cfRule type="expression" dxfId="1211" priority="1188">
      <formula>$F39="Administratif"</formula>
    </cfRule>
  </conditionalFormatting>
  <conditionalFormatting sqref="D39">
    <cfRule type="expression" dxfId="1210" priority="1179">
      <formula>$H39="non"</formula>
    </cfRule>
  </conditionalFormatting>
  <conditionalFormatting sqref="D39">
    <cfRule type="expression" dxfId="1209" priority="1170">
      <formula>$F39="Formation CCF"</formula>
    </cfRule>
    <cfRule type="expression" dxfId="1208" priority="1171">
      <formula>$F39="Direction"</formula>
    </cfRule>
    <cfRule type="expression" dxfId="1207" priority="1172">
      <formula>$F39="Ventes Sicli"</formula>
    </cfRule>
    <cfRule type="expression" dxfId="1206" priority="1173">
      <formula>$F39="Ventes Chubb"</formula>
    </cfRule>
    <cfRule type="expression" dxfId="1205" priority="1174">
      <formula>$F39="SAV Sicli"</formula>
    </cfRule>
    <cfRule type="expression" dxfId="1204" priority="1175">
      <formula>$F39="SAV Chubb"</formula>
    </cfRule>
    <cfRule type="expression" dxfId="1203" priority="1176">
      <formula>$F39="Réalisation"</formula>
    </cfRule>
    <cfRule type="expression" dxfId="1202" priority="1177">
      <formula>$F39="Désenfumage"</formula>
    </cfRule>
    <cfRule type="expression" dxfId="1201" priority="1178">
      <formula>$F39="Administratif"</formula>
    </cfRule>
  </conditionalFormatting>
  <conditionalFormatting sqref="D39">
    <cfRule type="expression" dxfId="1200" priority="1169">
      <formula>$H39="non"</formula>
    </cfRule>
  </conditionalFormatting>
  <conditionalFormatting sqref="D39">
    <cfRule type="expression" dxfId="1199" priority="1160">
      <formula>$F39="Formation CCF"</formula>
    </cfRule>
    <cfRule type="expression" dxfId="1198" priority="1161">
      <formula>$F39="Direction"</formula>
    </cfRule>
    <cfRule type="expression" dxfId="1197" priority="1162">
      <formula>$F39="Ventes Sicli"</formula>
    </cfRule>
    <cfRule type="expression" dxfId="1196" priority="1163">
      <formula>$F39="Ventes Chubb"</formula>
    </cfRule>
    <cfRule type="expression" dxfId="1195" priority="1164">
      <formula>$F39="SAV Sicli"</formula>
    </cfRule>
    <cfRule type="expression" dxfId="1194" priority="1165">
      <formula>$F39="SAV Chubb"</formula>
    </cfRule>
    <cfRule type="expression" dxfId="1193" priority="1166">
      <formula>$F39="Réalisation"</formula>
    </cfRule>
    <cfRule type="expression" dxfId="1192" priority="1167">
      <formula>$F39="Désenfumage"</formula>
    </cfRule>
    <cfRule type="expression" dxfId="1191" priority="1168">
      <formula>$F39="Administratif"</formula>
    </cfRule>
  </conditionalFormatting>
  <conditionalFormatting sqref="D39">
    <cfRule type="expression" dxfId="1190" priority="1159">
      <formula>$H39="non"</formula>
    </cfRule>
  </conditionalFormatting>
  <conditionalFormatting sqref="D39">
    <cfRule type="expression" dxfId="1189" priority="1150">
      <formula>$F39="Formation CCF"</formula>
    </cfRule>
    <cfRule type="expression" dxfId="1188" priority="1151">
      <formula>$F39="Direction"</formula>
    </cfRule>
    <cfRule type="expression" dxfId="1187" priority="1152">
      <formula>$F39="Ventes Sicli"</formula>
    </cfRule>
    <cfRule type="expression" dxfId="1186" priority="1153">
      <formula>$F39="Ventes Chubb"</formula>
    </cfRule>
    <cfRule type="expression" dxfId="1185" priority="1154">
      <formula>$F39="SAV Sicli"</formula>
    </cfRule>
    <cfRule type="expression" dxfId="1184" priority="1155">
      <formula>$F39="SAV Chubb"</formula>
    </cfRule>
    <cfRule type="expression" dxfId="1183" priority="1156">
      <formula>$F39="Réalisation"</formula>
    </cfRule>
    <cfRule type="expression" dxfId="1182" priority="1157">
      <formula>$F39="Désenfumage"</formula>
    </cfRule>
    <cfRule type="expression" dxfId="1181" priority="1158">
      <formula>$F39="Administratif"</formula>
    </cfRule>
  </conditionalFormatting>
  <conditionalFormatting sqref="D39">
    <cfRule type="expression" dxfId="1180" priority="1149">
      <formula>$H39="non"</formula>
    </cfRule>
  </conditionalFormatting>
  <conditionalFormatting sqref="D39">
    <cfRule type="expression" dxfId="1179" priority="1140">
      <formula>$F39="Formation CCF"</formula>
    </cfRule>
    <cfRule type="expression" dxfId="1178" priority="1141">
      <formula>$F39="Direction"</formula>
    </cfRule>
    <cfRule type="expression" dxfId="1177" priority="1142">
      <formula>$F39="Ventes Sicli"</formula>
    </cfRule>
    <cfRule type="expression" dxfId="1176" priority="1143">
      <formula>$F39="Ventes Chubb"</formula>
    </cfRule>
    <cfRule type="expression" dxfId="1175" priority="1144">
      <formula>$F39="SAV Sicli"</formula>
    </cfRule>
    <cfRule type="expression" dxfId="1174" priority="1145">
      <formula>$F39="SAV Chubb"</formula>
    </cfRule>
    <cfRule type="expression" dxfId="1173" priority="1146">
      <formula>$F39="Réalisation"</formula>
    </cfRule>
    <cfRule type="expression" dxfId="1172" priority="1147">
      <formula>$F39="Désenfumage"</formula>
    </cfRule>
    <cfRule type="expression" dxfId="1171" priority="1148">
      <formula>$F39="Administratif"</formula>
    </cfRule>
  </conditionalFormatting>
  <conditionalFormatting sqref="D39">
    <cfRule type="expression" dxfId="1170" priority="1139">
      <formula>$H39="non"</formula>
    </cfRule>
  </conditionalFormatting>
  <conditionalFormatting sqref="D39">
    <cfRule type="expression" dxfId="1169" priority="1130">
      <formula>$F39="Formation CCF"</formula>
    </cfRule>
    <cfRule type="expression" dxfId="1168" priority="1131">
      <formula>$F39="Direction"</formula>
    </cfRule>
    <cfRule type="expression" dxfId="1167" priority="1132">
      <formula>$F39="Ventes Sicli"</formula>
    </cfRule>
    <cfRule type="expression" dxfId="1166" priority="1133">
      <formula>$F39="Ventes Chubb"</formula>
    </cfRule>
    <cfRule type="expression" dxfId="1165" priority="1134">
      <formula>$F39="SAV Sicli"</formula>
    </cfRule>
    <cfRule type="expression" dxfId="1164" priority="1135">
      <formula>$F39="SAV Chubb"</formula>
    </cfRule>
    <cfRule type="expression" dxfId="1163" priority="1136">
      <formula>$F39="Réalisation"</formula>
    </cfRule>
    <cfRule type="expression" dxfId="1162" priority="1137">
      <formula>$F39="Désenfumage"</formula>
    </cfRule>
    <cfRule type="expression" dxfId="1161" priority="1138">
      <formula>$F39="Administratif"</formula>
    </cfRule>
  </conditionalFormatting>
  <conditionalFormatting sqref="D39">
    <cfRule type="expression" dxfId="1160" priority="1129">
      <formula>$H39="non"</formula>
    </cfRule>
  </conditionalFormatting>
  <conditionalFormatting sqref="A39">
    <cfRule type="expression" dxfId="1159" priority="1128">
      <formula>$F39="Administratif"</formula>
    </cfRule>
  </conditionalFormatting>
  <conditionalFormatting sqref="A39">
    <cfRule type="expression" dxfId="1158" priority="1119">
      <formula>$H39="non"</formula>
    </cfRule>
    <cfRule type="expression" dxfId="1157" priority="1124">
      <formula>$F39="SAV Sicli"</formula>
    </cfRule>
  </conditionalFormatting>
  <conditionalFormatting sqref="A39">
    <cfRule type="expression" dxfId="1156" priority="1121">
      <formula>$F39="Direction"</formula>
    </cfRule>
  </conditionalFormatting>
  <conditionalFormatting sqref="A39">
    <cfRule type="expression" dxfId="1155" priority="1120">
      <formula>$F39="Formation CCF"</formula>
    </cfRule>
  </conditionalFormatting>
  <conditionalFormatting sqref="A39">
    <cfRule type="expression" dxfId="1154" priority="1122">
      <formula>$F39="Ventes Sicli"</formula>
    </cfRule>
    <cfRule type="expression" dxfId="1153" priority="1125">
      <formula>$F39="SAV Chubb"</formula>
    </cfRule>
  </conditionalFormatting>
  <conditionalFormatting sqref="A39">
    <cfRule type="expression" dxfId="1152" priority="1123">
      <formula>$F39="Ventes Chubb"</formula>
    </cfRule>
  </conditionalFormatting>
  <conditionalFormatting sqref="A39">
    <cfRule type="expression" dxfId="1151" priority="1126">
      <formula>$F39="Réalisation"</formula>
    </cfRule>
  </conditionalFormatting>
  <conditionalFormatting sqref="A39">
    <cfRule type="expression" dxfId="1150" priority="1127">
      <formula>$F39="Désenfumage"</formula>
    </cfRule>
  </conditionalFormatting>
  <conditionalFormatting sqref="AT37:AY37">
    <cfRule type="expression" dxfId="1149" priority="1118">
      <formula>$E$3="Non"</formula>
    </cfRule>
  </conditionalFormatting>
  <conditionalFormatting sqref="AO37:AR37">
    <cfRule type="expression" dxfId="1148" priority="1117">
      <formula>$E$4="Non"</formula>
    </cfRule>
  </conditionalFormatting>
  <conditionalFormatting sqref="N37:Q37 I37:K37">
    <cfRule type="expression" dxfId="1147" priority="1116">
      <formula>$L37="NA"</formula>
    </cfRule>
  </conditionalFormatting>
  <conditionalFormatting sqref="X37:AA37">
    <cfRule type="expression" dxfId="1146" priority="1115">
      <formula>$V37="NA"</formula>
    </cfRule>
  </conditionalFormatting>
  <conditionalFormatting sqref="AE37:AH37">
    <cfRule type="expression" dxfId="1145" priority="1114">
      <formula>$AC37="NA"</formula>
    </cfRule>
  </conditionalFormatting>
  <conditionalFormatting sqref="S37:U37">
    <cfRule type="expression" dxfId="1144" priority="1113">
      <formula>$S37="NA"</formula>
    </cfRule>
  </conditionalFormatting>
  <conditionalFormatting sqref="E37:H37">
    <cfRule type="expression" dxfId="1143" priority="1112">
      <formula>$F37="Administratif"</formula>
    </cfRule>
  </conditionalFormatting>
  <conditionalFormatting sqref="E37:H37">
    <cfRule type="expression" dxfId="1142" priority="1103">
      <formula>$H37="non"</formula>
    </cfRule>
    <cfRule type="expression" dxfId="1141" priority="1108">
      <formula>$F37="SAV Sicli"</formula>
    </cfRule>
  </conditionalFormatting>
  <conditionalFormatting sqref="E37:H37">
    <cfRule type="expression" dxfId="1140" priority="1105">
      <formula>$F37="Direction"</formula>
    </cfRule>
  </conditionalFormatting>
  <conditionalFormatting sqref="E37:H37">
    <cfRule type="expression" dxfId="1139" priority="1104">
      <formula>$F37="Formation CCF"</formula>
    </cfRule>
  </conditionalFormatting>
  <conditionalFormatting sqref="E37:H37">
    <cfRule type="expression" dxfId="1138" priority="1106">
      <formula>$F37="Ventes Sicli"</formula>
    </cfRule>
    <cfRule type="expression" dxfId="1137" priority="1109">
      <formula>$F37="SAV Chubb"</formula>
    </cfRule>
  </conditionalFormatting>
  <conditionalFormatting sqref="E37:H37">
    <cfRule type="expression" dxfId="1136" priority="1107">
      <formula>$F37="Ventes Chubb"</formula>
    </cfRule>
  </conditionalFormatting>
  <conditionalFormatting sqref="E37:H37">
    <cfRule type="expression" dxfId="1135" priority="1110">
      <formula>$F37="Réalisation"</formula>
    </cfRule>
  </conditionalFormatting>
  <conditionalFormatting sqref="E37:H37">
    <cfRule type="expression" dxfId="1134" priority="1111">
      <formula>$F37="Désenfumage"</formula>
    </cfRule>
  </conditionalFormatting>
  <conditionalFormatting sqref="C37:D37">
    <cfRule type="expression" dxfId="1133" priority="1094">
      <formula>$F37="Formation CCF"</formula>
    </cfRule>
    <cfRule type="expression" dxfId="1132" priority="1095">
      <formula>$F37="Direction"</formula>
    </cfRule>
    <cfRule type="expression" dxfId="1131" priority="1096">
      <formula>$F37="Ventes Sicli"</formula>
    </cfRule>
    <cfRule type="expression" dxfId="1130" priority="1097">
      <formula>$F37="Ventes Chubb"</formula>
    </cfRule>
    <cfRule type="expression" dxfId="1129" priority="1098">
      <formula>$F37="SAV Sicli"</formula>
    </cfRule>
    <cfRule type="expression" dxfId="1128" priority="1099">
      <formula>$F37="SAV Chubb"</formula>
    </cfRule>
    <cfRule type="expression" dxfId="1127" priority="1100">
      <formula>$F37="Réalisation"</formula>
    </cfRule>
    <cfRule type="expression" dxfId="1126" priority="1101">
      <formula>$F37="Désenfumage"</formula>
    </cfRule>
    <cfRule type="expression" dxfId="1125" priority="1102">
      <formula>$F37="Administratif"</formula>
    </cfRule>
  </conditionalFormatting>
  <conditionalFormatting sqref="C37:D37">
    <cfRule type="expression" dxfId="1124" priority="1093">
      <formula>$H37="non"</formula>
    </cfRule>
  </conditionalFormatting>
  <conditionalFormatting sqref="C37:D37">
    <cfRule type="expression" dxfId="1123" priority="1084">
      <formula>$F37="Formation CCF"</formula>
    </cfRule>
    <cfRule type="expression" dxfId="1122" priority="1085">
      <formula>$F37="Direction"</formula>
    </cfRule>
    <cfRule type="expression" dxfId="1121" priority="1086">
      <formula>$F37="Ventes Sicli"</formula>
    </cfRule>
    <cfRule type="expression" dxfId="1120" priority="1087">
      <formula>$F37="Ventes Chubb"</formula>
    </cfRule>
    <cfRule type="expression" dxfId="1119" priority="1088">
      <formula>$F37="SAV Sicli"</formula>
    </cfRule>
    <cfRule type="expression" dxfId="1118" priority="1089">
      <formula>$F37="SAV Chubb"</formula>
    </cfRule>
    <cfRule type="expression" dxfId="1117" priority="1090">
      <formula>$F37="Réalisation"</formula>
    </cfRule>
    <cfRule type="expression" dxfId="1116" priority="1091">
      <formula>$F37="Désenfumage"</formula>
    </cfRule>
    <cfRule type="expression" dxfId="1115" priority="1092">
      <formula>$F37="Administratif"</formula>
    </cfRule>
  </conditionalFormatting>
  <conditionalFormatting sqref="C37:D37">
    <cfRule type="expression" dxfId="1114" priority="1083">
      <formula>$H37="non"</formula>
    </cfRule>
  </conditionalFormatting>
  <conditionalFormatting sqref="C37:D37">
    <cfRule type="expression" dxfId="1113" priority="1074">
      <formula>$F37="Formation CCF"</formula>
    </cfRule>
    <cfRule type="expression" dxfId="1112" priority="1075">
      <formula>$F37="Direction"</formula>
    </cfRule>
    <cfRule type="expression" dxfId="1111" priority="1076">
      <formula>$F37="Ventes Sicli"</formula>
    </cfRule>
    <cfRule type="expression" dxfId="1110" priority="1077">
      <formula>$F37="Ventes Chubb"</formula>
    </cfRule>
    <cfRule type="expression" dxfId="1109" priority="1078">
      <formula>$F37="SAV Sicli"</formula>
    </cfRule>
    <cfRule type="expression" dxfId="1108" priority="1079">
      <formula>$F37="SAV Chubb"</formula>
    </cfRule>
    <cfRule type="expression" dxfId="1107" priority="1080">
      <formula>$F37="Réalisation"</formula>
    </cfRule>
    <cfRule type="expression" dxfId="1106" priority="1081">
      <formula>$F37="Désenfumage"</formula>
    </cfRule>
    <cfRule type="expression" dxfId="1105" priority="1082">
      <formula>$F37="Administratif"</formula>
    </cfRule>
  </conditionalFormatting>
  <conditionalFormatting sqref="C37:D37">
    <cfRule type="expression" dxfId="1104" priority="1073">
      <formula>$H37="non"</formula>
    </cfRule>
  </conditionalFormatting>
  <conditionalFormatting sqref="C37:D37">
    <cfRule type="expression" dxfId="1103" priority="1064">
      <formula>$F37="Formation CCF"</formula>
    </cfRule>
    <cfRule type="expression" dxfId="1102" priority="1065">
      <formula>$F37="Direction"</formula>
    </cfRule>
    <cfRule type="expression" dxfId="1101" priority="1066">
      <formula>$F37="Ventes Sicli"</formula>
    </cfRule>
    <cfRule type="expression" dxfId="1100" priority="1067">
      <formula>$F37="Ventes Chubb"</formula>
    </cfRule>
    <cfRule type="expression" dxfId="1099" priority="1068">
      <formula>$F37="SAV Sicli"</formula>
    </cfRule>
    <cfRule type="expression" dxfId="1098" priority="1069">
      <formula>$F37="SAV Chubb"</formula>
    </cfRule>
    <cfRule type="expression" dxfId="1097" priority="1070">
      <formula>$F37="Réalisation"</formula>
    </cfRule>
    <cfRule type="expression" dxfId="1096" priority="1071">
      <formula>$F37="Désenfumage"</formula>
    </cfRule>
    <cfRule type="expression" dxfId="1095" priority="1072">
      <formula>$F37="Administratif"</formula>
    </cfRule>
  </conditionalFormatting>
  <conditionalFormatting sqref="C37:D37">
    <cfRule type="expression" dxfId="1094" priority="1063">
      <formula>$H37="non"</formula>
    </cfRule>
  </conditionalFormatting>
  <conditionalFormatting sqref="C37:D37">
    <cfRule type="expression" dxfId="1093" priority="1054">
      <formula>$F37="Formation CCF"</formula>
    </cfRule>
    <cfRule type="expression" dxfId="1092" priority="1055">
      <formula>$F37="Direction"</formula>
    </cfRule>
    <cfRule type="expression" dxfId="1091" priority="1056">
      <formula>$F37="Ventes Sicli"</formula>
    </cfRule>
    <cfRule type="expression" dxfId="1090" priority="1057">
      <formula>$F37="Ventes Chubb"</formula>
    </cfRule>
    <cfRule type="expression" dxfId="1089" priority="1058">
      <formula>$F37="SAV Sicli"</formula>
    </cfRule>
    <cfRule type="expression" dxfId="1088" priority="1059">
      <formula>$F37="SAV Chubb"</formula>
    </cfRule>
    <cfRule type="expression" dxfId="1087" priority="1060">
      <formula>$F37="Réalisation"</formula>
    </cfRule>
    <cfRule type="expression" dxfId="1086" priority="1061">
      <formula>$F37="Désenfumage"</formula>
    </cfRule>
    <cfRule type="expression" dxfId="1085" priority="1062">
      <formula>$F37="Administratif"</formula>
    </cfRule>
  </conditionalFormatting>
  <conditionalFormatting sqref="C37:D37">
    <cfRule type="expression" dxfId="1084" priority="1053">
      <formula>$H37="non"</formula>
    </cfRule>
  </conditionalFormatting>
  <conditionalFormatting sqref="C37:D37">
    <cfRule type="expression" dxfId="1083" priority="1044">
      <formula>$F37="Formation CCF"</formula>
    </cfRule>
    <cfRule type="expression" dxfId="1082" priority="1045">
      <formula>$F37="Direction"</formula>
    </cfRule>
    <cfRule type="expression" dxfId="1081" priority="1046">
      <formula>$F37="Ventes Sicli"</formula>
    </cfRule>
    <cfRule type="expression" dxfId="1080" priority="1047">
      <formula>$F37="Ventes Chubb"</formula>
    </cfRule>
    <cfRule type="expression" dxfId="1079" priority="1048">
      <formula>$F37="SAV Sicli"</formula>
    </cfRule>
    <cfRule type="expression" dxfId="1078" priority="1049">
      <formula>$F37="SAV Chubb"</formula>
    </cfRule>
    <cfRule type="expression" dxfId="1077" priority="1050">
      <formula>$F37="Réalisation"</formula>
    </cfRule>
    <cfRule type="expression" dxfId="1076" priority="1051">
      <formula>$F37="Désenfumage"</formula>
    </cfRule>
    <cfRule type="expression" dxfId="1075" priority="1052">
      <formula>$F37="Administratif"</formula>
    </cfRule>
  </conditionalFormatting>
  <conditionalFormatting sqref="C37:D37">
    <cfRule type="expression" dxfId="1074" priority="1043">
      <formula>$H37="non"</formula>
    </cfRule>
  </conditionalFormatting>
  <conditionalFormatting sqref="D37">
    <cfRule type="expression" dxfId="1073" priority="1034">
      <formula>$F37="Formation CCF"</formula>
    </cfRule>
    <cfRule type="expression" dxfId="1072" priority="1035">
      <formula>$F37="Direction"</formula>
    </cfRule>
    <cfRule type="expression" dxfId="1071" priority="1036">
      <formula>$F37="Ventes Sicli"</formula>
    </cfRule>
    <cfRule type="expression" dxfId="1070" priority="1037">
      <formula>$F37="Ventes Chubb"</formula>
    </cfRule>
    <cfRule type="expression" dxfId="1069" priority="1038">
      <formula>$F37="SAV Sicli"</formula>
    </cfRule>
    <cfRule type="expression" dxfId="1068" priority="1039">
      <formula>$F37="SAV Chubb"</formula>
    </cfRule>
    <cfRule type="expression" dxfId="1067" priority="1040">
      <formula>$F37="Réalisation"</formula>
    </cfRule>
    <cfRule type="expression" dxfId="1066" priority="1041">
      <formula>$F37="Désenfumage"</formula>
    </cfRule>
    <cfRule type="expression" dxfId="1065" priority="1042">
      <formula>$F37="Administratif"</formula>
    </cfRule>
  </conditionalFormatting>
  <conditionalFormatting sqref="D37">
    <cfRule type="expression" dxfId="1064" priority="1033">
      <formula>$H37="non"</formula>
    </cfRule>
  </conditionalFormatting>
  <conditionalFormatting sqref="D37">
    <cfRule type="expression" dxfId="1063" priority="1024">
      <formula>$F37="Formation CCF"</formula>
    </cfRule>
    <cfRule type="expression" dxfId="1062" priority="1025">
      <formula>$F37="Direction"</formula>
    </cfRule>
    <cfRule type="expression" dxfId="1061" priority="1026">
      <formula>$F37="Ventes Sicli"</formula>
    </cfRule>
    <cfRule type="expression" dxfId="1060" priority="1027">
      <formula>$F37="Ventes Chubb"</formula>
    </cfRule>
    <cfRule type="expression" dxfId="1059" priority="1028">
      <formula>$F37="SAV Sicli"</formula>
    </cfRule>
    <cfRule type="expression" dxfId="1058" priority="1029">
      <formula>$F37="SAV Chubb"</formula>
    </cfRule>
    <cfRule type="expression" dxfId="1057" priority="1030">
      <formula>$F37="Réalisation"</formula>
    </cfRule>
    <cfRule type="expression" dxfId="1056" priority="1031">
      <formula>$F37="Désenfumage"</formula>
    </cfRule>
    <cfRule type="expression" dxfId="1055" priority="1032">
      <formula>$F37="Administratif"</formula>
    </cfRule>
  </conditionalFormatting>
  <conditionalFormatting sqref="D37">
    <cfRule type="expression" dxfId="1054" priority="1023">
      <formula>$H37="non"</formula>
    </cfRule>
  </conditionalFormatting>
  <conditionalFormatting sqref="D37">
    <cfRule type="expression" dxfId="1053" priority="1014">
      <formula>$F37="Formation CCF"</formula>
    </cfRule>
    <cfRule type="expression" dxfId="1052" priority="1015">
      <formula>$F37="Direction"</formula>
    </cfRule>
    <cfRule type="expression" dxfId="1051" priority="1016">
      <formula>$F37="Ventes Sicli"</formula>
    </cfRule>
    <cfRule type="expression" dxfId="1050" priority="1017">
      <formula>$F37="Ventes Chubb"</formula>
    </cfRule>
    <cfRule type="expression" dxfId="1049" priority="1018">
      <formula>$F37="SAV Sicli"</formula>
    </cfRule>
    <cfRule type="expression" dxfId="1048" priority="1019">
      <formula>$F37="SAV Chubb"</formula>
    </cfRule>
    <cfRule type="expression" dxfId="1047" priority="1020">
      <formula>$F37="Réalisation"</formula>
    </cfRule>
    <cfRule type="expression" dxfId="1046" priority="1021">
      <formula>$F37="Désenfumage"</formula>
    </cfRule>
    <cfRule type="expression" dxfId="1045" priority="1022">
      <formula>$F37="Administratif"</formula>
    </cfRule>
  </conditionalFormatting>
  <conditionalFormatting sqref="D37">
    <cfRule type="expression" dxfId="1044" priority="1013">
      <formula>$H37="non"</formula>
    </cfRule>
  </conditionalFormatting>
  <conditionalFormatting sqref="D37">
    <cfRule type="expression" dxfId="1043" priority="1004">
      <formula>$F37="Formation CCF"</formula>
    </cfRule>
    <cfRule type="expression" dxfId="1042" priority="1005">
      <formula>$F37="Direction"</formula>
    </cfRule>
    <cfRule type="expression" dxfId="1041" priority="1006">
      <formula>$F37="Ventes Sicli"</formula>
    </cfRule>
    <cfRule type="expression" dxfId="1040" priority="1007">
      <formula>$F37="Ventes Chubb"</formula>
    </cfRule>
    <cfRule type="expression" dxfId="1039" priority="1008">
      <formula>$F37="SAV Sicli"</formula>
    </cfRule>
    <cfRule type="expression" dxfId="1038" priority="1009">
      <formula>$F37="SAV Chubb"</formula>
    </cfRule>
    <cfRule type="expression" dxfId="1037" priority="1010">
      <formula>$F37="Réalisation"</formula>
    </cfRule>
    <cfRule type="expression" dxfId="1036" priority="1011">
      <formula>$F37="Désenfumage"</formula>
    </cfRule>
    <cfRule type="expression" dxfId="1035" priority="1012">
      <formula>$F37="Administratif"</formula>
    </cfRule>
  </conditionalFormatting>
  <conditionalFormatting sqref="D37">
    <cfRule type="expression" dxfId="1034" priority="1003">
      <formula>$H37="non"</formula>
    </cfRule>
  </conditionalFormatting>
  <conditionalFormatting sqref="D37">
    <cfRule type="expression" dxfId="1033" priority="994">
      <formula>$F37="Formation CCF"</formula>
    </cfRule>
    <cfRule type="expression" dxfId="1032" priority="995">
      <formula>$F37="Direction"</formula>
    </cfRule>
    <cfRule type="expression" dxfId="1031" priority="996">
      <formula>$F37="Ventes Sicli"</formula>
    </cfRule>
    <cfRule type="expression" dxfId="1030" priority="997">
      <formula>$F37="Ventes Chubb"</formula>
    </cfRule>
    <cfRule type="expression" dxfId="1029" priority="998">
      <formula>$F37="SAV Sicli"</formula>
    </cfRule>
    <cfRule type="expression" dxfId="1028" priority="999">
      <formula>$F37="SAV Chubb"</formula>
    </cfRule>
    <cfRule type="expression" dxfId="1027" priority="1000">
      <formula>$F37="Réalisation"</formula>
    </cfRule>
    <cfRule type="expression" dxfId="1026" priority="1001">
      <formula>$F37="Désenfumage"</formula>
    </cfRule>
    <cfRule type="expression" dxfId="1025" priority="1002">
      <formula>$F37="Administratif"</formula>
    </cfRule>
  </conditionalFormatting>
  <conditionalFormatting sqref="D37">
    <cfRule type="expression" dxfId="1024" priority="993">
      <formula>$H37="non"</formula>
    </cfRule>
  </conditionalFormatting>
  <conditionalFormatting sqref="D37">
    <cfRule type="expression" dxfId="1023" priority="984">
      <formula>$F37="Formation CCF"</formula>
    </cfRule>
    <cfRule type="expression" dxfId="1022" priority="985">
      <formula>$F37="Direction"</formula>
    </cfRule>
    <cfRule type="expression" dxfId="1021" priority="986">
      <formula>$F37="Ventes Sicli"</formula>
    </cfRule>
    <cfRule type="expression" dxfId="1020" priority="987">
      <formula>$F37="Ventes Chubb"</formula>
    </cfRule>
    <cfRule type="expression" dxfId="1019" priority="988">
      <formula>$F37="SAV Sicli"</formula>
    </cfRule>
    <cfRule type="expression" dxfId="1018" priority="989">
      <formula>$F37="SAV Chubb"</formula>
    </cfRule>
    <cfRule type="expression" dxfId="1017" priority="990">
      <formula>$F37="Réalisation"</formula>
    </cfRule>
    <cfRule type="expression" dxfId="1016" priority="991">
      <formula>$F37="Désenfumage"</formula>
    </cfRule>
    <cfRule type="expression" dxfId="1015" priority="992">
      <formula>$F37="Administratif"</formula>
    </cfRule>
  </conditionalFormatting>
  <conditionalFormatting sqref="D37">
    <cfRule type="expression" dxfId="1014" priority="983">
      <formula>$H37="non"</formula>
    </cfRule>
  </conditionalFormatting>
  <conditionalFormatting sqref="C37:D37">
    <cfRule type="expression" dxfId="1013" priority="974">
      <formula>$F37="Formation CCF"</formula>
    </cfRule>
    <cfRule type="expression" dxfId="1012" priority="975">
      <formula>$F37="Direction"</formula>
    </cfRule>
    <cfRule type="expression" dxfId="1011" priority="976">
      <formula>$F37="Ventes Sicli"</formula>
    </cfRule>
    <cfRule type="expression" dxfId="1010" priority="977">
      <formula>$F37="Ventes Chubb"</formula>
    </cfRule>
    <cfRule type="expression" dxfId="1009" priority="978">
      <formula>$F37="SAV Sicli"</formula>
    </cfRule>
    <cfRule type="expression" dxfId="1008" priority="979">
      <formula>$F37="SAV Chubb"</formula>
    </cfRule>
    <cfRule type="expression" dxfId="1007" priority="980">
      <formula>$F37="Réalisation"</formula>
    </cfRule>
    <cfRule type="expression" dxfId="1006" priority="981">
      <formula>$F37="Désenfumage"</formula>
    </cfRule>
    <cfRule type="expression" dxfId="1005" priority="982">
      <formula>$F37="Administratif"</formula>
    </cfRule>
  </conditionalFormatting>
  <conditionalFormatting sqref="C37:D37">
    <cfRule type="expression" dxfId="1004" priority="973">
      <formula>$H37="non"</formula>
    </cfRule>
  </conditionalFormatting>
  <conditionalFormatting sqref="C37:D37">
    <cfRule type="expression" dxfId="1003" priority="964">
      <formula>$F37="Formation CCF"</formula>
    </cfRule>
    <cfRule type="expression" dxfId="1002" priority="965">
      <formula>$F37="Direction"</formula>
    </cfRule>
    <cfRule type="expression" dxfId="1001" priority="966">
      <formula>$F37="Ventes Sicli"</formula>
    </cfRule>
    <cfRule type="expression" dxfId="1000" priority="967">
      <formula>$F37="Ventes Chubb"</formula>
    </cfRule>
    <cfRule type="expression" dxfId="999" priority="968">
      <formula>$F37="SAV Sicli"</formula>
    </cfRule>
    <cfRule type="expression" dxfId="998" priority="969">
      <formula>$F37="SAV Chubb"</formula>
    </cfRule>
    <cfRule type="expression" dxfId="997" priority="970">
      <formula>$F37="Réalisation"</formula>
    </cfRule>
    <cfRule type="expression" dxfId="996" priority="971">
      <formula>$F37="Désenfumage"</formula>
    </cfRule>
    <cfRule type="expression" dxfId="995" priority="972">
      <formula>$F37="Administratif"</formula>
    </cfRule>
  </conditionalFormatting>
  <conditionalFormatting sqref="C37:D37">
    <cfRule type="expression" dxfId="994" priority="963">
      <formula>$H37="non"</formula>
    </cfRule>
  </conditionalFormatting>
  <conditionalFormatting sqref="C37:D37">
    <cfRule type="expression" dxfId="993" priority="954">
      <formula>$F37="Formation CCF"</formula>
    </cfRule>
    <cfRule type="expression" dxfId="992" priority="955">
      <formula>$F37="Direction"</formula>
    </cfRule>
    <cfRule type="expression" dxfId="991" priority="956">
      <formula>$F37="Ventes Sicli"</formula>
    </cfRule>
    <cfRule type="expression" dxfId="990" priority="957">
      <formula>$F37="Ventes Chubb"</formula>
    </cfRule>
    <cfRule type="expression" dxfId="989" priority="958">
      <formula>$F37="SAV Sicli"</formula>
    </cfRule>
    <cfRule type="expression" dxfId="988" priority="959">
      <formula>$F37="SAV Chubb"</formula>
    </cfRule>
    <cfRule type="expression" dxfId="987" priority="960">
      <formula>$F37="Réalisation"</formula>
    </cfRule>
    <cfRule type="expression" dxfId="986" priority="961">
      <formula>$F37="Désenfumage"</formula>
    </cfRule>
    <cfRule type="expression" dxfId="985" priority="962">
      <formula>$F37="Administratif"</formula>
    </cfRule>
  </conditionalFormatting>
  <conditionalFormatting sqref="C37:D37">
    <cfRule type="expression" dxfId="984" priority="953">
      <formula>$H37="non"</formula>
    </cfRule>
  </conditionalFormatting>
  <conditionalFormatting sqref="D37">
    <cfRule type="expression" dxfId="983" priority="944">
      <formula>$F37="Formation CCF"</formula>
    </cfRule>
    <cfRule type="expression" dxfId="982" priority="945">
      <formula>$F37="Direction"</formula>
    </cfRule>
    <cfRule type="expression" dxfId="981" priority="946">
      <formula>$F37="Ventes Sicli"</formula>
    </cfRule>
    <cfRule type="expression" dxfId="980" priority="947">
      <formula>$F37="Ventes Chubb"</formula>
    </cfRule>
    <cfRule type="expression" dxfId="979" priority="948">
      <formula>$F37="SAV Sicli"</formula>
    </cfRule>
    <cfRule type="expression" dxfId="978" priority="949">
      <formula>$F37="SAV Chubb"</formula>
    </cfRule>
    <cfRule type="expression" dxfId="977" priority="950">
      <formula>$F37="Réalisation"</formula>
    </cfRule>
    <cfRule type="expression" dxfId="976" priority="951">
      <formula>$F37="Désenfumage"</formula>
    </cfRule>
    <cfRule type="expression" dxfId="975" priority="952">
      <formula>$F37="Administratif"</formula>
    </cfRule>
  </conditionalFormatting>
  <conditionalFormatting sqref="D37">
    <cfRule type="expression" dxfId="974" priority="943">
      <formula>$H37="non"</formula>
    </cfRule>
  </conditionalFormatting>
  <conditionalFormatting sqref="D37">
    <cfRule type="expression" dxfId="973" priority="934">
      <formula>$F37="Formation CCF"</formula>
    </cfRule>
    <cfRule type="expression" dxfId="972" priority="935">
      <formula>$F37="Direction"</formula>
    </cfRule>
    <cfRule type="expression" dxfId="971" priority="936">
      <formula>$F37="Ventes Sicli"</formula>
    </cfRule>
    <cfRule type="expression" dxfId="970" priority="937">
      <formula>$F37="Ventes Chubb"</formula>
    </cfRule>
    <cfRule type="expression" dxfId="969" priority="938">
      <formula>$F37="SAV Sicli"</formula>
    </cfRule>
    <cfRule type="expression" dxfId="968" priority="939">
      <formula>$F37="SAV Chubb"</formula>
    </cfRule>
    <cfRule type="expression" dxfId="967" priority="940">
      <formula>$F37="Réalisation"</formula>
    </cfRule>
    <cfRule type="expression" dxfId="966" priority="941">
      <formula>$F37="Désenfumage"</formula>
    </cfRule>
    <cfRule type="expression" dxfId="965" priority="942">
      <formula>$F37="Administratif"</formula>
    </cfRule>
  </conditionalFormatting>
  <conditionalFormatting sqref="D37">
    <cfRule type="expression" dxfId="964" priority="933">
      <formula>$H37="non"</formula>
    </cfRule>
  </conditionalFormatting>
  <conditionalFormatting sqref="D37">
    <cfRule type="expression" dxfId="963" priority="924">
      <formula>$F37="Formation CCF"</formula>
    </cfRule>
    <cfRule type="expression" dxfId="962" priority="925">
      <formula>$F37="Direction"</formula>
    </cfRule>
    <cfRule type="expression" dxfId="961" priority="926">
      <formula>$F37="Ventes Sicli"</formula>
    </cfRule>
    <cfRule type="expression" dxfId="960" priority="927">
      <formula>$F37="Ventes Chubb"</formula>
    </cfRule>
    <cfRule type="expression" dxfId="959" priority="928">
      <formula>$F37="SAV Sicli"</formula>
    </cfRule>
    <cfRule type="expression" dxfId="958" priority="929">
      <formula>$F37="SAV Chubb"</formula>
    </cfRule>
    <cfRule type="expression" dxfId="957" priority="930">
      <formula>$F37="Réalisation"</formula>
    </cfRule>
    <cfRule type="expression" dxfId="956" priority="931">
      <formula>$F37="Désenfumage"</formula>
    </cfRule>
    <cfRule type="expression" dxfId="955" priority="932">
      <formula>$F37="Administratif"</formula>
    </cfRule>
  </conditionalFormatting>
  <conditionalFormatting sqref="D37">
    <cfRule type="expression" dxfId="954" priority="923">
      <formula>$H37="non"</formula>
    </cfRule>
  </conditionalFormatting>
  <conditionalFormatting sqref="D37">
    <cfRule type="expression" dxfId="953" priority="914">
      <formula>$F37="Formation CCF"</formula>
    </cfRule>
    <cfRule type="expression" dxfId="952" priority="915">
      <formula>$F37="Direction"</formula>
    </cfRule>
    <cfRule type="expression" dxfId="951" priority="916">
      <formula>$F37="Ventes Sicli"</formula>
    </cfRule>
    <cfRule type="expression" dxfId="950" priority="917">
      <formula>$F37="Ventes Chubb"</formula>
    </cfRule>
    <cfRule type="expression" dxfId="949" priority="918">
      <formula>$F37="SAV Sicli"</formula>
    </cfRule>
    <cfRule type="expression" dxfId="948" priority="919">
      <formula>$F37="SAV Chubb"</formula>
    </cfRule>
    <cfRule type="expression" dxfId="947" priority="920">
      <formula>$F37="Réalisation"</formula>
    </cfRule>
    <cfRule type="expression" dxfId="946" priority="921">
      <formula>$F37="Désenfumage"</formula>
    </cfRule>
    <cfRule type="expression" dxfId="945" priority="922">
      <formula>$F37="Administratif"</formula>
    </cfRule>
  </conditionalFormatting>
  <conditionalFormatting sqref="D37">
    <cfRule type="expression" dxfId="944" priority="913">
      <formula>$H37="non"</formula>
    </cfRule>
  </conditionalFormatting>
  <conditionalFormatting sqref="D37">
    <cfRule type="expression" dxfId="943" priority="904">
      <formula>$F37="Formation CCF"</formula>
    </cfRule>
    <cfRule type="expression" dxfId="942" priority="905">
      <formula>$F37="Direction"</formula>
    </cfRule>
    <cfRule type="expression" dxfId="941" priority="906">
      <formula>$F37="Ventes Sicli"</formula>
    </cfRule>
    <cfRule type="expression" dxfId="940" priority="907">
      <formula>$F37="Ventes Chubb"</formula>
    </cfRule>
    <cfRule type="expression" dxfId="939" priority="908">
      <formula>$F37="SAV Sicli"</formula>
    </cfRule>
    <cfRule type="expression" dxfId="938" priority="909">
      <formula>$F37="SAV Chubb"</formula>
    </cfRule>
    <cfRule type="expression" dxfId="937" priority="910">
      <formula>$F37="Réalisation"</formula>
    </cfRule>
    <cfRule type="expression" dxfId="936" priority="911">
      <formula>$F37="Désenfumage"</formula>
    </cfRule>
    <cfRule type="expression" dxfId="935" priority="912">
      <formula>$F37="Administratif"</formula>
    </cfRule>
  </conditionalFormatting>
  <conditionalFormatting sqref="D37">
    <cfRule type="expression" dxfId="934" priority="903">
      <formula>$H37="non"</formula>
    </cfRule>
  </conditionalFormatting>
  <conditionalFormatting sqref="D37">
    <cfRule type="expression" dxfId="933" priority="894">
      <formula>$F37="Formation CCF"</formula>
    </cfRule>
    <cfRule type="expression" dxfId="932" priority="895">
      <formula>$F37="Direction"</formula>
    </cfRule>
    <cfRule type="expression" dxfId="931" priority="896">
      <formula>$F37="Ventes Sicli"</formula>
    </cfRule>
    <cfRule type="expression" dxfId="930" priority="897">
      <formula>$F37="Ventes Chubb"</formula>
    </cfRule>
    <cfRule type="expression" dxfId="929" priority="898">
      <formula>$F37="SAV Sicli"</formula>
    </cfRule>
    <cfRule type="expression" dxfId="928" priority="899">
      <formula>$F37="SAV Chubb"</formula>
    </cfRule>
    <cfRule type="expression" dxfId="927" priority="900">
      <formula>$F37="Réalisation"</formula>
    </cfRule>
    <cfRule type="expression" dxfId="926" priority="901">
      <formula>$F37="Désenfumage"</formula>
    </cfRule>
    <cfRule type="expression" dxfId="925" priority="902">
      <formula>$F37="Administratif"</formula>
    </cfRule>
  </conditionalFormatting>
  <conditionalFormatting sqref="D37">
    <cfRule type="expression" dxfId="924" priority="893">
      <formula>$H37="non"</formula>
    </cfRule>
  </conditionalFormatting>
  <conditionalFormatting sqref="D37">
    <cfRule type="expression" dxfId="923" priority="884">
      <formula>$F37="Formation CCF"</formula>
    </cfRule>
    <cfRule type="expression" dxfId="922" priority="885">
      <formula>$F37="Direction"</formula>
    </cfRule>
    <cfRule type="expression" dxfId="921" priority="886">
      <formula>$F37="Ventes Sicli"</formula>
    </cfRule>
    <cfRule type="expression" dxfId="920" priority="887">
      <formula>$F37="Ventes Chubb"</formula>
    </cfRule>
    <cfRule type="expression" dxfId="919" priority="888">
      <formula>$F37="SAV Sicli"</formula>
    </cfRule>
    <cfRule type="expression" dxfId="918" priority="889">
      <formula>$F37="SAV Chubb"</formula>
    </cfRule>
    <cfRule type="expression" dxfId="917" priority="890">
      <formula>$F37="Réalisation"</formula>
    </cfRule>
    <cfRule type="expression" dxfId="916" priority="891">
      <formula>$F37="Désenfumage"</formula>
    </cfRule>
    <cfRule type="expression" dxfId="915" priority="892">
      <formula>$F37="Administratif"</formula>
    </cfRule>
  </conditionalFormatting>
  <conditionalFormatting sqref="D37">
    <cfRule type="expression" dxfId="914" priority="883">
      <formula>$H37="non"</formula>
    </cfRule>
  </conditionalFormatting>
  <conditionalFormatting sqref="D37">
    <cfRule type="expression" dxfId="913" priority="874">
      <formula>$F37="Formation CCF"</formula>
    </cfRule>
    <cfRule type="expression" dxfId="912" priority="875">
      <formula>$F37="Direction"</formula>
    </cfRule>
    <cfRule type="expression" dxfId="911" priority="876">
      <formula>$F37="Ventes Sicli"</formula>
    </cfRule>
    <cfRule type="expression" dxfId="910" priority="877">
      <formula>$F37="Ventes Chubb"</formula>
    </cfRule>
    <cfRule type="expression" dxfId="909" priority="878">
      <formula>$F37="SAV Sicli"</formula>
    </cfRule>
    <cfRule type="expression" dxfId="908" priority="879">
      <formula>$F37="SAV Chubb"</formula>
    </cfRule>
    <cfRule type="expression" dxfId="907" priority="880">
      <formula>$F37="Réalisation"</formula>
    </cfRule>
    <cfRule type="expression" dxfId="906" priority="881">
      <formula>$F37="Désenfumage"</formula>
    </cfRule>
    <cfRule type="expression" dxfId="905" priority="882">
      <formula>$F37="Administratif"</formula>
    </cfRule>
  </conditionalFormatting>
  <conditionalFormatting sqref="D37">
    <cfRule type="expression" dxfId="904" priority="873">
      <formula>$H37="non"</formula>
    </cfRule>
  </conditionalFormatting>
  <conditionalFormatting sqref="D37">
    <cfRule type="expression" dxfId="903" priority="864">
      <formula>$F37="Formation CCF"</formula>
    </cfRule>
    <cfRule type="expression" dxfId="902" priority="865">
      <formula>$F37="Direction"</formula>
    </cfRule>
    <cfRule type="expression" dxfId="901" priority="866">
      <formula>$F37="Ventes Sicli"</formula>
    </cfRule>
    <cfRule type="expression" dxfId="900" priority="867">
      <formula>$F37="Ventes Chubb"</formula>
    </cfRule>
    <cfRule type="expression" dxfId="899" priority="868">
      <formula>$F37="SAV Sicli"</formula>
    </cfRule>
    <cfRule type="expression" dxfId="898" priority="869">
      <formula>$F37="SAV Chubb"</formula>
    </cfRule>
    <cfRule type="expression" dxfId="897" priority="870">
      <formula>$F37="Réalisation"</formula>
    </cfRule>
    <cfRule type="expression" dxfId="896" priority="871">
      <formula>$F37="Désenfumage"</formula>
    </cfRule>
    <cfRule type="expression" dxfId="895" priority="872">
      <formula>$F37="Administratif"</formula>
    </cfRule>
  </conditionalFormatting>
  <conditionalFormatting sqref="D37">
    <cfRule type="expression" dxfId="894" priority="863">
      <formula>$H37="non"</formula>
    </cfRule>
  </conditionalFormatting>
  <conditionalFormatting sqref="C37:D37">
    <cfRule type="expression" dxfId="893" priority="854">
      <formula>$F37="Formation CCF"</formula>
    </cfRule>
    <cfRule type="expression" dxfId="892" priority="855">
      <formula>$F37="Direction"</formula>
    </cfRule>
    <cfRule type="expression" dxfId="891" priority="856">
      <formula>$F37="Ventes Sicli"</formula>
    </cfRule>
    <cfRule type="expression" dxfId="890" priority="857">
      <formula>$F37="Ventes Chubb"</formula>
    </cfRule>
    <cfRule type="expression" dxfId="889" priority="858">
      <formula>$F37="SAV Sicli"</formula>
    </cfRule>
    <cfRule type="expression" dxfId="888" priority="859">
      <formula>$F37="SAV Chubb"</formula>
    </cfRule>
    <cfRule type="expression" dxfId="887" priority="860">
      <formula>$F37="Réalisation"</formula>
    </cfRule>
    <cfRule type="expression" dxfId="886" priority="861">
      <formula>$F37="Désenfumage"</formula>
    </cfRule>
    <cfRule type="expression" dxfId="885" priority="862">
      <formula>$F37="Administratif"</formula>
    </cfRule>
  </conditionalFormatting>
  <conditionalFormatting sqref="C37:D37">
    <cfRule type="expression" dxfId="884" priority="853">
      <formula>$H37="non"</formula>
    </cfRule>
  </conditionalFormatting>
  <conditionalFormatting sqref="C37:D37">
    <cfRule type="expression" dxfId="883" priority="844">
      <formula>$F37="Formation CCF"</formula>
    </cfRule>
    <cfRule type="expression" dxfId="882" priority="845">
      <formula>$F37="Direction"</formula>
    </cfRule>
    <cfRule type="expression" dxfId="881" priority="846">
      <formula>$F37="Ventes Sicli"</formula>
    </cfRule>
    <cfRule type="expression" dxfId="880" priority="847">
      <formula>$F37="Ventes Chubb"</formula>
    </cfRule>
    <cfRule type="expression" dxfId="879" priority="848">
      <formula>$F37="SAV Sicli"</formula>
    </cfRule>
    <cfRule type="expression" dxfId="878" priority="849">
      <formula>$F37="SAV Chubb"</formula>
    </cfRule>
    <cfRule type="expression" dxfId="877" priority="850">
      <formula>$F37="Réalisation"</formula>
    </cfRule>
    <cfRule type="expression" dxfId="876" priority="851">
      <formula>$F37="Désenfumage"</formula>
    </cfRule>
    <cfRule type="expression" dxfId="875" priority="852">
      <formula>$F37="Administratif"</formula>
    </cfRule>
  </conditionalFormatting>
  <conditionalFormatting sqref="C37:D37">
    <cfRule type="expression" dxfId="874" priority="843">
      <formula>$H37="non"</formula>
    </cfRule>
  </conditionalFormatting>
  <conditionalFormatting sqref="C37:D37">
    <cfRule type="expression" dxfId="873" priority="834">
      <formula>$F37="Formation CCF"</formula>
    </cfRule>
    <cfRule type="expression" dxfId="872" priority="835">
      <formula>$F37="Direction"</formula>
    </cfRule>
    <cfRule type="expression" dxfId="871" priority="836">
      <formula>$F37="Ventes Sicli"</formula>
    </cfRule>
    <cfRule type="expression" dxfId="870" priority="837">
      <formula>$F37="Ventes Chubb"</formula>
    </cfRule>
    <cfRule type="expression" dxfId="869" priority="838">
      <formula>$F37="SAV Sicli"</formula>
    </cfRule>
    <cfRule type="expression" dxfId="868" priority="839">
      <formula>$F37="SAV Chubb"</formula>
    </cfRule>
    <cfRule type="expression" dxfId="867" priority="840">
      <formula>$F37="Réalisation"</formula>
    </cfRule>
    <cfRule type="expression" dxfId="866" priority="841">
      <formula>$F37="Désenfumage"</formula>
    </cfRule>
    <cfRule type="expression" dxfId="865" priority="842">
      <formula>$F37="Administratif"</formula>
    </cfRule>
  </conditionalFormatting>
  <conditionalFormatting sqref="C37:D37">
    <cfRule type="expression" dxfId="864" priority="833">
      <formula>$H37="non"</formula>
    </cfRule>
  </conditionalFormatting>
  <conditionalFormatting sqref="D37">
    <cfRule type="expression" dxfId="863" priority="824">
      <formula>$F37="Formation CCF"</formula>
    </cfRule>
    <cfRule type="expression" dxfId="862" priority="825">
      <formula>$F37="Direction"</formula>
    </cfRule>
    <cfRule type="expression" dxfId="861" priority="826">
      <formula>$F37="Ventes Sicli"</formula>
    </cfRule>
    <cfRule type="expression" dxfId="860" priority="827">
      <formula>$F37="Ventes Chubb"</formula>
    </cfRule>
    <cfRule type="expression" dxfId="859" priority="828">
      <formula>$F37="SAV Sicli"</formula>
    </cfRule>
    <cfRule type="expression" dxfId="858" priority="829">
      <formula>$F37="SAV Chubb"</formula>
    </cfRule>
    <cfRule type="expression" dxfId="857" priority="830">
      <formula>$F37="Réalisation"</formula>
    </cfRule>
    <cfRule type="expression" dxfId="856" priority="831">
      <formula>$F37="Désenfumage"</formula>
    </cfRule>
    <cfRule type="expression" dxfId="855" priority="832">
      <formula>$F37="Administratif"</formula>
    </cfRule>
  </conditionalFormatting>
  <conditionalFormatting sqref="D37">
    <cfRule type="expression" dxfId="854" priority="823">
      <formula>$H37="non"</formula>
    </cfRule>
  </conditionalFormatting>
  <conditionalFormatting sqref="D37">
    <cfRule type="expression" dxfId="853" priority="814">
      <formula>$F37="Formation CCF"</formula>
    </cfRule>
    <cfRule type="expression" dxfId="852" priority="815">
      <formula>$F37="Direction"</formula>
    </cfRule>
    <cfRule type="expression" dxfId="851" priority="816">
      <formula>$F37="Ventes Sicli"</formula>
    </cfRule>
    <cfRule type="expression" dxfId="850" priority="817">
      <formula>$F37="Ventes Chubb"</formula>
    </cfRule>
    <cfRule type="expression" dxfId="849" priority="818">
      <formula>$F37="SAV Sicli"</formula>
    </cfRule>
    <cfRule type="expression" dxfId="848" priority="819">
      <formula>$F37="SAV Chubb"</formula>
    </cfRule>
    <cfRule type="expression" dxfId="847" priority="820">
      <formula>$F37="Réalisation"</formula>
    </cfRule>
    <cfRule type="expression" dxfId="846" priority="821">
      <formula>$F37="Désenfumage"</formula>
    </cfRule>
    <cfRule type="expression" dxfId="845" priority="822">
      <formula>$F37="Administratif"</formula>
    </cfRule>
  </conditionalFormatting>
  <conditionalFormatting sqref="D37">
    <cfRule type="expression" dxfId="844" priority="813">
      <formula>$H37="non"</formula>
    </cfRule>
  </conditionalFormatting>
  <conditionalFormatting sqref="D37">
    <cfRule type="expression" dxfId="843" priority="804">
      <formula>$F37="Formation CCF"</formula>
    </cfRule>
    <cfRule type="expression" dxfId="842" priority="805">
      <formula>$F37="Direction"</formula>
    </cfRule>
    <cfRule type="expression" dxfId="841" priority="806">
      <formula>$F37="Ventes Sicli"</formula>
    </cfRule>
    <cfRule type="expression" dxfId="840" priority="807">
      <formula>$F37="Ventes Chubb"</formula>
    </cfRule>
    <cfRule type="expression" dxfId="839" priority="808">
      <formula>$F37="SAV Sicli"</formula>
    </cfRule>
    <cfRule type="expression" dxfId="838" priority="809">
      <formula>$F37="SAV Chubb"</formula>
    </cfRule>
    <cfRule type="expression" dxfId="837" priority="810">
      <formula>$F37="Réalisation"</formula>
    </cfRule>
    <cfRule type="expression" dxfId="836" priority="811">
      <formula>$F37="Désenfumage"</formula>
    </cfRule>
    <cfRule type="expression" dxfId="835" priority="812">
      <formula>$F37="Administratif"</formula>
    </cfRule>
  </conditionalFormatting>
  <conditionalFormatting sqref="D37">
    <cfRule type="expression" dxfId="834" priority="803">
      <formula>$H37="non"</formula>
    </cfRule>
  </conditionalFormatting>
  <conditionalFormatting sqref="D37">
    <cfRule type="expression" dxfId="833" priority="794">
      <formula>$F37="Formation CCF"</formula>
    </cfRule>
    <cfRule type="expression" dxfId="832" priority="795">
      <formula>$F37="Direction"</formula>
    </cfRule>
    <cfRule type="expression" dxfId="831" priority="796">
      <formula>$F37="Ventes Sicli"</formula>
    </cfRule>
    <cfRule type="expression" dxfId="830" priority="797">
      <formula>$F37="Ventes Chubb"</formula>
    </cfRule>
    <cfRule type="expression" dxfId="829" priority="798">
      <formula>$F37="SAV Sicli"</formula>
    </cfRule>
    <cfRule type="expression" dxfId="828" priority="799">
      <formula>$F37="SAV Chubb"</formula>
    </cfRule>
    <cfRule type="expression" dxfId="827" priority="800">
      <formula>$F37="Réalisation"</formula>
    </cfRule>
    <cfRule type="expression" dxfId="826" priority="801">
      <formula>$F37="Désenfumage"</formula>
    </cfRule>
    <cfRule type="expression" dxfId="825" priority="802">
      <formula>$F37="Administratif"</formula>
    </cfRule>
  </conditionalFormatting>
  <conditionalFormatting sqref="D37">
    <cfRule type="expression" dxfId="824" priority="793">
      <formula>$H37="non"</formula>
    </cfRule>
  </conditionalFormatting>
  <conditionalFormatting sqref="D37">
    <cfRule type="expression" dxfId="823" priority="784">
      <formula>$F37="Formation CCF"</formula>
    </cfRule>
    <cfRule type="expression" dxfId="822" priority="785">
      <formula>$F37="Direction"</formula>
    </cfRule>
    <cfRule type="expression" dxfId="821" priority="786">
      <formula>$F37="Ventes Sicli"</formula>
    </cfRule>
    <cfRule type="expression" dxfId="820" priority="787">
      <formula>$F37="Ventes Chubb"</formula>
    </cfRule>
    <cfRule type="expression" dxfId="819" priority="788">
      <formula>$F37="SAV Sicli"</formula>
    </cfRule>
    <cfRule type="expression" dxfId="818" priority="789">
      <formula>$F37="SAV Chubb"</formula>
    </cfRule>
    <cfRule type="expression" dxfId="817" priority="790">
      <formula>$F37="Réalisation"</formula>
    </cfRule>
    <cfRule type="expression" dxfId="816" priority="791">
      <formula>$F37="Désenfumage"</formula>
    </cfRule>
    <cfRule type="expression" dxfId="815" priority="792">
      <formula>$F37="Administratif"</formula>
    </cfRule>
  </conditionalFormatting>
  <conditionalFormatting sqref="D37">
    <cfRule type="expression" dxfId="814" priority="783">
      <formula>$H37="non"</formula>
    </cfRule>
  </conditionalFormatting>
  <conditionalFormatting sqref="D37">
    <cfRule type="expression" dxfId="813" priority="774">
      <formula>$F37="Formation CCF"</formula>
    </cfRule>
    <cfRule type="expression" dxfId="812" priority="775">
      <formula>$F37="Direction"</formula>
    </cfRule>
    <cfRule type="expression" dxfId="811" priority="776">
      <formula>$F37="Ventes Sicli"</formula>
    </cfRule>
    <cfRule type="expression" dxfId="810" priority="777">
      <formula>$F37="Ventes Chubb"</formula>
    </cfRule>
    <cfRule type="expression" dxfId="809" priority="778">
      <formula>$F37="SAV Sicli"</formula>
    </cfRule>
    <cfRule type="expression" dxfId="808" priority="779">
      <formula>$F37="SAV Chubb"</formula>
    </cfRule>
    <cfRule type="expression" dxfId="807" priority="780">
      <formula>$F37="Réalisation"</formula>
    </cfRule>
    <cfRule type="expression" dxfId="806" priority="781">
      <formula>$F37="Désenfumage"</formula>
    </cfRule>
    <cfRule type="expression" dxfId="805" priority="782">
      <formula>$F37="Administratif"</formula>
    </cfRule>
  </conditionalFormatting>
  <conditionalFormatting sqref="D37">
    <cfRule type="expression" dxfId="804" priority="773">
      <formula>$H37="non"</formula>
    </cfRule>
  </conditionalFormatting>
  <conditionalFormatting sqref="D37">
    <cfRule type="expression" dxfId="803" priority="764">
      <formula>$F37="Formation CCF"</formula>
    </cfRule>
    <cfRule type="expression" dxfId="802" priority="765">
      <formula>$F37="Direction"</formula>
    </cfRule>
    <cfRule type="expression" dxfId="801" priority="766">
      <formula>$F37="Ventes Sicli"</formula>
    </cfRule>
    <cfRule type="expression" dxfId="800" priority="767">
      <formula>$F37="Ventes Chubb"</formula>
    </cfRule>
    <cfRule type="expression" dxfId="799" priority="768">
      <formula>$F37="SAV Sicli"</formula>
    </cfRule>
    <cfRule type="expression" dxfId="798" priority="769">
      <formula>$F37="SAV Chubb"</formula>
    </cfRule>
    <cfRule type="expression" dxfId="797" priority="770">
      <formula>$F37="Réalisation"</formula>
    </cfRule>
    <cfRule type="expression" dxfId="796" priority="771">
      <formula>$F37="Désenfumage"</formula>
    </cfRule>
    <cfRule type="expression" dxfId="795" priority="772">
      <formula>$F37="Administratif"</formula>
    </cfRule>
  </conditionalFormatting>
  <conditionalFormatting sqref="D37">
    <cfRule type="expression" dxfId="794" priority="763">
      <formula>$H37="non"</formula>
    </cfRule>
  </conditionalFormatting>
  <conditionalFormatting sqref="D37">
    <cfRule type="expression" dxfId="793" priority="754">
      <formula>$F37="Formation CCF"</formula>
    </cfRule>
    <cfRule type="expression" dxfId="792" priority="755">
      <formula>$F37="Direction"</formula>
    </cfRule>
    <cfRule type="expression" dxfId="791" priority="756">
      <formula>$F37="Ventes Sicli"</formula>
    </cfRule>
    <cfRule type="expression" dxfId="790" priority="757">
      <formula>$F37="Ventes Chubb"</formula>
    </cfRule>
    <cfRule type="expression" dxfId="789" priority="758">
      <formula>$F37="SAV Sicli"</formula>
    </cfRule>
    <cfRule type="expression" dxfId="788" priority="759">
      <formula>$F37="SAV Chubb"</formula>
    </cfRule>
    <cfRule type="expression" dxfId="787" priority="760">
      <formula>$F37="Réalisation"</formula>
    </cfRule>
    <cfRule type="expression" dxfId="786" priority="761">
      <formula>$F37="Désenfumage"</formula>
    </cfRule>
    <cfRule type="expression" dxfId="785" priority="762">
      <formula>$F37="Administratif"</formula>
    </cfRule>
  </conditionalFormatting>
  <conditionalFormatting sqref="D37">
    <cfRule type="expression" dxfId="784" priority="753">
      <formula>$H37="non"</formula>
    </cfRule>
  </conditionalFormatting>
  <conditionalFormatting sqref="D37">
    <cfRule type="expression" dxfId="783" priority="744">
      <formula>$F37="Formation CCF"</formula>
    </cfRule>
    <cfRule type="expression" dxfId="782" priority="745">
      <formula>$F37="Direction"</formula>
    </cfRule>
    <cfRule type="expression" dxfId="781" priority="746">
      <formula>$F37="Ventes Sicli"</formula>
    </cfRule>
    <cfRule type="expression" dxfId="780" priority="747">
      <formula>$F37="Ventes Chubb"</formula>
    </cfRule>
    <cfRule type="expression" dxfId="779" priority="748">
      <formula>$F37="SAV Sicli"</formula>
    </cfRule>
    <cfRule type="expression" dxfId="778" priority="749">
      <formula>$F37="SAV Chubb"</formula>
    </cfRule>
    <cfRule type="expression" dxfId="777" priority="750">
      <formula>$F37="Réalisation"</formula>
    </cfRule>
    <cfRule type="expression" dxfId="776" priority="751">
      <formula>$F37="Désenfumage"</formula>
    </cfRule>
    <cfRule type="expression" dxfId="775" priority="752">
      <formula>$F37="Administratif"</formula>
    </cfRule>
  </conditionalFormatting>
  <conditionalFormatting sqref="D37">
    <cfRule type="expression" dxfId="774" priority="743">
      <formula>$H37="non"</formula>
    </cfRule>
  </conditionalFormatting>
  <conditionalFormatting sqref="D37">
    <cfRule type="expression" dxfId="773" priority="734">
      <formula>$F37="Formation CCF"</formula>
    </cfRule>
    <cfRule type="expression" dxfId="772" priority="735">
      <formula>$F37="Direction"</formula>
    </cfRule>
    <cfRule type="expression" dxfId="771" priority="736">
      <formula>$F37="Ventes Sicli"</formula>
    </cfRule>
    <cfRule type="expression" dxfId="770" priority="737">
      <formula>$F37="Ventes Chubb"</formula>
    </cfRule>
    <cfRule type="expression" dxfId="769" priority="738">
      <formula>$F37="SAV Sicli"</formula>
    </cfRule>
    <cfRule type="expression" dxfId="768" priority="739">
      <formula>$F37="SAV Chubb"</formula>
    </cfRule>
    <cfRule type="expression" dxfId="767" priority="740">
      <formula>$F37="Réalisation"</formula>
    </cfRule>
    <cfRule type="expression" dxfId="766" priority="741">
      <formula>$F37="Désenfumage"</formula>
    </cfRule>
    <cfRule type="expression" dxfId="765" priority="742">
      <formula>$F37="Administratif"</formula>
    </cfRule>
  </conditionalFormatting>
  <conditionalFormatting sqref="D37">
    <cfRule type="expression" dxfId="764" priority="733">
      <formula>$H37="non"</formula>
    </cfRule>
  </conditionalFormatting>
  <conditionalFormatting sqref="C37:D37">
    <cfRule type="expression" dxfId="763" priority="724">
      <formula>$F37="Formation CCF"</formula>
    </cfRule>
    <cfRule type="expression" dxfId="762" priority="725">
      <formula>$F37="Direction"</formula>
    </cfRule>
    <cfRule type="expression" dxfId="761" priority="726">
      <formula>$F37="Ventes Sicli"</formula>
    </cfRule>
    <cfRule type="expression" dxfId="760" priority="727">
      <formula>$F37="Ventes Chubb"</formula>
    </cfRule>
    <cfRule type="expression" dxfId="759" priority="728">
      <formula>$F37="SAV Sicli"</formula>
    </cfRule>
    <cfRule type="expression" dxfId="758" priority="729">
      <formula>$F37="SAV Chubb"</formula>
    </cfRule>
    <cfRule type="expression" dxfId="757" priority="730">
      <formula>$F37="Réalisation"</formula>
    </cfRule>
    <cfRule type="expression" dxfId="756" priority="731">
      <formula>$F37="Désenfumage"</formula>
    </cfRule>
    <cfRule type="expression" dxfId="755" priority="732">
      <formula>$F37="Administratif"</formula>
    </cfRule>
  </conditionalFormatting>
  <conditionalFormatting sqref="C37:D37">
    <cfRule type="expression" dxfId="754" priority="723">
      <formula>$H37="non"</formula>
    </cfRule>
  </conditionalFormatting>
  <conditionalFormatting sqref="C37">
    <cfRule type="expression" dxfId="753" priority="714">
      <formula>$F37="Formation CCF"</formula>
    </cfRule>
    <cfRule type="expression" dxfId="752" priority="715">
      <formula>$F37="Direction"</formula>
    </cfRule>
    <cfRule type="expression" dxfId="751" priority="716">
      <formula>$F37="Ventes Sicli"</formula>
    </cfRule>
    <cfRule type="expression" dxfId="750" priority="717">
      <formula>$F37="Ventes Chubb"</formula>
    </cfRule>
    <cfRule type="expression" dxfId="749" priority="718">
      <formula>$F37="SAV Sicli"</formula>
    </cfRule>
    <cfRule type="expression" dxfId="748" priority="719">
      <formula>$F37="SAV Chubb"</formula>
    </cfRule>
    <cfRule type="expression" dxfId="747" priority="720">
      <formula>$F37="Réalisation"</formula>
    </cfRule>
    <cfRule type="expression" dxfId="746" priority="721">
      <formula>$F37="Désenfumage"</formula>
    </cfRule>
    <cfRule type="expression" dxfId="745" priority="722">
      <formula>$F37="Administratif"</formula>
    </cfRule>
  </conditionalFormatting>
  <conditionalFormatting sqref="C37">
    <cfRule type="expression" dxfId="744" priority="713">
      <formula>$H37="non"</formula>
    </cfRule>
  </conditionalFormatting>
  <conditionalFormatting sqref="D37">
    <cfRule type="expression" dxfId="743" priority="704">
      <formula>$F37="Formation CCF"</formula>
    </cfRule>
    <cfRule type="expression" dxfId="742" priority="705">
      <formula>$F37="Direction"</formula>
    </cfRule>
    <cfRule type="expression" dxfId="741" priority="706">
      <formula>$F37="Ventes Sicli"</formula>
    </cfRule>
    <cfRule type="expression" dxfId="740" priority="707">
      <formula>$F37="Ventes Chubb"</formula>
    </cfRule>
    <cfRule type="expression" dxfId="739" priority="708">
      <formula>$F37="SAV Sicli"</formula>
    </cfRule>
    <cfRule type="expression" dxfId="738" priority="709">
      <formula>$F37="SAV Chubb"</formula>
    </cfRule>
    <cfRule type="expression" dxfId="737" priority="710">
      <formula>$F37="Réalisation"</formula>
    </cfRule>
    <cfRule type="expression" dxfId="736" priority="711">
      <formula>$F37="Désenfumage"</formula>
    </cfRule>
    <cfRule type="expression" dxfId="735" priority="712">
      <formula>$F37="Administratif"</formula>
    </cfRule>
  </conditionalFormatting>
  <conditionalFormatting sqref="D37">
    <cfRule type="expression" dxfId="734" priority="703">
      <formula>$H37="non"</formula>
    </cfRule>
  </conditionalFormatting>
  <conditionalFormatting sqref="D37">
    <cfRule type="expression" dxfId="733" priority="694">
      <formula>$F37="Formation CCF"</formula>
    </cfRule>
    <cfRule type="expression" dxfId="732" priority="695">
      <formula>$F37="Direction"</formula>
    </cfRule>
    <cfRule type="expression" dxfId="731" priority="696">
      <formula>$F37="Ventes Sicli"</formula>
    </cfRule>
    <cfRule type="expression" dxfId="730" priority="697">
      <formula>$F37="Ventes Chubb"</formula>
    </cfRule>
    <cfRule type="expression" dxfId="729" priority="698">
      <formula>$F37="SAV Sicli"</formula>
    </cfRule>
    <cfRule type="expression" dxfId="728" priority="699">
      <formula>$F37="SAV Chubb"</formula>
    </cfRule>
    <cfRule type="expression" dxfId="727" priority="700">
      <formula>$F37="Réalisation"</formula>
    </cfRule>
    <cfRule type="expression" dxfId="726" priority="701">
      <formula>$F37="Désenfumage"</formula>
    </cfRule>
    <cfRule type="expression" dxfId="725" priority="702">
      <formula>$F37="Administratif"</formula>
    </cfRule>
  </conditionalFormatting>
  <conditionalFormatting sqref="D37">
    <cfRule type="expression" dxfId="724" priority="693">
      <formula>$H37="non"</formula>
    </cfRule>
  </conditionalFormatting>
  <conditionalFormatting sqref="D37">
    <cfRule type="expression" dxfId="723" priority="684">
      <formula>$F37="Formation CCF"</formula>
    </cfRule>
    <cfRule type="expression" dxfId="722" priority="685">
      <formula>$F37="Direction"</formula>
    </cfRule>
    <cfRule type="expression" dxfId="721" priority="686">
      <formula>$F37="Ventes Sicli"</formula>
    </cfRule>
    <cfRule type="expression" dxfId="720" priority="687">
      <formula>$F37="Ventes Chubb"</formula>
    </cfRule>
    <cfRule type="expression" dxfId="719" priority="688">
      <formula>$F37="SAV Sicli"</formula>
    </cfRule>
    <cfRule type="expression" dxfId="718" priority="689">
      <formula>$F37="SAV Chubb"</formula>
    </cfRule>
    <cfRule type="expression" dxfId="717" priority="690">
      <formula>$F37="Réalisation"</formula>
    </cfRule>
    <cfRule type="expression" dxfId="716" priority="691">
      <formula>$F37="Désenfumage"</formula>
    </cfRule>
    <cfRule type="expression" dxfId="715" priority="692">
      <formula>$F37="Administratif"</formula>
    </cfRule>
  </conditionalFormatting>
  <conditionalFormatting sqref="D37">
    <cfRule type="expression" dxfId="714" priority="683">
      <formula>$H37="non"</formula>
    </cfRule>
  </conditionalFormatting>
  <conditionalFormatting sqref="D37">
    <cfRule type="expression" dxfId="713" priority="674">
      <formula>$F37="Formation CCF"</formula>
    </cfRule>
    <cfRule type="expression" dxfId="712" priority="675">
      <formula>$F37="Direction"</formula>
    </cfRule>
    <cfRule type="expression" dxfId="711" priority="676">
      <formula>$F37="Ventes Sicli"</formula>
    </cfRule>
    <cfRule type="expression" dxfId="710" priority="677">
      <formula>$F37="Ventes Chubb"</formula>
    </cfRule>
    <cfRule type="expression" dxfId="709" priority="678">
      <formula>$F37="SAV Sicli"</formula>
    </cfRule>
    <cfRule type="expression" dxfId="708" priority="679">
      <formula>$F37="SAV Chubb"</formula>
    </cfRule>
    <cfRule type="expression" dxfId="707" priority="680">
      <formula>$F37="Réalisation"</formula>
    </cfRule>
    <cfRule type="expression" dxfId="706" priority="681">
      <formula>$F37="Désenfumage"</formula>
    </cfRule>
    <cfRule type="expression" dxfId="705" priority="682">
      <formula>$F37="Administratif"</formula>
    </cfRule>
  </conditionalFormatting>
  <conditionalFormatting sqref="D37">
    <cfRule type="expression" dxfId="704" priority="673">
      <formula>$H37="non"</formula>
    </cfRule>
  </conditionalFormatting>
  <conditionalFormatting sqref="D37">
    <cfRule type="expression" dxfId="703" priority="664">
      <formula>$F37="Formation CCF"</formula>
    </cfRule>
    <cfRule type="expression" dxfId="702" priority="665">
      <formula>$F37="Direction"</formula>
    </cfRule>
    <cfRule type="expression" dxfId="701" priority="666">
      <formula>$F37="Ventes Sicli"</formula>
    </cfRule>
    <cfRule type="expression" dxfId="700" priority="667">
      <formula>$F37="Ventes Chubb"</formula>
    </cfRule>
    <cfRule type="expression" dxfId="699" priority="668">
      <formula>$F37="SAV Sicli"</formula>
    </cfRule>
    <cfRule type="expression" dxfId="698" priority="669">
      <formula>$F37="SAV Chubb"</formula>
    </cfRule>
    <cfRule type="expression" dxfId="697" priority="670">
      <formula>$F37="Réalisation"</formula>
    </cfRule>
    <cfRule type="expression" dxfId="696" priority="671">
      <formula>$F37="Désenfumage"</formula>
    </cfRule>
    <cfRule type="expression" dxfId="695" priority="672">
      <formula>$F37="Administratif"</formula>
    </cfRule>
  </conditionalFormatting>
  <conditionalFormatting sqref="D37">
    <cfRule type="expression" dxfId="694" priority="663">
      <formula>$H37="non"</formula>
    </cfRule>
  </conditionalFormatting>
  <conditionalFormatting sqref="D37">
    <cfRule type="expression" dxfId="693" priority="654">
      <formula>$F37="Formation CCF"</formula>
    </cfRule>
    <cfRule type="expression" dxfId="692" priority="655">
      <formula>$F37="Direction"</formula>
    </cfRule>
    <cfRule type="expression" dxfId="691" priority="656">
      <formula>$F37="Ventes Sicli"</formula>
    </cfRule>
    <cfRule type="expression" dxfId="690" priority="657">
      <formula>$F37="Ventes Chubb"</formula>
    </cfRule>
    <cfRule type="expression" dxfId="689" priority="658">
      <formula>$F37="SAV Sicli"</formula>
    </cfRule>
    <cfRule type="expression" dxfId="688" priority="659">
      <formula>$F37="SAV Chubb"</formula>
    </cfRule>
    <cfRule type="expression" dxfId="687" priority="660">
      <formula>$F37="Réalisation"</formula>
    </cfRule>
    <cfRule type="expression" dxfId="686" priority="661">
      <formula>$F37="Désenfumage"</formula>
    </cfRule>
    <cfRule type="expression" dxfId="685" priority="662">
      <formula>$F37="Administratif"</formula>
    </cfRule>
  </conditionalFormatting>
  <conditionalFormatting sqref="D37">
    <cfRule type="expression" dxfId="684" priority="653">
      <formula>$H37="non"</formula>
    </cfRule>
  </conditionalFormatting>
  <conditionalFormatting sqref="D37">
    <cfRule type="expression" dxfId="683" priority="644">
      <formula>$F37="Formation CCF"</formula>
    </cfRule>
    <cfRule type="expression" dxfId="682" priority="645">
      <formula>$F37="Direction"</formula>
    </cfRule>
    <cfRule type="expression" dxfId="681" priority="646">
      <formula>$F37="Ventes Sicli"</formula>
    </cfRule>
    <cfRule type="expression" dxfId="680" priority="647">
      <formula>$F37="Ventes Chubb"</formula>
    </cfRule>
    <cfRule type="expression" dxfId="679" priority="648">
      <formula>$F37="SAV Sicli"</formula>
    </cfRule>
    <cfRule type="expression" dxfId="678" priority="649">
      <formula>$F37="SAV Chubb"</formula>
    </cfRule>
    <cfRule type="expression" dxfId="677" priority="650">
      <formula>$F37="Réalisation"</formula>
    </cfRule>
    <cfRule type="expression" dxfId="676" priority="651">
      <formula>$F37="Désenfumage"</formula>
    </cfRule>
    <cfRule type="expression" dxfId="675" priority="652">
      <formula>$F37="Administratif"</formula>
    </cfRule>
  </conditionalFormatting>
  <conditionalFormatting sqref="D37">
    <cfRule type="expression" dxfId="674" priority="643">
      <formula>$H37="non"</formula>
    </cfRule>
  </conditionalFormatting>
  <conditionalFormatting sqref="D37">
    <cfRule type="expression" dxfId="673" priority="634">
      <formula>$F37="Formation CCF"</formula>
    </cfRule>
    <cfRule type="expression" dxfId="672" priority="635">
      <formula>$F37="Direction"</formula>
    </cfRule>
    <cfRule type="expression" dxfId="671" priority="636">
      <formula>$F37="Ventes Sicli"</formula>
    </cfRule>
    <cfRule type="expression" dxfId="670" priority="637">
      <formula>$F37="Ventes Chubb"</formula>
    </cfRule>
    <cfRule type="expression" dxfId="669" priority="638">
      <formula>$F37="SAV Sicli"</formula>
    </cfRule>
    <cfRule type="expression" dxfId="668" priority="639">
      <formula>$F37="SAV Chubb"</formula>
    </cfRule>
    <cfRule type="expression" dxfId="667" priority="640">
      <formula>$F37="Réalisation"</formula>
    </cfRule>
    <cfRule type="expression" dxfId="666" priority="641">
      <formula>$F37="Désenfumage"</formula>
    </cfRule>
    <cfRule type="expression" dxfId="665" priority="642">
      <formula>$F37="Administratif"</formula>
    </cfRule>
  </conditionalFormatting>
  <conditionalFormatting sqref="D37">
    <cfRule type="expression" dxfId="664" priority="633">
      <formula>$H37="non"</formula>
    </cfRule>
  </conditionalFormatting>
  <conditionalFormatting sqref="D37">
    <cfRule type="expression" dxfId="663" priority="624">
      <formula>$F37="Formation CCF"</formula>
    </cfRule>
    <cfRule type="expression" dxfId="662" priority="625">
      <formula>$F37="Direction"</formula>
    </cfRule>
    <cfRule type="expression" dxfId="661" priority="626">
      <formula>$F37="Ventes Sicli"</formula>
    </cfRule>
    <cfRule type="expression" dxfId="660" priority="627">
      <formula>$F37="Ventes Chubb"</formula>
    </cfRule>
    <cfRule type="expression" dxfId="659" priority="628">
      <formula>$F37="SAV Sicli"</formula>
    </cfRule>
    <cfRule type="expression" dxfId="658" priority="629">
      <formula>$F37="SAV Chubb"</formula>
    </cfRule>
    <cfRule type="expression" dxfId="657" priority="630">
      <formula>$F37="Réalisation"</formula>
    </cfRule>
    <cfRule type="expression" dxfId="656" priority="631">
      <formula>$F37="Désenfumage"</formula>
    </cfRule>
    <cfRule type="expression" dxfId="655" priority="632">
      <formula>$F37="Administratif"</formula>
    </cfRule>
  </conditionalFormatting>
  <conditionalFormatting sqref="D37">
    <cfRule type="expression" dxfId="654" priority="623">
      <formula>$H37="non"</formula>
    </cfRule>
  </conditionalFormatting>
  <conditionalFormatting sqref="D37">
    <cfRule type="expression" dxfId="653" priority="614">
      <formula>$F37="Formation CCF"</formula>
    </cfRule>
    <cfRule type="expression" dxfId="652" priority="615">
      <formula>$F37="Direction"</formula>
    </cfRule>
    <cfRule type="expression" dxfId="651" priority="616">
      <formula>$F37="Ventes Sicli"</formula>
    </cfRule>
    <cfRule type="expression" dxfId="650" priority="617">
      <formula>$F37="Ventes Chubb"</formula>
    </cfRule>
    <cfRule type="expression" dxfId="649" priority="618">
      <formula>$F37="SAV Sicli"</formula>
    </cfRule>
    <cfRule type="expression" dxfId="648" priority="619">
      <formula>$F37="SAV Chubb"</formula>
    </cfRule>
    <cfRule type="expression" dxfId="647" priority="620">
      <formula>$F37="Réalisation"</formula>
    </cfRule>
    <cfRule type="expression" dxfId="646" priority="621">
      <formula>$F37="Désenfumage"</formula>
    </cfRule>
    <cfRule type="expression" dxfId="645" priority="622">
      <formula>$F37="Administratif"</formula>
    </cfRule>
  </conditionalFormatting>
  <conditionalFormatting sqref="D37">
    <cfRule type="expression" dxfId="644" priority="613">
      <formula>$H37="non"</formula>
    </cfRule>
  </conditionalFormatting>
  <conditionalFormatting sqref="A37">
    <cfRule type="expression" dxfId="643" priority="612">
      <formula>$F37="Administratif"</formula>
    </cfRule>
  </conditionalFormatting>
  <conditionalFormatting sqref="A37">
    <cfRule type="expression" dxfId="642" priority="603">
      <formula>$H37="non"</formula>
    </cfRule>
    <cfRule type="expression" dxfId="641" priority="608">
      <formula>$F37="SAV Sicli"</formula>
    </cfRule>
  </conditionalFormatting>
  <conditionalFormatting sqref="A37">
    <cfRule type="expression" dxfId="640" priority="605">
      <formula>$F37="Direction"</formula>
    </cfRule>
  </conditionalFormatting>
  <conditionalFormatting sqref="A37">
    <cfRule type="expression" dxfId="639" priority="604">
      <formula>$F37="Formation CCF"</formula>
    </cfRule>
  </conditionalFormatting>
  <conditionalFormatting sqref="A37">
    <cfRule type="expression" dxfId="638" priority="606">
      <formula>$F37="Ventes Sicli"</formula>
    </cfRule>
    <cfRule type="expression" dxfId="637" priority="609">
      <formula>$F37="SAV Chubb"</formula>
    </cfRule>
  </conditionalFormatting>
  <conditionalFormatting sqref="A37">
    <cfRule type="expression" dxfId="636" priority="607">
      <formula>$F37="Ventes Chubb"</formula>
    </cfRule>
  </conditionalFormatting>
  <conditionalFormatting sqref="A37">
    <cfRule type="expression" dxfId="635" priority="610">
      <formula>$F37="Réalisation"</formula>
    </cfRule>
  </conditionalFormatting>
  <conditionalFormatting sqref="A37">
    <cfRule type="expression" dxfId="634" priority="611">
      <formula>$F37="Désenfumage"</formula>
    </cfRule>
  </conditionalFormatting>
  <conditionalFormatting sqref="AT45:AY45">
    <cfRule type="expression" dxfId="633" priority="602">
      <formula>$E$3="Non"</formula>
    </cfRule>
  </conditionalFormatting>
  <conditionalFormatting sqref="AO45:AR45">
    <cfRule type="expression" dxfId="632" priority="601">
      <formula>$E$4="Non"</formula>
    </cfRule>
  </conditionalFormatting>
  <conditionalFormatting sqref="I45:K45 N45:Q45">
    <cfRule type="expression" dxfId="631" priority="600">
      <formula>$L45="NA"</formula>
    </cfRule>
  </conditionalFormatting>
  <conditionalFormatting sqref="X45:AA45">
    <cfRule type="expression" dxfId="630" priority="599">
      <formula>$V45="NA"</formula>
    </cfRule>
  </conditionalFormatting>
  <conditionalFormatting sqref="AE45:AH45">
    <cfRule type="expression" dxfId="629" priority="598">
      <formula>$AC45="NA"</formula>
    </cfRule>
  </conditionalFormatting>
  <conditionalFormatting sqref="S45:U45">
    <cfRule type="expression" dxfId="628" priority="597">
      <formula>$S45="NA"</formula>
    </cfRule>
  </conditionalFormatting>
  <conditionalFormatting sqref="E45:H45 A45">
    <cfRule type="expression" dxfId="627" priority="596">
      <formula>$F45="Administratif"</formula>
    </cfRule>
  </conditionalFormatting>
  <conditionalFormatting sqref="E45:H45 A45">
    <cfRule type="expression" dxfId="626" priority="587">
      <formula>$H45="non"</formula>
    </cfRule>
    <cfRule type="expression" dxfId="625" priority="592">
      <formula>$F45="SAV Sicli"</formula>
    </cfRule>
  </conditionalFormatting>
  <conditionalFormatting sqref="E45:H45 A45">
    <cfRule type="expression" dxfId="624" priority="589">
      <formula>$F45="Direction"</formula>
    </cfRule>
  </conditionalFormatting>
  <conditionalFormatting sqref="E45:H45 A45">
    <cfRule type="expression" dxfId="623" priority="588">
      <formula>$F45="Formation CCF"</formula>
    </cfRule>
  </conditionalFormatting>
  <conditionalFormatting sqref="E45:H45 A45">
    <cfRule type="expression" dxfId="622" priority="590">
      <formula>$F45="Ventes Sicli"</formula>
    </cfRule>
    <cfRule type="expression" dxfId="621" priority="593">
      <formula>$F45="SAV Chubb"</formula>
    </cfRule>
  </conditionalFormatting>
  <conditionalFormatting sqref="E45:H45 A45">
    <cfRule type="expression" dxfId="620" priority="591">
      <formula>$F45="Ventes Chubb"</formula>
    </cfRule>
  </conditionalFormatting>
  <conditionalFormatting sqref="E45:H45 A45">
    <cfRule type="expression" dxfId="619" priority="594">
      <formula>$F45="Réalisation"</formula>
    </cfRule>
  </conditionalFormatting>
  <conditionalFormatting sqref="E45:H45 A45">
    <cfRule type="expression" dxfId="618" priority="595">
      <formula>$F45="Désenfumage"</formula>
    </cfRule>
  </conditionalFormatting>
  <conditionalFormatting sqref="C45:D45">
    <cfRule type="expression" dxfId="617" priority="578">
      <formula>$F45="Formation CCF"</formula>
    </cfRule>
    <cfRule type="expression" dxfId="616" priority="579">
      <formula>$F45="Direction"</formula>
    </cfRule>
    <cfRule type="expression" dxfId="615" priority="580">
      <formula>$F45="Ventes Sicli"</formula>
    </cfRule>
    <cfRule type="expression" dxfId="614" priority="581">
      <formula>$F45="Ventes Chubb"</formula>
    </cfRule>
    <cfRule type="expression" dxfId="613" priority="582">
      <formula>$F45="SAV Sicli"</formula>
    </cfRule>
    <cfRule type="expression" dxfId="612" priority="583">
      <formula>$F45="SAV Chubb"</formula>
    </cfRule>
    <cfRule type="expression" dxfId="611" priority="584">
      <formula>$F45="Réalisation"</formula>
    </cfRule>
    <cfRule type="expression" dxfId="610" priority="585">
      <formula>$F45="Désenfumage"</formula>
    </cfRule>
    <cfRule type="expression" dxfId="609" priority="586">
      <formula>$F45="Administratif"</formula>
    </cfRule>
  </conditionalFormatting>
  <conditionalFormatting sqref="C45:D45">
    <cfRule type="expression" dxfId="608" priority="577">
      <formula>$H45="non"</formula>
    </cfRule>
  </conditionalFormatting>
  <conditionalFormatting sqref="D45">
    <cfRule type="expression" dxfId="607" priority="568">
      <formula>$F45="Formation CCF"</formula>
    </cfRule>
    <cfRule type="expression" dxfId="606" priority="569">
      <formula>$F45="Direction"</formula>
    </cfRule>
    <cfRule type="expression" dxfId="605" priority="570">
      <formula>$F45="Ventes Sicli"</formula>
    </cfRule>
    <cfRule type="expression" dxfId="604" priority="571">
      <formula>$F45="Ventes Chubb"</formula>
    </cfRule>
    <cfRule type="expression" dxfId="603" priority="572">
      <formula>$F45="SAV Sicli"</formula>
    </cfRule>
    <cfRule type="expression" dxfId="602" priority="573">
      <formula>$F45="SAV Chubb"</formula>
    </cfRule>
    <cfRule type="expression" dxfId="601" priority="574">
      <formula>$F45="Réalisation"</formula>
    </cfRule>
    <cfRule type="expression" dxfId="600" priority="575">
      <formula>$F45="Désenfumage"</formula>
    </cfRule>
    <cfRule type="expression" dxfId="599" priority="576">
      <formula>$F45="Administratif"</formula>
    </cfRule>
  </conditionalFormatting>
  <conditionalFormatting sqref="D45">
    <cfRule type="expression" dxfId="598" priority="567">
      <formula>$H45="non"</formula>
    </cfRule>
  </conditionalFormatting>
  <conditionalFormatting sqref="D45">
    <cfRule type="expression" dxfId="597" priority="558">
      <formula>$F45="Formation CCF"</formula>
    </cfRule>
    <cfRule type="expression" dxfId="596" priority="559">
      <formula>$F45="Direction"</formula>
    </cfRule>
    <cfRule type="expression" dxfId="595" priority="560">
      <formula>$F45="Ventes Sicli"</formula>
    </cfRule>
    <cfRule type="expression" dxfId="594" priority="561">
      <formula>$F45="Ventes Chubb"</formula>
    </cfRule>
    <cfRule type="expression" dxfId="593" priority="562">
      <formula>$F45="SAV Sicli"</formula>
    </cfRule>
    <cfRule type="expression" dxfId="592" priority="563">
      <formula>$F45="SAV Chubb"</formula>
    </cfRule>
    <cfRule type="expression" dxfId="591" priority="564">
      <formula>$F45="Réalisation"</formula>
    </cfRule>
    <cfRule type="expression" dxfId="590" priority="565">
      <formula>$F45="Désenfumage"</formula>
    </cfRule>
    <cfRule type="expression" dxfId="589" priority="566">
      <formula>$F45="Administratif"</formula>
    </cfRule>
  </conditionalFormatting>
  <conditionalFormatting sqref="D45">
    <cfRule type="expression" dxfId="588" priority="557">
      <formula>$H45="non"</formula>
    </cfRule>
  </conditionalFormatting>
  <conditionalFormatting sqref="D45">
    <cfRule type="expression" dxfId="587" priority="548">
      <formula>$F45="Formation CCF"</formula>
    </cfRule>
    <cfRule type="expression" dxfId="586" priority="549">
      <formula>$F45="Direction"</formula>
    </cfRule>
    <cfRule type="expression" dxfId="585" priority="550">
      <formula>$F45="Ventes Sicli"</formula>
    </cfRule>
    <cfRule type="expression" dxfId="584" priority="551">
      <formula>$F45="Ventes Chubb"</formula>
    </cfRule>
    <cfRule type="expression" dxfId="583" priority="552">
      <formula>$F45="SAV Sicli"</formula>
    </cfRule>
    <cfRule type="expression" dxfId="582" priority="553">
      <formula>$F45="SAV Chubb"</formula>
    </cfRule>
    <cfRule type="expression" dxfId="581" priority="554">
      <formula>$F45="Réalisation"</formula>
    </cfRule>
    <cfRule type="expression" dxfId="580" priority="555">
      <formula>$F45="Désenfumage"</formula>
    </cfRule>
    <cfRule type="expression" dxfId="579" priority="556">
      <formula>$F45="Administratif"</formula>
    </cfRule>
  </conditionalFormatting>
  <conditionalFormatting sqref="D45">
    <cfRule type="expression" dxfId="578" priority="547">
      <formula>$H45="non"</formula>
    </cfRule>
  </conditionalFormatting>
  <conditionalFormatting sqref="D45">
    <cfRule type="expression" dxfId="577" priority="538">
      <formula>$F45="Formation CCF"</formula>
    </cfRule>
    <cfRule type="expression" dxfId="576" priority="539">
      <formula>$F45="Direction"</formula>
    </cfRule>
    <cfRule type="expression" dxfId="575" priority="540">
      <formula>$F45="Ventes Sicli"</formula>
    </cfRule>
    <cfRule type="expression" dxfId="574" priority="541">
      <formula>$F45="Ventes Chubb"</formula>
    </cfRule>
    <cfRule type="expression" dxfId="573" priority="542">
      <formula>$F45="SAV Sicli"</formula>
    </cfRule>
    <cfRule type="expression" dxfId="572" priority="543">
      <formula>$F45="SAV Chubb"</formula>
    </cfRule>
    <cfRule type="expression" dxfId="571" priority="544">
      <formula>$F45="Réalisation"</formula>
    </cfRule>
    <cfRule type="expression" dxfId="570" priority="545">
      <formula>$F45="Désenfumage"</formula>
    </cfRule>
    <cfRule type="expression" dxfId="569" priority="546">
      <formula>$F45="Administratif"</formula>
    </cfRule>
  </conditionalFormatting>
  <conditionalFormatting sqref="D45">
    <cfRule type="expression" dxfId="568" priority="537">
      <formula>$H45="non"</formula>
    </cfRule>
  </conditionalFormatting>
  <conditionalFormatting sqref="D45">
    <cfRule type="expression" dxfId="567" priority="528">
      <formula>$F45="Formation CCF"</formula>
    </cfRule>
    <cfRule type="expression" dxfId="566" priority="529">
      <formula>$F45="Direction"</formula>
    </cfRule>
    <cfRule type="expression" dxfId="565" priority="530">
      <formula>$F45="Ventes Sicli"</formula>
    </cfRule>
    <cfRule type="expression" dxfId="564" priority="531">
      <formula>$F45="Ventes Chubb"</formula>
    </cfRule>
    <cfRule type="expression" dxfId="563" priority="532">
      <formula>$F45="SAV Sicli"</formula>
    </cfRule>
    <cfRule type="expression" dxfId="562" priority="533">
      <formula>$F45="SAV Chubb"</formula>
    </cfRule>
    <cfRule type="expression" dxfId="561" priority="534">
      <formula>$F45="Réalisation"</formula>
    </cfRule>
    <cfRule type="expression" dxfId="560" priority="535">
      <formula>$F45="Désenfumage"</formula>
    </cfRule>
    <cfRule type="expression" dxfId="559" priority="536">
      <formula>$F45="Administratif"</formula>
    </cfRule>
  </conditionalFormatting>
  <conditionalFormatting sqref="D45">
    <cfRule type="expression" dxfId="558" priority="527">
      <formula>$H45="non"</formula>
    </cfRule>
  </conditionalFormatting>
  <conditionalFormatting sqref="D45">
    <cfRule type="expression" dxfId="557" priority="518">
      <formula>$F45="Formation CCF"</formula>
    </cfRule>
    <cfRule type="expression" dxfId="556" priority="519">
      <formula>$F45="Direction"</formula>
    </cfRule>
    <cfRule type="expression" dxfId="555" priority="520">
      <formula>$F45="Ventes Sicli"</formula>
    </cfRule>
    <cfRule type="expression" dxfId="554" priority="521">
      <formula>$F45="Ventes Chubb"</formula>
    </cfRule>
    <cfRule type="expression" dxfId="553" priority="522">
      <formula>$F45="SAV Sicli"</formula>
    </cfRule>
    <cfRule type="expression" dxfId="552" priority="523">
      <formula>$F45="SAV Chubb"</formula>
    </cfRule>
    <cfRule type="expression" dxfId="551" priority="524">
      <formula>$F45="Réalisation"</formula>
    </cfRule>
    <cfRule type="expression" dxfId="550" priority="525">
      <formula>$F45="Désenfumage"</formula>
    </cfRule>
    <cfRule type="expression" dxfId="549" priority="526">
      <formula>$F45="Administratif"</formula>
    </cfRule>
  </conditionalFormatting>
  <conditionalFormatting sqref="D45">
    <cfRule type="expression" dxfId="548" priority="517">
      <formula>$H45="non"</formula>
    </cfRule>
  </conditionalFormatting>
  <conditionalFormatting sqref="D45">
    <cfRule type="expression" dxfId="547" priority="508">
      <formula>$F45="Formation CCF"</formula>
    </cfRule>
    <cfRule type="expression" dxfId="546" priority="509">
      <formula>$F45="Direction"</formula>
    </cfRule>
    <cfRule type="expression" dxfId="545" priority="510">
      <formula>$F45="Ventes Sicli"</formula>
    </cfRule>
    <cfRule type="expression" dxfId="544" priority="511">
      <formula>$F45="Ventes Chubb"</formula>
    </cfRule>
    <cfRule type="expression" dxfId="543" priority="512">
      <formula>$F45="SAV Sicli"</formula>
    </cfRule>
    <cfRule type="expression" dxfId="542" priority="513">
      <formula>$F45="SAV Chubb"</formula>
    </cfRule>
    <cfRule type="expression" dxfId="541" priority="514">
      <formula>$F45="Réalisation"</formula>
    </cfRule>
    <cfRule type="expression" dxfId="540" priority="515">
      <formula>$F45="Désenfumage"</formula>
    </cfRule>
    <cfRule type="expression" dxfId="539" priority="516">
      <formula>$F45="Administratif"</formula>
    </cfRule>
  </conditionalFormatting>
  <conditionalFormatting sqref="D45">
    <cfRule type="expression" dxfId="538" priority="507">
      <formula>$H45="non"</formula>
    </cfRule>
  </conditionalFormatting>
  <conditionalFormatting sqref="D45">
    <cfRule type="expression" dxfId="537" priority="498">
      <formula>$F45="Formation CCF"</formula>
    </cfRule>
    <cfRule type="expression" dxfId="536" priority="499">
      <formula>$F45="Direction"</formula>
    </cfRule>
    <cfRule type="expression" dxfId="535" priority="500">
      <formula>$F45="Ventes Sicli"</formula>
    </cfRule>
    <cfRule type="expression" dxfId="534" priority="501">
      <formula>$F45="Ventes Chubb"</formula>
    </cfRule>
    <cfRule type="expression" dxfId="533" priority="502">
      <formula>$F45="SAV Sicli"</formula>
    </cfRule>
    <cfRule type="expression" dxfId="532" priority="503">
      <formula>$F45="SAV Chubb"</formula>
    </cfRule>
    <cfRule type="expression" dxfId="531" priority="504">
      <formula>$F45="Réalisation"</formula>
    </cfRule>
    <cfRule type="expression" dxfId="530" priority="505">
      <formula>$F45="Désenfumage"</formula>
    </cfRule>
    <cfRule type="expression" dxfId="529" priority="506">
      <formula>$F45="Administratif"</formula>
    </cfRule>
  </conditionalFormatting>
  <conditionalFormatting sqref="D45">
    <cfRule type="expression" dxfId="528" priority="497">
      <formula>$H45="non"</formula>
    </cfRule>
  </conditionalFormatting>
  <conditionalFormatting sqref="D45">
    <cfRule type="expression" dxfId="527" priority="488">
      <formula>$F45="Formation CCF"</formula>
    </cfRule>
    <cfRule type="expression" dxfId="526" priority="489">
      <formula>$F45="Direction"</formula>
    </cfRule>
    <cfRule type="expression" dxfId="525" priority="490">
      <formula>$F45="Ventes Sicli"</formula>
    </cfRule>
    <cfRule type="expression" dxfId="524" priority="491">
      <formula>$F45="Ventes Chubb"</formula>
    </cfRule>
    <cfRule type="expression" dxfId="523" priority="492">
      <formula>$F45="SAV Sicli"</formula>
    </cfRule>
    <cfRule type="expression" dxfId="522" priority="493">
      <formula>$F45="SAV Chubb"</formula>
    </cfRule>
    <cfRule type="expression" dxfId="521" priority="494">
      <formula>$F45="Réalisation"</formula>
    </cfRule>
    <cfRule type="expression" dxfId="520" priority="495">
      <formula>$F45="Désenfumage"</formula>
    </cfRule>
    <cfRule type="expression" dxfId="519" priority="496">
      <formula>$F45="Administratif"</formula>
    </cfRule>
  </conditionalFormatting>
  <conditionalFormatting sqref="D45">
    <cfRule type="expression" dxfId="518" priority="487">
      <formula>$H45="non"</formula>
    </cfRule>
  </conditionalFormatting>
  <conditionalFormatting sqref="D45">
    <cfRule type="expression" dxfId="517" priority="478">
      <formula>$F45="Formation CCF"</formula>
    </cfRule>
    <cfRule type="expression" dxfId="516" priority="479">
      <formula>$F45="Direction"</formula>
    </cfRule>
    <cfRule type="expression" dxfId="515" priority="480">
      <formula>$F45="Ventes Sicli"</formula>
    </cfRule>
    <cfRule type="expression" dxfId="514" priority="481">
      <formula>$F45="Ventes Chubb"</formula>
    </cfRule>
    <cfRule type="expression" dxfId="513" priority="482">
      <formula>$F45="SAV Sicli"</formula>
    </cfRule>
    <cfRule type="expression" dxfId="512" priority="483">
      <formula>$F45="SAV Chubb"</formula>
    </cfRule>
    <cfRule type="expression" dxfId="511" priority="484">
      <formula>$F45="Réalisation"</formula>
    </cfRule>
    <cfRule type="expression" dxfId="510" priority="485">
      <formula>$F45="Désenfumage"</formula>
    </cfRule>
    <cfRule type="expression" dxfId="509" priority="486">
      <formula>$F45="Administratif"</formula>
    </cfRule>
  </conditionalFormatting>
  <conditionalFormatting sqref="D45">
    <cfRule type="expression" dxfId="508" priority="477">
      <formula>$H45="non"</formula>
    </cfRule>
  </conditionalFormatting>
  <conditionalFormatting sqref="D45">
    <cfRule type="expression" dxfId="507" priority="468">
      <formula>$F45="Formation CCF"</formula>
    </cfRule>
    <cfRule type="expression" dxfId="506" priority="469">
      <formula>$F45="Direction"</formula>
    </cfRule>
    <cfRule type="expression" dxfId="505" priority="470">
      <formula>$F45="Ventes Sicli"</formula>
    </cfRule>
    <cfRule type="expression" dxfId="504" priority="471">
      <formula>$F45="Ventes Chubb"</formula>
    </cfRule>
    <cfRule type="expression" dxfId="503" priority="472">
      <formula>$F45="SAV Sicli"</formula>
    </cfRule>
    <cfRule type="expression" dxfId="502" priority="473">
      <formula>$F45="SAV Chubb"</formula>
    </cfRule>
    <cfRule type="expression" dxfId="501" priority="474">
      <formula>$F45="Réalisation"</formula>
    </cfRule>
    <cfRule type="expression" dxfId="500" priority="475">
      <formula>$F45="Désenfumage"</formula>
    </cfRule>
    <cfRule type="expression" dxfId="499" priority="476">
      <formula>$F45="Administratif"</formula>
    </cfRule>
  </conditionalFormatting>
  <conditionalFormatting sqref="D45">
    <cfRule type="expression" dxfId="498" priority="467">
      <formula>$H45="non"</formula>
    </cfRule>
  </conditionalFormatting>
  <conditionalFormatting sqref="D45">
    <cfRule type="expression" dxfId="497" priority="458">
      <formula>$F45="Formation CCF"</formula>
    </cfRule>
    <cfRule type="expression" dxfId="496" priority="459">
      <formula>$F45="Direction"</formula>
    </cfRule>
    <cfRule type="expression" dxfId="495" priority="460">
      <formula>$F45="Ventes Sicli"</formula>
    </cfRule>
    <cfRule type="expression" dxfId="494" priority="461">
      <formula>$F45="Ventes Chubb"</formula>
    </cfRule>
    <cfRule type="expression" dxfId="493" priority="462">
      <formula>$F45="SAV Sicli"</formula>
    </cfRule>
    <cfRule type="expression" dxfId="492" priority="463">
      <formula>$F45="SAV Chubb"</formula>
    </cfRule>
    <cfRule type="expression" dxfId="491" priority="464">
      <formula>$F45="Réalisation"</formula>
    </cfRule>
    <cfRule type="expression" dxfId="490" priority="465">
      <formula>$F45="Désenfumage"</formula>
    </cfRule>
    <cfRule type="expression" dxfId="489" priority="466">
      <formula>$F45="Administratif"</formula>
    </cfRule>
  </conditionalFormatting>
  <conditionalFormatting sqref="D45">
    <cfRule type="expression" dxfId="488" priority="457">
      <formula>$H45="non"</formula>
    </cfRule>
  </conditionalFormatting>
  <conditionalFormatting sqref="D45">
    <cfRule type="expression" dxfId="487" priority="448">
      <formula>$F45="Formation CCF"</formula>
    </cfRule>
    <cfRule type="expression" dxfId="486" priority="449">
      <formula>$F45="Direction"</formula>
    </cfRule>
    <cfRule type="expression" dxfId="485" priority="450">
      <formula>$F45="Ventes Sicli"</formula>
    </cfRule>
    <cfRule type="expression" dxfId="484" priority="451">
      <formula>$F45="Ventes Chubb"</formula>
    </cfRule>
    <cfRule type="expression" dxfId="483" priority="452">
      <formula>$F45="SAV Sicli"</formula>
    </cfRule>
    <cfRule type="expression" dxfId="482" priority="453">
      <formula>$F45="SAV Chubb"</formula>
    </cfRule>
    <cfRule type="expression" dxfId="481" priority="454">
      <formula>$F45="Réalisation"</formula>
    </cfRule>
    <cfRule type="expression" dxfId="480" priority="455">
      <formula>$F45="Désenfumage"</formula>
    </cfRule>
    <cfRule type="expression" dxfId="479" priority="456">
      <formula>$F45="Administratif"</formula>
    </cfRule>
  </conditionalFormatting>
  <conditionalFormatting sqref="D45">
    <cfRule type="expression" dxfId="478" priority="447">
      <formula>$H45="non"</formula>
    </cfRule>
  </conditionalFormatting>
  <conditionalFormatting sqref="D45">
    <cfRule type="expression" dxfId="477" priority="438">
      <formula>$F45="Formation CCF"</formula>
    </cfRule>
    <cfRule type="expression" dxfId="476" priority="439">
      <formula>$F45="Direction"</formula>
    </cfRule>
    <cfRule type="expression" dxfId="475" priority="440">
      <formula>$F45="Ventes Sicli"</formula>
    </cfRule>
    <cfRule type="expression" dxfId="474" priority="441">
      <formula>$F45="Ventes Chubb"</formula>
    </cfRule>
    <cfRule type="expression" dxfId="473" priority="442">
      <formula>$F45="SAV Sicli"</formula>
    </cfRule>
    <cfRule type="expression" dxfId="472" priority="443">
      <formula>$F45="SAV Chubb"</formula>
    </cfRule>
    <cfRule type="expression" dxfId="471" priority="444">
      <formula>$F45="Réalisation"</formula>
    </cfRule>
    <cfRule type="expression" dxfId="470" priority="445">
      <formula>$F45="Désenfumage"</formula>
    </cfRule>
    <cfRule type="expression" dxfId="469" priority="446">
      <formula>$F45="Administratif"</formula>
    </cfRule>
  </conditionalFormatting>
  <conditionalFormatting sqref="D45">
    <cfRule type="expression" dxfId="468" priority="437">
      <formula>$H45="non"</formula>
    </cfRule>
  </conditionalFormatting>
  <conditionalFormatting sqref="D45">
    <cfRule type="expression" dxfId="467" priority="428">
      <formula>$F45="Formation CCF"</formula>
    </cfRule>
    <cfRule type="expression" dxfId="466" priority="429">
      <formula>$F45="Direction"</formula>
    </cfRule>
    <cfRule type="expression" dxfId="465" priority="430">
      <formula>$F45="Ventes Sicli"</formula>
    </cfRule>
    <cfRule type="expression" dxfId="464" priority="431">
      <formula>$F45="Ventes Chubb"</formula>
    </cfRule>
    <cfRule type="expression" dxfId="463" priority="432">
      <formula>$F45="SAV Sicli"</formula>
    </cfRule>
    <cfRule type="expression" dxfId="462" priority="433">
      <formula>$F45="SAV Chubb"</formula>
    </cfRule>
    <cfRule type="expression" dxfId="461" priority="434">
      <formula>$F45="Réalisation"</formula>
    </cfRule>
    <cfRule type="expression" dxfId="460" priority="435">
      <formula>$F45="Désenfumage"</formula>
    </cfRule>
    <cfRule type="expression" dxfId="459" priority="436">
      <formula>$F45="Administratif"</formula>
    </cfRule>
  </conditionalFormatting>
  <conditionalFormatting sqref="D45">
    <cfRule type="expression" dxfId="458" priority="427">
      <formula>$H45="non"</formula>
    </cfRule>
  </conditionalFormatting>
  <conditionalFormatting sqref="D45">
    <cfRule type="expression" dxfId="457" priority="418">
      <formula>$F45="Formation CCF"</formula>
    </cfRule>
    <cfRule type="expression" dxfId="456" priority="419">
      <formula>$F45="Direction"</formula>
    </cfRule>
    <cfRule type="expression" dxfId="455" priority="420">
      <formula>$F45="Ventes Sicli"</formula>
    </cfRule>
    <cfRule type="expression" dxfId="454" priority="421">
      <formula>$F45="Ventes Chubb"</formula>
    </cfRule>
    <cfRule type="expression" dxfId="453" priority="422">
      <formula>$F45="SAV Sicli"</formula>
    </cfRule>
    <cfRule type="expression" dxfId="452" priority="423">
      <formula>$F45="SAV Chubb"</formula>
    </cfRule>
    <cfRule type="expression" dxfId="451" priority="424">
      <formula>$F45="Réalisation"</formula>
    </cfRule>
    <cfRule type="expression" dxfId="450" priority="425">
      <formula>$F45="Désenfumage"</formula>
    </cfRule>
    <cfRule type="expression" dxfId="449" priority="426">
      <formula>$F45="Administratif"</formula>
    </cfRule>
  </conditionalFormatting>
  <conditionalFormatting sqref="D45">
    <cfRule type="expression" dxfId="448" priority="417">
      <formula>$H45="non"</formula>
    </cfRule>
  </conditionalFormatting>
  <conditionalFormatting sqref="D45">
    <cfRule type="expression" dxfId="447" priority="408">
      <formula>$F45="Formation CCF"</formula>
    </cfRule>
    <cfRule type="expression" dxfId="446" priority="409">
      <formula>$F45="Direction"</formula>
    </cfRule>
    <cfRule type="expression" dxfId="445" priority="410">
      <formula>$F45="Ventes Sicli"</formula>
    </cfRule>
    <cfRule type="expression" dxfId="444" priority="411">
      <formula>$F45="Ventes Chubb"</formula>
    </cfRule>
    <cfRule type="expression" dxfId="443" priority="412">
      <formula>$F45="SAV Sicli"</formula>
    </cfRule>
    <cfRule type="expression" dxfId="442" priority="413">
      <formula>$F45="SAV Chubb"</formula>
    </cfRule>
    <cfRule type="expression" dxfId="441" priority="414">
      <formula>$F45="Réalisation"</formula>
    </cfRule>
    <cfRule type="expression" dxfId="440" priority="415">
      <formula>$F45="Désenfumage"</formula>
    </cfRule>
    <cfRule type="expression" dxfId="439" priority="416">
      <formula>$F45="Administratif"</formula>
    </cfRule>
  </conditionalFormatting>
  <conditionalFormatting sqref="D45">
    <cfRule type="expression" dxfId="438" priority="407">
      <formula>$H45="non"</formula>
    </cfRule>
  </conditionalFormatting>
  <conditionalFormatting sqref="D45">
    <cfRule type="expression" dxfId="437" priority="398">
      <formula>$F45="Formation CCF"</formula>
    </cfRule>
    <cfRule type="expression" dxfId="436" priority="399">
      <formula>$F45="Direction"</formula>
    </cfRule>
    <cfRule type="expression" dxfId="435" priority="400">
      <formula>$F45="Ventes Sicli"</formula>
    </cfRule>
    <cfRule type="expression" dxfId="434" priority="401">
      <formula>$F45="Ventes Chubb"</formula>
    </cfRule>
    <cfRule type="expression" dxfId="433" priority="402">
      <formula>$F45="SAV Sicli"</formula>
    </cfRule>
    <cfRule type="expression" dxfId="432" priority="403">
      <formula>$F45="SAV Chubb"</formula>
    </cfRule>
    <cfRule type="expression" dxfId="431" priority="404">
      <formula>$F45="Réalisation"</formula>
    </cfRule>
    <cfRule type="expression" dxfId="430" priority="405">
      <formula>$F45="Désenfumage"</formula>
    </cfRule>
    <cfRule type="expression" dxfId="429" priority="406">
      <formula>$F45="Administratif"</formula>
    </cfRule>
  </conditionalFormatting>
  <conditionalFormatting sqref="D45">
    <cfRule type="expression" dxfId="428" priority="397">
      <formula>$H45="non"</formula>
    </cfRule>
  </conditionalFormatting>
  <conditionalFormatting sqref="D45">
    <cfRule type="expression" dxfId="427" priority="388">
      <formula>$F45="Formation CCF"</formula>
    </cfRule>
    <cfRule type="expression" dxfId="426" priority="389">
      <formula>$F45="Direction"</formula>
    </cfRule>
    <cfRule type="expression" dxfId="425" priority="390">
      <formula>$F45="Ventes Sicli"</formula>
    </cfRule>
    <cfRule type="expression" dxfId="424" priority="391">
      <formula>$F45="Ventes Chubb"</formula>
    </cfRule>
    <cfRule type="expression" dxfId="423" priority="392">
      <formula>$F45="SAV Sicli"</formula>
    </cfRule>
    <cfRule type="expression" dxfId="422" priority="393">
      <formula>$F45="SAV Chubb"</formula>
    </cfRule>
    <cfRule type="expression" dxfId="421" priority="394">
      <formula>$F45="Réalisation"</formula>
    </cfRule>
    <cfRule type="expression" dxfId="420" priority="395">
      <formula>$F45="Désenfumage"</formula>
    </cfRule>
    <cfRule type="expression" dxfId="419" priority="396">
      <formula>$F45="Administratif"</formula>
    </cfRule>
  </conditionalFormatting>
  <conditionalFormatting sqref="D45">
    <cfRule type="expression" dxfId="418" priority="387">
      <formula>$H45="non"</formula>
    </cfRule>
  </conditionalFormatting>
  <conditionalFormatting sqref="D45">
    <cfRule type="expression" dxfId="417" priority="378">
      <formula>$F45="Formation CCF"</formula>
    </cfRule>
    <cfRule type="expression" dxfId="416" priority="379">
      <formula>$F45="Direction"</formula>
    </cfRule>
    <cfRule type="expression" dxfId="415" priority="380">
      <formula>$F45="Ventes Sicli"</formula>
    </cfRule>
    <cfRule type="expression" dxfId="414" priority="381">
      <formula>$F45="Ventes Chubb"</formula>
    </cfRule>
    <cfRule type="expression" dxfId="413" priority="382">
      <formula>$F45="SAV Sicli"</formula>
    </cfRule>
    <cfRule type="expression" dxfId="412" priority="383">
      <formula>$F45="SAV Chubb"</formula>
    </cfRule>
    <cfRule type="expression" dxfId="411" priority="384">
      <formula>$F45="Réalisation"</formula>
    </cfRule>
    <cfRule type="expression" dxfId="410" priority="385">
      <formula>$F45="Désenfumage"</formula>
    </cfRule>
    <cfRule type="expression" dxfId="409" priority="386">
      <formula>$F45="Administratif"</formula>
    </cfRule>
  </conditionalFormatting>
  <conditionalFormatting sqref="D45">
    <cfRule type="expression" dxfId="408" priority="377">
      <formula>$H45="non"</formula>
    </cfRule>
  </conditionalFormatting>
  <conditionalFormatting sqref="D45">
    <cfRule type="expression" dxfId="407" priority="368">
      <formula>$F45="Formation CCF"</formula>
    </cfRule>
    <cfRule type="expression" dxfId="406" priority="369">
      <formula>$F45="Direction"</formula>
    </cfRule>
    <cfRule type="expression" dxfId="405" priority="370">
      <formula>$F45="Ventes Sicli"</formula>
    </cfRule>
    <cfRule type="expression" dxfId="404" priority="371">
      <formula>$F45="Ventes Chubb"</formula>
    </cfRule>
    <cfRule type="expression" dxfId="403" priority="372">
      <formula>$F45="SAV Sicli"</formula>
    </cfRule>
    <cfRule type="expression" dxfId="402" priority="373">
      <formula>$F45="SAV Chubb"</formula>
    </cfRule>
    <cfRule type="expression" dxfId="401" priority="374">
      <formula>$F45="Réalisation"</formula>
    </cfRule>
    <cfRule type="expression" dxfId="400" priority="375">
      <formula>$F45="Désenfumage"</formula>
    </cfRule>
    <cfRule type="expression" dxfId="399" priority="376">
      <formula>$F45="Administratif"</formula>
    </cfRule>
  </conditionalFormatting>
  <conditionalFormatting sqref="D45">
    <cfRule type="expression" dxfId="398" priority="367">
      <formula>$H45="non"</formula>
    </cfRule>
  </conditionalFormatting>
  <conditionalFormatting sqref="D45">
    <cfRule type="expression" dxfId="397" priority="358">
      <formula>$F45="Formation CCF"</formula>
    </cfRule>
    <cfRule type="expression" dxfId="396" priority="359">
      <formula>$F45="Direction"</formula>
    </cfRule>
    <cfRule type="expression" dxfId="395" priority="360">
      <formula>$F45="Ventes Sicli"</formula>
    </cfRule>
    <cfRule type="expression" dxfId="394" priority="361">
      <formula>$F45="Ventes Chubb"</formula>
    </cfRule>
    <cfRule type="expression" dxfId="393" priority="362">
      <formula>$F45="SAV Sicli"</formula>
    </cfRule>
    <cfRule type="expression" dxfId="392" priority="363">
      <formula>$F45="SAV Chubb"</formula>
    </cfRule>
    <cfRule type="expression" dxfId="391" priority="364">
      <formula>$F45="Réalisation"</formula>
    </cfRule>
    <cfRule type="expression" dxfId="390" priority="365">
      <formula>$F45="Désenfumage"</formula>
    </cfRule>
    <cfRule type="expression" dxfId="389" priority="366">
      <formula>$F45="Administratif"</formula>
    </cfRule>
  </conditionalFormatting>
  <conditionalFormatting sqref="D45">
    <cfRule type="expression" dxfId="388" priority="357">
      <formula>$H45="non"</formula>
    </cfRule>
  </conditionalFormatting>
  <conditionalFormatting sqref="D45">
    <cfRule type="expression" dxfId="387" priority="348">
      <formula>$F45="Formation CCF"</formula>
    </cfRule>
    <cfRule type="expression" dxfId="386" priority="349">
      <formula>$F45="Direction"</formula>
    </cfRule>
    <cfRule type="expression" dxfId="385" priority="350">
      <formula>$F45="Ventes Sicli"</formula>
    </cfRule>
    <cfRule type="expression" dxfId="384" priority="351">
      <formula>$F45="Ventes Chubb"</formula>
    </cfRule>
    <cfRule type="expression" dxfId="383" priority="352">
      <formula>$F45="SAV Sicli"</formula>
    </cfRule>
    <cfRule type="expression" dxfId="382" priority="353">
      <formula>$F45="SAV Chubb"</formula>
    </cfRule>
    <cfRule type="expression" dxfId="381" priority="354">
      <formula>$F45="Réalisation"</formula>
    </cfRule>
    <cfRule type="expression" dxfId="380" priority="355">
      <formula>$F45="Désenfumage"</formula>
    </cfRule>
    <cfRule type="expression" dxfId="379" priority="356">
      <formula>$F45="Administratif"</formula>
    </cfRule>
  </conditionalFormatting>
  <conditionalFormatting sqref="D45">
    <cfRule type="expression" dxfId="378" priority="347">
      <formula>$H45="non"</formula>
    </cfRule>
  </conditionalFormatting>
  <conditionalFormatting sqref="D45">
    <cfRule type="expression" dxfId="377" priority="338">
      <formula>$F45="Formation CCF"</formula>
    </cfRule>
    <cfRule type="expression" dxfId="376" priority="339">
      <formula>$F45="Direction"</formula>
    </cfRule>
    <cfRule type="expression" dxfId="375" priority="340">
      <formula>$F45="Ventes Sicli"</formula>
    </cfRule>
    <cfRule type="expression" dxfId="374" priority="341">
      <formula>$F45="Ventes Chubb"</formula>
    </cfRule>
    <cfRule type="expression" dxfId="373" priority="342">
      <formula>$F45="SAV Sicli"</formula>
    </cfRule>
    <cfRule type="expression" dxfId="372" priority="343">
      <formula>$F45="SAV Chubb"</formula>
    </cfRule>
    <cfRule type="expression" dxfId="371" priority="344">
      <formula>$F45="Réalisation"</formula>
    </cfRule>
    <cfRule type="expression" dxfId="370" priority="345">
      <formula>$F45="Désenfumage"</formula>
    </cfRule>
    <cfRule type="expression" dxfId="369" priority="346">
      <formula>$F45="Administratif"</formula>
    </cfRule>
  </conditionalFormatting>
  <conditionalFormatting sqref="D45">
    <cfRule type="expression" dxfId="368" priority="337">
      <formula>$H45="non"</formula>
    </cfRule>
  </conditionalFormatting>
  <conditionalFormatting sqref="C45:D45">
    <cfRule type="expression" dxfId="367" priority="328">
      <formula>$F45="Formation CCF"</formula>
    </cfRule>
    <cfRule type="expression" dxfId="366" priority="329">
      <formula>$F45="Direction"</formula>
    </cfRule>
    <cfRule type="expression" dxfId="365" priority="330">
      <formula>$F45="Ventes Sicli"</formula>
    </cfRule>
    <cfRule type="expression" dxfId="364" priority="331">
      <formula>$F45="Ventes Chubb"</formula>
    </cfRule>
    <cfRule type="expression" dxfId="363" priority="332">
      <formula>$F45="SAV Sicli"</formula>
    </cfRule>
    <cfRule type="expression" dxfId="362" priority="333">
      <formula>$F45="SAV Chubb"</formula>
    </cfRule>
    <cfRule type="expression" dxfId="361" priority="334">
      <formula>$F45="Réalisation"</formula>
    </cfRule>
    <cfRule type="expression" dxfId="360" priority="335">
      <formula>$F45="Désenfumage"</formula>
    </cfRule>
    <cfRule type="expression" dxfId="359" priority="336">
      <formula>$F45="Administratif"</formula>
    </cfRule>
  </conditionalFormatting>
  <conditionalFormatting sqref="C45:D45">
    <cfRule type="expression" dxfId="358" priority="327">
      <formula>$H45="non"</formula>
    </cfRule>
  </conditionalFormatting>
  <conditionalFormatting sqref="D45">
    <cfRule type="expression" dxfId="357" priority="318">
      <formula>$F45="Formation CCF"</formula>
    </cfRule>
    <cfRule type="expression" dxfId="356" priority="319">
      <formula>$F45="Direction"</formula>
    </cfRule>
    <cfRule type="expression" dxfId="355" priority="320">
      <formula>$F45="Ventes Sicli"</formula>
    </cfRule>
    <cfRule type="expression" dxfId="354" priority="321">
      <formula>$F45="Ventes Chubb"</formula>
    </cfRule>
    <cfRule type="expression" dxfId="353" priority="322">
      <formula>$F45="SAV Sicli"</formula>
    </cfRule>
    <cfRule type="expression" dxfId="352" priority="323">
      <formula>$F45="SAV Chubb"</formula>
    </cfRule>
    <cfRule type="expression" dxfId="351" priority="324">
      <formula>$F45="Réalisation"</formula>
    </cfRule>
    <cfRule type="expression" dxfId="350" priority="325">
      <formula>$F45="Désenfumage"</formula>
    </cfRule>
    <cfRule type="expression" dxfId="349" priority="326">
      <formula>$F45="Administratif"</formula>
    </cfRule>
  </conditionalFormatting>
  <conditionalFormatting sqref="D45">
    <cfRule type="expression" dxfId="348" priority="317">
      <formula>$H45="non"</formula>
    </cfRule>
  </conditionalFormatting>
  <conditionalFormatting sqref="D45">
    <cfRule type="expression" dxfId="347" priority="308">
      <formula>$F45="Formation CCF"</formula>
    </cfRule>
    <cfRule type="expression" dxfId="346" priority="309">
      <formula>$F45="Direction"</formula>
    </cfRule>
    <cfRule type="expression" dxfId="345" priority="310">
      <formula>$F45="Ventes Sicli"</formula>
    </cfRule>
    <cfRule type="expression" dxfId="344" priority="311">
      <formula>$F45="Ventes Chubb"</formula>
    </cfRule>
    <cfRule type="expression" dxfId="343" priority="312">
      <formula>$F45="SAV Sicli"</formula>
    </cfRule>
    <cfRule type="expression" dxfId="342" priority="313">
      <formula>$F45="SAV Chubb"</formula>
    </cfRule>
    <cfRule type="expression" dxfId="341" priority="314">
      <formula>$F45="Réalisation"</formula>
    </cfRule>
    <cfRule type="expression" dxfId="340" priority="315">
      <formula>$F45="Désenfumage"</formula>
    </cfRule>
    <cfRule type="expression" dxfId="339" priority="316">
      <formula>$F45="Administratif"</formula>
    </cfRule>
  </conditionalFormatting>
  <conditionalFormatting sqref="D45">
    <cfRule type="expression" dxfId="338" priority="307">
      <formula>$H45="non"</formula>
    </cfRule>
  </conditionalFormatting>
  <conditionalFormatting sqref="D45">
    <cfRule type="expression" dxfId="337" priority="298">
      <formula>$F45="Formation CCF"</formula>
    </cfRule>
    <cfRule type="expression" dxfId="336" priority="299">
      <formula>$F45="Direction"</formula>
    </cfRule>
    <cfRule type="expression" dxfId="335" priority="300">
      <formula>$F45="Ventes Sicli"</formula>
    </cfRule>
    <cfRule type="expression" dxfId="334" priority="301">
      <formula>$F45="Ventes Chubb"</formula>
    </cfRule>
    <cfRule type="expression" dxfId="333" priority="302">
      <formula>$F45="SAV Sicli"</formula>
    </cfRule>
    <cfRule type="expression" dxfId="332" priority="303">
      <formula>$F45="SAV Chubb"</formula>
    </cfRule>
    <cfRule type="expression" dxfId="331" priority="304">
      <formula>$F45="Réalisation"</formula>
    </cfRule>
    <cfRule type="expression" dxfId="330" priority="305">
      <formula>$F45="Désenfumage"</formula>
    </cfRule>
    <cfRule type="expression" dxfId="329" priority="306">
      <formula>$F45="Administratif"</formula>
    </cfRule>
  </conditionalFormatting>
  <conditionalFormatting sqref="D45">
    <cfRule type="expression" dxfId="328" priority="297">
      <formula>$H45="non"</formula>
    </cfRule>
  </conditionalFormatting>
  <conditionalFormatting sqref="D45">
    <cfRule type="expression" dxfId="327" priority="288">
      <formula>$F45="Formation CCF"</formula>
    </cfRule>
    <cfRule type="expression" dxfId="326" priority="289">
      <formula>$F45="Direction"</formula>
    </cfRule>
    <cfRule type="expression" dxfId="325" priority="290">
      <formula>$F45="Ventes Sicli"</formula>
    </cfRule>
    <cfRule type="expression" dxfId="324" priority="291">
      <formula>$F45="Ventes Chubb"</formula>
    </cfRule>
    <cfRule type="expression" dxfId="323" priority="292">
      <formula>$F45="SAV Sicli"</formula>
    </cfRule>
    <cfRule type="expression" dxfId="322" priority="293">
      <formula>$F45="SAV Chubb"</formula>
    </cfRule>
    <cfRule type="expression" dxfId="321" priority="294">
      <formula>$F45="Réalisation"</formula>
    </cfRule>
    <cfRule type="expression" dxfId="320" priority="295">
      <formula>$F45="Désenfumage"</formula>
    </cfRule>
    <cfRule type="expression" dxfId="319" priority="296">
      <formula>$F45="Administratif"</formula>
    </cfRule>
  </conditionalFormatting>
  <conditionalFormatting sqref="D45">
    <cfRule type="expression" dxfId="318" priority="287">
      <formula>$H45="non"</formula>
    </cfRule>
  </conditionalFormatting>
  <conditionalFormatting sqref="D45">
    <cfRule type="expression" dxfId="317" priority="278">
      <formula>$F45="Formation CCF"</formula>
    </cfRule>
    <cfRule type="expression" dxfId="316" priority="279">
      <formula>$F45="Direction"</formula>
    </cfRule>
    <cfRule type="expression" dxfId="315" priority="280">
      <formula>$F45="Ventes Sicli"</formula>
    </cfRule>
    <cfRule type="expression" dxfId="314" priority="281">
      <formula>$F45="Ventes Chubb"</formula>
    </cfRule>
    <cfRule type="expression" dxfId="313" priority="282">
      <formula>$F45="SAV Sicli"</formula>
    </cfRule>
    <cfRule type="expression" dxfId="312" priority="283">
      <formula>$F45="SAV Chubb"</formula>
    </cfRule>
    <cfRule type="expression" dxfId="311" priority="284">
      <formula>$F45="Réalisation"</formula>
    </cfRule>
    <cfRule type="expression" dxfId="310" priority="285">
      <formula>$F45="Désenfumage"</formula>
    </cfRule>
    <cfRule type="expression" dxfId="309" priority="286">
      <formula>$F45="Administratif"</formula>
    </cfRule>
  </conditionalFormatting>
  <conditionalFormatting sqref="D45">
    <cfRule type="expression" dxfId="308" priority="277">
      <formula>$H45="non"</formula>
    </cfRule>
  </conditionalFormatting>
  <conditionalFormatting sqref="D45">
    <cfRule type="expression" dxfId="307" priority="268">
      <formula>$F45="Formation CCF"</formula>
    </cfRule>
    <cfRule type="expression" dxfId="306" priority="269">
      <formula>$F45="Direction"</formula>
    </cfRule>
    <cfRule type="expression" dxfId="305" priority="270">
      <formula>$F45="Ventes Sicli"</formula>
    </cfRule>
    <cfRule type="expression" dxfId="304" priority="271">
      <formula>$F45="Ventes Chubb"</formula>
    </cfRule>
    <cfRule type="expression" dxfId="303" priority="272">
      <formula>$F45="SAV Sicli"</formula>
    </cfRule>
    <cfRule type="expression" dxfId="302" priority="273">
      <formula>$F45="SAV Chubb"</formula>
    </cfRule>
    <cfRule type="expression" dxfId="301" priority="274">
      <formula>$F45="Réalisation"</formula>
    </cfRule>
    <cfRule type="expression" dxfId="300" priority="275">
      <formula>$F45="Désenfumage"</formula>
    </cfRule>
    <cfRule type="expression" dxfId="299" priority="276">
      <formula>$F45="Administratif"</formula>
    </cfRule>
  </conditionalFormatting>
  <conditionalFormatting sqref="D45">
    <cfRule type="expression" dxfId="298" priority="267">
      <formula>$H45="non"</formula>
    </cfRule>
  </conditionalFormatting>
  <conditionalFormatting sqref="D45">
    <cfRule type="expression" dxfId="297" priority="258">
      <formula>$F45="Formation CCF"</formula>
    </cfRule>
    <cfRule type="expression" dxfId="296" priority="259">
      <formula>$F45="Direction"</formula>
    </cfRule>
    <cfRule type="expression" dxfId="295" priority="260">
      <formula>$F45="Ventes Sicli"</formula>
    </cfRule>
    <cfRule type="expression" dxfId="294" priority="261">
      <formula>$F45="Ventes Chubb"</formula>
    </cfRule>
    <cfRule type="expression" dxfId="293" priority="262">
      <formula>$F45="SAV Sicli"</formula>
    </cfRule>
    <cfRule type="expression" dxfId="292" priority="263">
      <formula>$F45="SAV Chubb"</formula>
    </cfRule>
    <cfRule type="expression" dxfId="291" priority="264">
      <formula>$F45="Réalisation"</formula>
    </cfRule>
    <cfRule type="expression" dxfId="290" priority="265">
      <formula>$F45="Désenfumage"</formula>
    </cfRule>
    <cfRule type="expression" dxfId="289" priority="266">
      <formula>$F45="Administratif"</formula>
    </cfRule>
  </conditionalFormatting>
  <conditionalFormatting sqref="D45">
    <cfRule type="expression" dxfId="288" priority="257">
      <formula>$H45="non"</formula>
    </cfRule>
  </conditionalFormatting>
  <conditionalFormatting sqref="D45">
    <cfRule type="expression" dxfId="287" priority="248">
      <formula>$F45="Formation CCF"</formula>
    </cfRule>
    <cfRule type="expression" dxfId="286" priority="249">
      <formula>$F45="Direction"</formula>
    </cfRule>
    <cfRule type="expression" dxfId="285" priority="250">
      <formula>$F45="Ventes Sicli"</formula>
    </cfRule>
    <cfRule type="expression" dxfId="284" priority="251">
      <formula>$F45="Ventes Chubb"</formula>
    </cfRule>
    <cfRule type="expression" dxfId="283" priority="252">
      <formula>$F45="SAV Sicli"</formula>
    </cfRule>
    <cfRule type="expression" dxfId="282" priority="253">
      <formula>$F45="SAV Chubb"</formula>
    </cfRule>
    <cfRule type="expression" dxfId="281" priority="254">
      <formula>$F45="Réalisation"</formula>
    </cfRule>
    <cfRule type="expression" dxfId="280" priority="255">
      <formula>$F45="Désenfumage"</formula>
    </cfRule>
    <cfRule type="expression" dxfId="279" priority="256">
      <formula>$F45="Administratif"</formula>
    </cfRule>
  </conditionalFormatting>
  <conditionalFormatting sqref="D45">
    <cfRule type="expression" dxfId="278" priority="247">
      <formula>$H45="non"</formula>
    </cfRule>
  </conditionalFormatting>
  <conditionalFormatting sqref="AT15:AY15">
    <cfRule type="expression" dxfId="277" priority="246">
      <formula>$E$3="Non"</formula>
    </cfRule>
  </conditionalFormatting>
  <conditionalFormatting sqref="AO15:AR15">
    <cfRule type="expression" dxfId="276" priority="245">
      <formula>$E$4="Non"</formula>
    </cfRule>
  </conditionalFormatting>
  <conditionalFormatting sqref="I15:K15 N15:Q15">
    <cfRule type="expression" dxfId="275" priority="244">
      <formula>$L15="NA"</formula>
    </cfRule>
  </conditionalFormatting>
  <conditionalFormatting sqref="X15:AA15">
    <cfRule type="expression" dxfId="274" priority="243">
      <formula>$V15="NA"</formula>
    </cfRule>
  </conditionalFormatting>
  <conditionalFormatting sqref="AE15:AH15">
    <cfRule type="expression" dxfId="273" priority="242">
      <formula>$AC15="NA"</formula>
    </cfRule>
  </conditionalFormatting>
  <conditionalFormatting sqref="S15:U15">
    <cfRule type="expression" dxfId="272" priority="241">
      <formula>$S15="NA"</formula>
    </cfRule>
  </conditionalFormatting>
  <conditionalFormatting sqref="A15 E15:H15">
    <cfRule type="expression" dxfId="271" priority="240">
      <formula>$F15="Administratif"</formula>
    </cfRule>
  </conditionalFormatting>
  <conditionalFormatting sqref="A15 E15:H15">
    <cfRule type="expression" dxfId="270" priority="231">
      <formula>$H15="non"</formula>
    </cfRule>
    <cfRule type="expression" dxfId="269" priority="236">
      <formula>$F15="SAV Sicli"</formula>
    </cfRule>
  </conditionalFormatting>
  <conditionalFormatting sqref="A15 E15:H15">
    <cfRule type="expression" dxfId="268" priority="233">
      <formula>$F15="Direction"</formula>
    </cfRule>
  </conditionalFormatting>
  <conditionalFormatting sqref="A15 E15:H15">
    <cfRule type="expression" dxfId="267" priority="232">
      <formula>$F15="Formation CCF"</formula>
    </cfRule>
  </conditionalFormatting>
  <conditionalFormatting sqref="A15 E15:H15">
    <cfRule type="expression" dxfId="266" priority="234">
      <formula>$F15="Ventes Sicli"</formula>
    </cfRule>
    <cfRule type="expression" dxfId="265" priority="237">
      <formula>$F15="SAV Chubb"</formula>
    </cfRule>
  </conditionalFormatting>
  <conditionalFormatting sqref="A15 E15:H15">
    <cfRule type="expression" dxfId="264" priority="235">
      <formula>$F15="Ventes Chubb"</formula>
    </cfRule>
  </conditionalFormatting>
  <conditionalFormatting sqref="A15 E15:H15">
    <cfRule type="expression" dxfId="263" priority="238">
      <formula>$F15="Réalisation"</formula>
    </cfRule>
  </conditionalFormatting>
  <conditionalFormatting sqref="A15 E15:H15">
    <cfRule type="expression" dxfId="262" priority="239">
      <formula>$F15="Désenfumage"</formula>
    </cfRule>
  </conditionalFormatting>
  <conditionalFormatting sqref="C15">
    <cfRule type="expression" dxfId="261" priority="222">
      <formula>$F15="Formation CCF"</formula>
    </cfRule>
    <cfRule type="expression" dxfId="260" priority="223">
      <formula>$F15="Direction"</formula>
    </cfRule>
    <cfRule type="expression" dxfId="259" priority="224">
      <formula>$F15="Ventes Sicli"</formula>
    </cfRule>
    <cfRule type="expression" dxfId="258" priority="225">
      <formula>$F15="Ventes Chubb"</formula>
    </cfRule>
    <cfRule type="expression" dxfId="257" priority="226">
      <formula>$F15="SAV Sicli"</formula>
    </cfRule>
    <cfRule type="expression" dxfId="256" priority="227">
      <formula>$F15="SAV Chubb"</formula>
    </cfRule>
    <cfRule type="expression" dxfId="255" priority="228">
      <formula>$F15="Réalisation"</formula>
    </cfRule>
    <cfRule type="expression" dxfId="254" priority="229">
      <formula>$F15="Désenfumage"</formula>
    </cfRule>
    <cfRule type="expression" dxfId="253" priority="230">
      <formula>$F15="Administratif"</formula>
    </cfRule>
  </conditionalFormatting>
  <conditionalFormatting sqref="C15">
    <cfRule type="expression" dxfId="252" priority="221">
      <formula>$H15="non"</formula>
    </cfRule>
  </conditionalFormatting>
  <conditionalFormatting sqref="D15">
    <cfRule type="expression" dxfId="251" priority="212">
      <formula>$F15="Formation CCF"</formula>
    </cfRule>
    <cfRule type="expression" dxfId="250" priority="213">
      <formula>$F15="Direction"</formula>
    </cfRule>
    <cfRule type="expression" dxfId="249" priority="214">
      <formula>$F15="Ventes Sicli"</formula>
    </cfRule>
    <cfRule type="expression" dxfId="248" priority="215">
      <formula>$F15="Ventes Chubb"</formula>
    </cfRule>
    <cfRule type="expression" dxfId="247" priority="216">
      <formula>$F15="SAV Sicli"</formula>
    </cfRule>
    <cfRule type="expression" dxfId="246" priority="217">
      <formula>$F15="SAV Chubb"</formula>
    </cfRule>
    <cfRule type="expression" dxfId="245" priority="218">
      <formula>$F15="Réalisation"</formula>
    </cfRule>
    <cfRule type="expression" dxfId="244" priority="219">
      <formula>$F15="Désenfumage"</formula>
    </cfRule>
    <cfRule type="expression" dxfId="243" priority="220">
      <formula>$F15="Administratif"</formula>
    </cfRule>
  </conditionalFormatting>
  <conditionalFormatting sqref="D15">
    <cfRule type="expression" dxfId="242" priority="211">
      <formula>$H15="non"</formula>
    </cfRule>
  </conditionalFormatting>
  <conditionalFormatting sqref="D15">
    <cfRule type="expression" dxfId="241" priority="202">
      <formula>$F15="Formation CCF"</formula>
    </cfRule>
    <cfRule type="expression" dxfId="240" priority="203">
      <formula>$F15="Direction"</formula>
    </cfRule>
    <cfRule type="expression" dxfId="239" priority="204">
      <formula>$F15="Ventes Sicli"</formula>
    </cfRule>
    <cfRule type="expression" dxfId="238" priority="205">
      <formula>$F15="Ventes Chubb"</formula>
    </cfRule>
    <cfRule type="expression" dxfId="237" priority="206">
      <formula>$F15="SAV Sicli"</formula>
    </cfRule>
    <cfRule type="expression" dxfId="236" priority="207">
      <formula>$F15="SAV Chubb"</formula>
    </cfRule>
    <cfRule type="expression" dxfId="235" priority="208">
      <formula>$F15="Réalisation"</formula>
    </cfRule>
    <cfRule type="expression" dxfId="234" priority="209">
      <formula>$F15="Désenfumage"</formula>
    </cfRule>
    <cfRule type="expression" dxfId="233" priority="210">
      <formula>$F15="Administratif"</formula>
    </cfRule>
  </conditionalFormatting>
  <conditionalFormatting sqref="D15">
    <cfRule type="expression" dxfId="232" priority="201">
      <formula>$H15="non"</formula>
    </cfRule>
  </conditionalFormatting>
  <conditionalFormatting sqref="D15">
    <cfRule type="expression" dxfId="231" priority="192">
      <formula>$F15="Formation CCF"</formula>
    </cfRule>
    <cfRule type="expression" dxfId="230" priority="193">
      <formula>$F15="Direction"</formula>
    </cfRule>
    <cfRule type="expression" dxfId="229" priority="194">
      <formula>$F15="Ventes Sicli"</formula>
    </cfRule>
    <cfRule type="expression" dxfId="228" priority="195">
      <formula>$F15="Ventes Chubb"</formula>
    </cfRule>
    <cfRule type="expression" dxfId="227" priority="196">
      <formula>$F15="SAV Sicli"</formula>
    </cfRule>
    <cfRule type="expression" dxfId="226" priority="197">
      <formula>$F15="SAV Chubb"</formula>
    </cfRule>
    <cfRule type="expression" dxfId="225" priority="198">
      <formula>$F15="Réalisation"</formula>
    </cfRule>
    <cfRule type="expression" dxfId="224" priority="199">
      <formula>$F15="Désenfumage"</formula>
    </cfRule>
    <cfRule type="expression" dxfId="223" priority="200">
      <formula>$F15="Administratif"</formula>
    </cfRule>
  </conditionalFormatting>
  <conditionalFormatting sqref="D15">
    <cfRule type="expression" dxfId="222" priority="191">
      <formula>$H15="non"</formula>
    </cfRule>
  </conditionalFormatting>
  <conditionalFormatting sqref="D15">
    <cfRule type="expression" dxfId="221" priority="182">
      <formula>$F15="Formation CCF"</formula>
    </cfRule>
    <cfRule type="expression" dxfId="220" priority="183">
      <formula>$F15="Direction"</formula>
    </cfRule>
    <cfRule type="expression" dxfId="219" priority="184">
      <formula>$F15="Ventes Sicli"</formula>
    </cfRule>
    <cfRule type="expression" dxfId="218" priority="185">
      <formula>$F15="Ventes Chubb"</formula>
    </cfRule>
    <cfRule type="expression" dxfId="217" priority="186">
      <formula>$F15="SAV Sicli"</formula>
    </cfRule>
    <cfRule type="expression" dxfId="216" priority="187">
      <formula>$F15="SAV Chubb"</formula>
    </cfRule>
    <cfRule type="expression" dxfId="215" priority="188">
      <formula>$F15="Réalisation"</formula>
    </cfRule>
    <cfRule type="expression" dxfId="214" priority="189">
      <formula>$F15="Désenfumage"</formula>
    </cfRule>
    <cfRule type="expression" dxfId="213" priority="190">
      <formula>$F15="Administratif"</formula>
    </cfRule>
  </conditionalFormatting>
  <conditionalFormatting sqref="D15">
    <cfRule type="expression" dxfId="212" priority="181">
      <formula>$H15="non"</formula>
    </cfRule>
  </conditionalFormatting>
  <conditionalFormatting sqref="D15">
    <cfRule type="expression" dxfId="211" priority="172">
      <formula>$F15="Formation CCF"</formula>
    </cfRule>
    <cfRule type="expression" dxfId="210" priority="173">
      <formula>$F15="Direction"</formula>
    </cfRule>
    <cfRule type="expression" dxfId="209" priority="174">
      <formula>$F15="Ventes Sicli"</formula>
    </cfRule>
    <cfRule type="expression" dxfId="208" priority="175">
      <formula>$F15="Ventes Chubb"</formula>
    </cfRule>
    <cfRule type="expression" dxfId="207" priority="176">
      <formula>$F15="SAV Sicli"</formula>
    </cfRule>
    <cfRule type="expression" dxfId="206" priority="177">
      <formula>$F15="SAV Chubb"</formula>
    </cfRule>
    <cfRule type="expression" dxfId="205" priority="178">
      <formula>$F15="Réalisation"</formula>
    </cfRule>
    <cfRule type="expression" dxfId="204" priority="179">
      <formula>$F15="Désenfumage"</formula>
    </cfRule>
    <cfRule type="expression" dxfId="203" priority="180">
      <formula>$F15="Administratif"</formula>
    </cfRule>
  </conditionalFormatting>
  <conditionalFormatting sqref="D15">
    <cfRule type="expression" dxfId="202" priority="171">
      <formula>$H15="non"</formula>
    </cfRule>
  </conditionalFormatting>
  <conditionalFormatting sqref="C15:D15">
    <cfRule type="expression" dxfId="201" priority="162">
      <formula>$F15="Formation CCF"</formula>
    </cfRule>
    <cfRule type="expression" dxfId="200" priority="163">
      <formula>$F15="Direction"</formula>
    </cfRule>
    <cfRule type="expression" dxfId="199" priority="164">
      <formula>$F15="Ventes Sicli"</formula>
    </cfRule>
    <cfRule type="expression" dxfId="198" priority="165">
      <formula>$F15="Ventes Chubb"</formula>
    </cfRule>
    <cfRule type="expression" dxfId="197" priority="166">
      <formula>$F15="SAV Sicli"</formula>
    </cfRule>
    <cfRule type="expression" dxfId="196" priority="167">
      <formula>$F15="SAV Chubb"</formula>
    </cfRule>
    <cfRule type="expression" dxfId="195" priority="168">
      <formula>$F15="Réalisation"</formula>
    </cfRule>
    <cfRule type="expression" dxfId="194" priority="169">
      <formula>$F15="Désenfumage"</formula>
    </cfRule>
    <cfRule type="expression" dxfId="193" priority="170">
      <formula>$F15="Administratif"</formula>
    </cfRule>
  </conditionalFormatting>
  <conditionalFormatting sqref="C15:D15">
    <cfRule type="expression" dxfId="192" priority="161">
      <formula>$H15="non"</formula>
    </cfRule>
  </conditionalFormatting>
  <conditionalFormatting sqref="C15:D15">
    <cfRule type="expression" dxfId="191" priority="152">
      <formula>$F15="Formation CCF"</formula>
    </cfRule>
    <cfRule type="expression" dxfId="190" priority="153">
      <formula>$F15="Direction"</formula>
    </cfRule>
    <cfRule type="expression" dxfId="189" priority="154">
      <formula>$F15="Ventes Sicli"</formula>
    </cfRule>
    <cfRule type="expression" dxfId="188" priority="155">
      <formula>$F15="Ventes Chubb"</formula>
    </cfRule>
    <cfRule type="expression" dxfId="187" priority="156">
      <formula>$F15="SAV Sicli"</formula>
    </cfRule>
    <cfRule type="expression" dxfId="186" priority="157">
      <formula>$F15="SAV Chubb"</formula>
    </cfRule>
    <cfRule type="expression" dxfId="185" priority="158">
      <formula>$F15="Réalisation"</formula>
    </cfRule>
    <cfRule type="expression" dxfId="184" priority="159">
      <formula>$F15="Désenfumage"</formula>
    </cfRule>
    <cfRule type="expression" dxfId="183" priority="160">
      <formula>$F15="Administratif"</formula>
    </cfRule>
  </conditionalFormatting>
  <conditionalFormatting sqref="C15:D15">
    <cfRule type="expression" dxfId="182" priority="151">
      <formula>$H15="non"</formula>
    </cfRule>
  </conditionalFormatting>
  <conditionalFormatting sqref="C15:D15">
    <cfRule type="expression" dxfId="181" priority="142">
      <formula>$F15="Formation CCF"</formula>
    </cfRule>
    <cfRule type="expression" dxfId="180" priority="143">
      <formula>$F15="Direction"</formula>
    </cfRule>
    <cfRule type="expression" dxfId="179" priority="144">
      <formula>$F15="Ventes Sicli"</formula>
    </cfRule>
    <cfRule type="expression" dxfId="178" priority="145">
      <formula>$F15="Ventes Chubb"</formula>
    </cfRule>
    <cfRule type="expression" dxfId="177" priority="146">
      <formula>$F15="SAV Sicli"</formula>
    </cfRule>
    <cfRule type="expression" dxfId="176" priority="147">
      <formula>$F15="SAV Chubb"</formula>
    </cfRule>
    <cfRule type="expression" dxfId="175" priority="148">
      <formula>$F15="Réalisation"</formula>
    </cfRule>
    <cfRule type="expression" dxfId="174" priority="149">
      <formula>$F15="Désenfumage"</formula>
    </cfRule>
    <cfRule type="expression" dxfId="173" priority="150">
      <formula>$F15="Administratif"</formula>
    </cfRule>
  </conditionalFormatting>
  <conditionalFormatting sqref="C15:D15">
    <cfRule type="expression" dxfId="172" priority="141">
      <formula>$H15="non"</formula>
    </cfRule>
  </conditionalFormatting>
  <conditionalFormatting sqref="C15:D15">
    <cfRule type="expression" dxfId="171" priority="132">
      <formula>$F15="Formation CCF"</formula>
    </cfRule>
    <cfRule type="expression" dxfId="170" priority="133">
      <formula>$F15="Direction"</formula>
    </cfRule>
    <cfRule type="expression" dxfId="169" priority="134">
      <formula>$F15="Ventes Sicli"</formula>
    </cfRule>
    <cfRule type="expression" dxfId="168" priority="135">
      <formula>$F15="Ventes Chubb"</formula>
    </cfRule>
    <cfRule type="expression" dxfId="167" priority="136">
      <formula>$F15="SAV Sicli"</formula>
    </cfRule>
    <cfRule type="expression" dxfId="166" priority="137">
      <formula>$F15="SAV Chubb"</formula>
    </cfRule>
    <cfRule type="expression" dxfId="165" priority="138">
      <formula>$F15="Réalisation"</formula>
    </cfRule>
    <cfRule type="expression" dxfId="164" priority="139">
      <formula>$F15="Désenfumage"</formula>
    </cfRule>
    <cfRule type="expression" dxfId="163" priority="140">
      <formula>$F15="Administratif"</formula>
    </cfRule>
  </conditionalFormatting>
  <conditionalFormatting sqref="C15:D15">
    <cfRule type="expression" dxfId="162" priority="131">
      <formula>$H15="non"</formula>
    </cfRule>
  </conditionalFormatting>
  <conditionalFormatting sqref="D15">
    <cfRule type="expression" dxfId="161" priority="122">
      <formula>$F15="Formation CCF"</formula>
    </cfRule>
    <cfRule type="expression" dxfId="160" priority="123">
      <formula>$F15="Direction"</formula>
    </cfRule>
    <cfRule type="expression" dxfId="159" priority="124">
      <formula>$F15="Ventes Sicli"</formula>
    </cfRule>
    <cfRule type="expression" dxfId="158" priority="125">
      <formula>$F15="Ventes Chubb"</formula>
    </cfRule>
    <cfRule type="expression" dxfId="157" priority="126">
      <formula>$F15="SAV Sicli"</formula>
    </cfRule>
    <cfRule type="expression" dxfId="156" priority="127">
      <formula>$F15="SAV Chubb"</formula>
    </cfRule>
    <cfRule type="expression" dxfId="155" priority="128">
      <formula>$F15="Réalisation"</formula>
    </cfRule>
    <cfRule type="expression" dxfId="154" priority="129">
      <formula>$F15="Désenfumage"</formula>
    </cfRule>
    <cfRule type="expression" dxfId="153" priority="130">
      <formula>$F15="Administratif"</formula>
    </cfRule>
  </conditionalFormatting>
  <conditionalFormatting sqref="D15">
    <cfRule type="expression" dxfId="152" priority="121">
      <formula>$H15="non"</formula>
    </cfRule>
  </conditionalFormatting>
  <conditionalFormatting sqref="D15">
    <cfRule type="expression" dxfId="151" priority="112">
      <formula>$F15="Formation CCF"</formula>
    </cfRule>
    <cfRule type="expression" dxfId="150" priority="113">
      <formula>$F15="Direction"</formula>
    </cfRule>
    <cfRule type="expression" dxfId="149" priority="114">
      <formula>$F15="Ventes Sicli"</formula>
    </cfRule>
    <cfRule type="expression" dxfId="148" priority="115">
      <formula>$F15="Ventes Chubb"</formula>
    </cfRule>
    <cfRule type="expression" dxfId="147" priority="116">
      <formula>$F15="SAV Sicli"</formula>
    </cfRule>
    <cfRule type="expression" dxfId="146" priority="117">
      <formula>$F15="SAV Chubb"</formula>
    </cfRule>
    <cfRule type="expression" dxfId="145" priority="118">
      <formula>$F15="Réalisation"</formula>
    </cfRule>
    <cfRule type="expression" dxfId="144" priority="119">
      <formula>$F15="Désenfumage"</formula>
    </cfRule>
    <cfRule type="expression" dxfId="143" priority="120">
      <formula>$F15="Administratif"</formula>
    </cfRule>
  </conditionalFormatting>
  <conditionalFormatting sqref="D15">
    <cfRule type="expression" dxfId="142" priority="111">
      <formula>$H15="non"</formula>
    </cfRule>
  </conditionalFormatting>
  <conditionalFormatting sqref="D15">
    <cfRule type="expression" dxfId="141" priority="102">
      <formula>$F15="Formation CCF"</formula>
    </cfRule>
    <cfRule type="expression" dxfId="140" priority="103">
      <formula>$F15="Direction"</formula>
    </cfRule>
    <cfRule type="expression" dxfId="139" priority="104">
      <formula>$F15="Ventes Sicli"</formula>
    </cfRule>
    <cfRule type="expression" dxfId="138" priority="105">
      <formula>$F15="Ventes Chubb"</formula>
    </cfRule>
    <cfRule type="expression" dxfId="137" priority="106">
      <formula>$F15="SAV Sicli"</formula>
    </cfRule>
    <cfRule type="expression" dxfId="136" priority="107">
      <formula>$F15="SAV Chubb"</formula>
    </cfRule>
    <cfRule type="expression" dxfId="135" priority="108">
      <formula>$F15="Réalisation"</formula>
    </cfRule>
    <cfRule type="expression" dxfId="134" priority="109">
      <formula>$F15="Désenfumage"</formula>
    </cfRule>
    <cfRule type="expression" dxfId="133" priority="110">
      <formula>$F15="Administratif"</formula>
    </cfRule>
  </conditionalFormatting>
  <conditionalFormatting sqref="D15">
    <cfRule type="expression" dxfId="132" priority="101">
      <formula>$H15="non"</formula>
    </cfRule>
  </conditionalFormatting>
  <conditionalFormatting sqref="D15">
    <cfRule type="expression" dxfId="131" priority="92">
      <formula>$F15="Formation CCF"</formula>
    </cfRule>
    <cfRule type="expression" dxfId="130" priority="93">
      <formula>$F15="Direction"</formula>
    </cfRule>
    <cfRule type="expression" dxfId="129" priority="94">
      <formula>$F15="Ventes Sicli"</formula>
    </cfRule>
    <cfRule type="expression" dxfId="128" priority="95">
      <formula>$F15="Ventes Chubb"</formula>
    </cfRule>
    <cfRule type="expression" dxfId="127" priority="96">
      <formula>$F15="SAV Sicli"</formula>
    </cfRule>
    <cfRule type="expression" dxfId="126" priority="97">
      <formula>$F15="SAV Chubb"</formula>
    </cfRule>
    <cfRule type="expression" dxfId="125" priority="98">
      <formula>$F15="Réalisation"</formula>
    </cfRule>
    <cfRule type="expression" dxfId="124" priority="99">
      <formula>$F15="Désenfumage"</formula>
    </cfRule>
    <cfRule type="expression" dxfId="123" priority="100">
      <formula>$F15="Administratif"</formula>
    </cfRule>
  </conditionalFormatting>
  <conditionalFormatting sqref="D15">
    <cfRule type="expression" dxfId="122" priority="91">
      <formula>$H15="non"</formula>
    </cfRule>
  </conditionalFormatting>
  <conditionalFormatting sqref="D15">
    <cfRule type="expression" dxfId="121" priority="82">
      <formula>$F15="Formation CCF"</formula>
    </cfRule>
    <cfRule type="expression" dxfId="120" priority="83">
      <formula>$F15="Direction"</formula>
    </cfRule>
    <cfRule type="expression" dxfId="119" priority="84">
      <formula>$F15="Ventes Sicli"</formula>
    </cfRule>
    <cfRule type="expression" dxfId="118" priority="85">
      <formula>$F15="Ventes Chubb"</formula>
    </cfRule>
    <cfRule type="expression" dxfId="117" priority="86">
      <formula>$F15="SAV Sicli"</formula>
    </cfRule>
    <cfRule type="expression" dxfId="116" priority="87">
      <formula>$F15="SAV Chubb"</formula>
    </cfRule>
    <cfRule type="expression" dxfId="115" priority="88">
      <formula>$F15="Réalisation"</formula>
    </cfRule>
    <cfRule type="expression" dxfId="114" priority="89">
      <formula>$F15="Désenfumage"</formula>
    </cfRule>
    <cfRule type="expression" dxfId="113" priority="90">
      <formula>$F15="Administratif"</formula>
    </cfRule>
  </conditionalFormatting>
  <conditionalFormatting sqref="D15">
    <cfRule type="expression" dxfId="112" priority="81">
      <formula>$H15="non"</formula>
    </cfRule>
  </conditionalFormatting>
  <conditionalFormatting sqref="D15">
    <cfRule type="expression" dxfId="111" priority="72">
      <formula>$F15="Formation CCF"</formula>
    </cfRule>
    <cfRule type="expression" dxfId="110" priority="73">
      <formula>$F15="Direction"</formula>
    </cfRule>
    <cfRule type="expression" dxfId="109" priority="74">
      <formula>$F15="Ventes Sicli"</formula>
    </cfRule>
    <cfRule type="expression" dxfId="108" priority="75">
      <formula>$F15="Ventes Chubb"</formula>
    </cfRule>
    <cfRule type="expression" dxfId="107" priority="76">
      <formula>$F15="SAV Sicli"</formula>
    </cfRule>
    <cfRule type="expression" dxfId="106" priority="77">
      <formula>$F15="SAV Chubb"</formula>
    </cfRule>
    <cfRule type="expression" dxfId="105" priority="78">
      <formula>$F15="Réalisation"</formula>
    </cfRule>
    <cfRule type="expression" dxfId="104" priority="79">
      <formula>$F15="Désenfumage"</formula>
    </cfRule>
    <cfRule type="expression" dxfId="103" priority="80">
      <formula>$F15="Administratif"</formula>
    </cfRule>
  </conditionalFormatting>
  <conditionalFormatting sqref="D15">
    <cfRule type="expression" dxfId="102" priority="71">
      <formula>$H15="non"</formula>
    </cfRule>
  </conditionalFormatting>
  <conditionalFormatting sqref="D15">
    <cfRule type="expression" dxfId="101" priority="62">
      <formula>$F15="Formation CCF"</formula>
    </cfRule>
    <cfRule type="expression" dxfId="100" priority="63">
      <formula>$F15="Direction"</formula>
    </cfRule>
    <cfRule type="expression" dxfId="99" priority="64">
      <formula>$F15="Ventes Sicli"</formula>
    </cfRule>
    <cfRule type="expression" dxfId="98" priority="65">
      <formula>$F15="Ventes Chubb"</formula>
    </cfRule>
    <cfRule type="expression" dxfId="97" priority="66">
      <formula>$F15="SAV Sicli"</formula>
    </cfRule>
    <cfRule type="expression" dxfId="96" priority="67">
      <formula>$F15="SAV Chubb"</formula>
    </cfRule>
    <cfRule type="expression" dxfId="95" priority="68">
      <formula>$F15="Réalisation"</formula>
    </cfRule>
    <cfRule type="expression" dxfId="94" priority="69">
      <formula>$F15="Désenfumage"</formula>
    </cfRule>
    <cfRule type="expression" dxfId="93" priority="70">
      <formula>$F15="Administratif"</formula>
    </cfRule>
  </conditionalFormatting>
  <conditionalFormatting sqref="D15">
    <cfRule type="expression" dxfId="92" priority="61">
      <formula>$H15="non"</formula>
    </cfRule>
  </conditionalFormatting>
  <conditionalFormatting sqref="C15:D15">
    <cfRule type="expression" dxfId="91" priority="52">
      <formula>$F15="Formation CCF"</formula>
    </cfRule>
    <cfRule type="expression" dxfId="90" priority="53">
      <formula>$F15="Direction"</formula>
    </cfRule>
    <cfRule type="expression" dxfId="89" priority="54">
      <formula>$F15="Ventes Sicli"</formula>
    </cfRule>
    <cfRule type="expression" dxfId="88" priority="55">
      <formula>$F15="Ventes Chubb"</formula>
    </cfRule>
    <cfRule type="expression" dxfId="87" priority="56">
      <formula>$F15="SAV Sicli"</formula>
    </cfRule>
    <cfRule type="expression" dxfId="86" priority="57">
      <formula>$F15="SAV Chubb"</formula>
    </cfRule>
    <cfRule type="expression" dxfId="85" priority="58">
      <formula>$F15="Réalisation"</formula>
    </cfRule>
    <cfRule type="expression" dxfId="84" priority="59">
      <formula>$F15="Désenfumage"</formula>
    </cfRule>
    <cfRule type="expression" dxfId="83" priority="60">
      <formula>$F15="Administratif"</formula>
    </cfRule>
  </conditionalFormatting>
  <conditionalFormatting sqref="C15:D15">
    <cfRule type="expression" dxfId="82" priority="51">
      <formula>$H15="non"</formula>
    </cfRule>
  </conditionalFormatting>
  <conditionalFormatting sqref="C15:D15">
    <cfRule type="expression" dxfId="81" priority="42">
      <formula>$F15="Formation CCF"</formula>
    </cfRule>
    <cfRule type="expression" dxfId="80" priority="43">
      <formula>$F15="Direction"</formula>
    </cfRule>
    <cfRule type="expression" dxfId="79" priority="44">
      <formula>$F15="Ventes Sicli"</formula>
    </cfRule>
    <cfRule type="expression" dxfId="78" priority="45">
      <formula>$F15="Ventes Chubb"</formula>
    </cfRule>
    <cfRule type="expression" dxfId="77" priority="46">
      <formula>$F15="SAV Sicli"</formula>
    </cfRule>
    <cfRule type="expression" dxfId="76" priority="47">
      <formula>$F15="SAV Chubb"</formula>
    </cfRule>
    <cfRule type="expression" dxfId="75" priority="48">
      <formula>$F15="Réalisation"</formula>
    </cfRule>
    <cfRule type="expression" dxfId="74" priority="49">
      <formula>$F15="Désenfumage"</formula>
    </cfRule>
    <cfRule type="expression" dxfId="73" priority="50">
      <formula>$F15="Administratif"</formula>
    </cfRule>
  </conditionalFormatting>
  <conditionalFormatting sqref="C15:D15">
    <cfRule type="expression" dxfId="72" priority="41">
      <formula>$H15="non"</formula>
    </cfRule>
  </conditionalFormatting>
  <conditionalFormatting sqref="C15:D15">
    <cfRule type="expression" dxfId="71" priority="32">
      <formula>$F15="Formation CCF"</formula>
    </cfRule>
    <cfRule type="expression" dxfId="70" priority="33">
      <formula>$F15="Direction"</formula>
    </cfRule>
    <cfRule type="expression" dxfId="69" priority="34">
      <formula>$F15="Ventes Sicli"</formula>
    </cfRule>
    <cfRule type="expression" dxfId="68" priority="35">
      <formula>$F15="Ventes Chubb"</formula>
    </cfRule>
    <cfRule type="expression" dxfId="67" priority="36">
      <formula>$F15="SAV Sicli"</formula>
    </cfRule>
    <cfRule type="expression" dxfId="66" priority="37">
      <formula>$F15="SAV Chubb"</formula>
    </cfRule>
    <cfRule type="expression" dxfId="65" priority="38">
      <formula>$F15="Réalisation"</formula>
    </cfRule>
    <cfRule type="expression" dxfId="64" priority="39">
      <formula>$F15="Désenfumage"</formula>
    </cfRule>
    <cfRule type="expression" dxfId="63" priority="40">
      <formula>$F15="Administratif"</formula>
    </cfRule>
  </conditionalFormatting>
  <conditionalFormatting sqref="C15:D15">
    <cfRule type="expression" dxfId="62" priority="31">
      <formula>$H15="non"</formula>
    </cfRule>
  </conditionalFormatting>
  <conditionalFormatting sqref="C15:D15">
    <cfRule type="expression" dxfId="61" priority="22">
      <formula>$F15="Formation CCF"</formula>
    </cfRule>
    <cfRule type="expression" dxfId="60" priority="23">
      <formula>$F15="Direction"</formula>
    </cfRule>
    <cfRule type="expression" dxfId="59" priority="24">
      <formula>$F15="Ventes Sicli"</formula>
    </cfRule>
    <cfRule type="expression" dxfId="58" priority="25">
      <formula>$F15="Ventes Chubb"</formula>
    </cfRule>
    <cfRule type="expression" dxfId="57" priority="26">
      <formula>$F15="SAV Sicli"</formula>
    </cfRule>
    <cfRule type="expression" dxfId="56" priority="27">
      <formula>$F15="SAV Chubb"</formula>
    </cfRule>
    <cfRule type="expression" dxfId="55" priority="28">
      <formula>$F15="Réalisation"</formula>
    </cfRule>
    <cfRule type="expression" dxfId="54" priority="29">
      <formula>$F15="Désenfumage"</formula>
    </cfRule>
    <cfRule type="expression" dxfId="53" priority="30">
      <formula>$F15="Administratif"</formula>
    </cfRule>
  </conditionalFormatting>
  <conditionalFormatting sqref="C15:D15">
    <cfRule type="expression" dxfId="52" priority="21">
      <formula>$H15="non"</formula>
    </cfRule>
  </conditionalFormatting>
  <conditionalFormatting sqref="D15">
    <cfRule type="expression" dxfId="51" priority="12">
      <formula>$F15="Formation CCF"</formula>
    </cfRule>
    <cfRule type="expression" dxfId="50" priority="13">
      <formula>$F15="Direction"</formula>
    </cfRule>
    <cfRule type="expression" dxfId="49" priority="14">
      <formula>$F15="Ventes Sicli"</formula>
    </cfRule>
    <cfRule type="expression" dxfId="48" priority="15">
      <formula>$F15="Ventes Chubb"</formula>
    </cfRule>
    <cfRule type="expression" dxfId="47" priority="16">
      <formula>$F15="SAV Sicli"</formula>
    </cfRule>
    <cfRule type="expression" dxfId="46" priority="17">
      <formula>$F15="SAV Chubb"</formula>
    </cfRule>
    <cfRule type="expression" dxfId="45" priority="18">
      <formula>$F15="Réalisation"</formula>
    </cfRule>
    <cfRule type="expression" dxfId="44" priority="19">
      <formula>$F15="Désenfumage"</formula>
    </cfRule>
    <cfRule type="expression" dxfId="43" priority="20">
      <formula>$F15="Administratif"</formula>
    </cfRule>
  </conditionalFormatting>
  <conditionalFormatting sqref="D15">
    <cfRule type="expression" dxfId="42" priority="11">
      <formula>$H15="non"</formula>
    </cfRule>
  </conditionalFormatting>
  <conditionalFormatting sqref="D15">
    <cfRule type="expression" dxfId="41" priority="2">
      <formula>$F15="Formation CCF"</formula>
    </cfRule>
    <cfRule type="expression" dxfId="40" priority="3">
      <formula>$F15="Direction"</formula>
    </cfRule>
    <cfRule type="expression" dxfId="39" priority="4">
      <formula>$F15="Ventes Sicli"</formula>
    </cfRule>
    <cfRule type="expression" dxfId="38" priority="5">
      <formula>$F15="Ventes Chubb"</formula>
    </cfRule>
    <cfRule type="expression" dxfId="37" priority="6">
      <formula>$F15="SAV Sicli"</formula>
    </cfRule>
    <cfRule type="expression" dxfId="36" priority="7">
      <formula>$F15="SAV Chubb"</formula>
    </cfRule>
    <cfRule type="expression" dxfId="35" priority="8">
      <formula>$F15="Réalisation"</formula>
    </cfRule>
    <cfRule type="expression" dxfId="34" priority="9">
      <formula>$F15="Désenfumage"</formula>
    </cfRule>
    <cfRule type="expression" dxfId="33" priority="10">
      <formula>$F15="Administratif"</formula>
    </cfRule>
  </conditionalFormatting>
  <conditionalFormatting sqref="D15">
    <cfRule type="expression" dxfId="32" priority="1">
      <formula>$H15="non"</formula>
    </cfRule>
  </conditionalFormatting>
  <dataValidations count="10">
    <dataValidation type="list" allowBlank="1" showInputMessage="1" showErrorMessage="1" sqref="WMG983119 AG65615 JW65615 TS65615 ADO65615 ANK65615 AXG65615 BHC65615 BQY65615 CAU65615 CKQ65615 CUM65615 DEI65615 DOE65615 DYA65615 EHW65615 ERS65615 FBO65615 FLK65615 FVG65615 GFC65615 GOY65615 GYU65615 HIQ65615 HSM65615 ICI65615 IME65615 IWA65615 JFW65615 JPS65615 JZO65615 KJK65615 KTG65615 LDC65615 LMY65615 LWU65615 MGQ65615 MQM65615 NAI65615 NKE65615 NUA65615 ODW65615 ONS65615 OXO65615 PHK65615 PRG65615 QBC65615 QKY65615 QUU65615 REQ65615 ROM65615 RYI65615 SIE65615 SSA65615 TBW65615 TLS65615 TVO65615 UFK65615 UPG65615 UZC65615 VIY65615 VSU65615 WCQ65615 WMM65615 WWI65615 AG131151 JW131151 TS131151 ADO131151 ANK131151 AXG131151 BHC131151 BQY131151 CAU131151 CKQ131151 CUM131151 DEI131151 DOE131151 DYA131151 EHW131151 ERS131151 FBO131151 FLK131151 FVG131151 GFC131151 GOY131151 GYU131151 HIQ131151 HSM131151 ICI131151 IME131151 IWA131151 JFW131151 JPS131151 JZO131151 KJK131151 KTG131151 LDC131151 LMY131151 LWU131151 MGQ131151 MQM131151 NAI131151 NKE131151 NUA131151 ODW131151 ONS131151 OXO131151 PHK131151 PRG131151 QBC131151 QKY131151 QUU131151 REQ131151 ROM131151 RYI131151 SIE131151 SSA131151 TBW131151 TLS131151 TVO131151 UFK131151 UPG131151 UZC131151 VIY131151 VSU131151 WCQ131151 WMM131151 WWI131151 AG196687 JW196687 TS196687 ADO196687 ANK196687 AXG196687 BHC196687 BQY196687 CAU196687 CKQ196687 CUM196687 DEI196687 DOE196687 DYA196687 EHW196687 ERS196687 FBO196687 FLK196687 FVG196687 GFC196687 GOY196687 GYU196687 HIQ196687 HSM196687 ICI196687 IME196687 IWA196687 JFW196687 JPS196687 JZO196687 KJK196687 KTG196687 LDC196687 LMY196687 LWU196687 MGQ196687 MQM196687 NAI196687 NKE196687 NUA196687 ODW196687 ONS196687 OXO196687 PHK196687 PRG196687 QBC196687 QKY196687 QUU196687 REQ196687 ROM196687 RYI196687 SIE196687 SSA196687 TBW196687 TLS196687 TVO196687 UFK196687 UPG196687 UZC196687 VIY196687 VSU196687 WCQ196687 WMM196687 WWI196687 AG262223 JW262223 TS262223 ADO262223 ANK262223 AXG262223 BHC262223 BQY262223 CAU262223 CKQ262223 CUM262223 DEI262223 DOE262223 DYA262223 EHW262223 ERS262223 FBO262223 FLK262223 FVG262223 GFC262223 GOY262223 GYU262223 HIQ262223 HSM262223 ICI262223 IME262223 IWA262223 JFW262223 JPS262223 JZO262223 KJK262223 KTG262223 LDC262223 LMY262223 LWU262223 MGQ262223 MQM262223 NAI262223 NKE262223 NUA262223 ODW262223 ONS262223 OXO262223 PHK262223 PRG262223 QBC262223 QKY262223 QUU262223 REQ262223 ROM262223 RYI262223 SIE262223 SSA262223 TBW262223 TLS262223 TVO262223 UFK262223 UPG262223 UZC262223 VIY262223 VSU262223 WCQ262223 WMM262223 WWI262223 AG327759 JW327759 TS327759 ADO327759 ANK327759 AXG327759 BHC327759 BQY327759 CAU327759 CKQ327759 CUM327759 DEI327759 DOE327759 DYA327759 EHW327759 ERS327759 FBO327759 FLK327759 FVG327759 GFC327759 GOY327759 GYU327759 HIQ327759 HSM327759 ICI327759 IME327759 IWA327759 JFW327759 JPS327759 JZO327759 KJK327759 KTG327759 LDC327759 LMY327759 LWU327759 MGQ327759 MQM327759 NAI327759 NKE327759 NUA327759 ODW327759 ONS327759 OXO327759 PHK327759 PRG327759 QBC327759 QKY327759 QUU327759 REQ327759 ROM327759 RYI327759 SIE327759 SSA327759 TBW327759 TLS327759 TVO327759 UFK327759 UPG327759 UZC327759 VIY327759 VSU327759 WCQ327759 WMM327759 WWI327759 AG393295 JW393295 TS393295 ADO393295 ANK393295 AXG393295 BHC393295 BQY393295 CAU393295 CKQ393295 CUM393295 DEI393295 DOE393295 DYA393295 EHW393295 ERS393295 FBO393295 FLK393295 FVG393295 GFC393295 GOY393295 GYU393295 HIQ393295 HSM393295 ICI393295 IME393295 IWA393295 JFW393295 JPS393295 JZO393295 KJK393295 KTG393295 LDC393295 LMY393295 LWU393295 MGQ393295 MQM393295 NAI393295 NKE393295 NUA393295 ODW393295 ONS393295 OXO393295 PHK393295 PRG393295 QBC393295 QKY393295 QUU393295 REQ393295 ROM393295 RYI393295 SIE393295 SSA393295 TBW393295 TLS393295 TVO393295 UFK393295 UPG393295 UZC393295 VIY393295 VSU393295 WCQ393295 WMM393295 WWI393295 AG458831 JW458831 TS458831 ADO458831 ANK458831 AXG458831 BHC458831 BQY458831 CAU458831 CKQ458831 CUM458831 DEI458831 DOE458831 DYA458831 EHW458831 ERS458831 FBO458831 FLK458831 FVG458831 GFC458831 GOY458831 GYU458831 HIQ458831 HSM458831 ICI458831 IME458831 IWA458831 JFW458831 JPS458831 JZO458831 KJK458831 KTG458831 LDC458831 LMY458831 LWU458831 MGQ458831 MQM458831 NAI458831 NKE458831 NUA458831 ODW458831 ONS458831 OXO458831 PHK458831 PRG458831 QBC458831 QKY458831 QUU458831 REQ458831 ROM458831 RYI458831 SIE458831 SSA458831 TBW458831 TLS458831 TVO458831 UFK458831 UPG458831 UZC458831 VIY458831 VSU458831 WCQ458831 WMM458831 WWI458831 AG524367 JW524367 TS524367 ADO524367 ANK524367 AXG524367 BHC524367 BQY524367 CAU524367 CKQ524367 CUM524367 DEI524367 DOE524367 DYA524367 EHW524367 ERS524367 FBO524367 FLK524367 FVG524367 GFC524367 GOY524367 GYU524367 HIQ524367 HSM524367 ICI524367 IME524367 IWA524367 JFW524367 JPS524367 JZO524367 KJK524367 KTG524367 LDC524367 LMY524367 LWU524367 MGQ524367 MQM524367 NAI524367 NKE524367 NUA524367 ODW524367 ONS524367 OXO524367 PHK524367 PRG524367 QBC524367 QKY524367 QUU524367 REQ524367 ROM524367 RYI524367 SIE524367 SSA524367 TBW524367 TLS524367 TVO524367 UFK524367 UPG524367 UZC524367 VIY524367 VSU524367 WCQ524367 WMM524367 WWI524367 AG589903 JW589903 TS589903 ADO589903 ANK589903 AXG589903 BHC589903 BQY589903 CAU589903 CKQ589903 CUM589903 DEI589903 DOE589903 DYA589903 EHW589903 ERS589903 FBO589903 FLK589903 FVG589903 GFC589903 GOY589903 GYU589903 HIQ589903 HSM589903 ICI589903 IME589903 IWA589903 JFW589903 JPS589903 JZO589903 KJK589903 KTG589903 LDC589903 LMY589903 LWU589903 MGQ589903 MQM589903 NAI589903 NKE589903 NUA589903 ODW589903 ONS589903 OXO589903 PHK589903 PRG589903 QBC589903 QKY589903 QUU589903 REQ589903 ROM589903 RYI589903 SIE589903 SSA589903 TBW589903 TLS589903 TVO589903 UFK589903 UPG589903 UZC589903 VIY589903 VSU589903 WCQ589903 WMM589903 WWI589903 AG655439 JW655439 TS655439 ADO655439 ANK655439 AXG655439 BHC655439 BQY655439 CAU655439 CKQ655439 CUM655439 DEI655439 DOE655439 DYA655439 EHW655439 ERS655439 FBO655439 FLK655439 FVG655439 GFC655439 GOY655439 GYU655439 HIQ655439 HSM655439 ICI655439 IME655439 IWA655439 JFW655439 JPS655439 JZO655439 KJK655439 KTG655439 LDC655439 LMY655439 LWU655439 MGQ655439 MQM655439 NAI655439 NKE655439 NUA655439 ODW655439 ONS655439 OXO655439 PHK655439 PRG655439 QBC655439 QKY655439 QUU655439 REQ655439 ROM655439 RYI655439 SIE655439 SSA655439 TBW655439 TLS655439 TVO655439 UFK655439 UPG655439 UZC655439 VIY655439 VSU655439 WCQ655439 WMM655439 WWI655439 AG720975 JW720975 TS720975 ADO720975 ANK720975 AXG720975 BHC720975 BQY720975 CAU720975 CKQ720975 CUM720975 DEI720975 DOE720975 DYA720975 EHW720975 ERS720975 FBO720975 FLK720975 FVG720975 GFC720975 GOY720975 GYU720975 HIQ720975 HSM720975 ICI720975 IME720975 IWA720975 JFW720975 JPS720975 JZO720975 KJK720975 KTG720975 LDC720975 LMY720975 LWU720975 MGQ720975 MQM720975 NAI720975 NKE720975 NUA720975 ODW720975 ONS720975 OXO720975 PHK720975 PRG720975 QBC720975 QKY720975 QUU720975 REQ720975 ROM720975 RYI720975 SIE720975 SSA720975 TBW720975 TLS720975 TVO720975 UFK720975 UPG720975 UZC720975 VIY720975 VSU720975 WCQ720975 WMM720975 WWI720975 AG786511 JW786511 TS786511 ADO786511 ANK786511 AXG786511 BHC786511 BQY786511 CAU786511 CKQ786511 CUM786511 DEI786511 DOE786511 DYA786511 EHW786511 ERS786511 FBO786511 FLK786511 FVG786511 GFC786511 GOY786511 GYU786511 HIQ786511 HSM786511 ICI786511 IME786511 IWA786511 JFW786511 JPS786511 JZO786511 KJK786511 KTG786511 LDC786511 LMY786511 LWU786511 MGQ786511 MQM786511 NAI786511 NKE786511 NUA786511 ODW786511 ONS786511 OXO786511 PHK786511 PRG786511 QBC786511 QKY786511 QUU786511 REQ786511 ROM786511 RYI786511 SIE786511 SSA786511 TBW786511 TLS786511 TVO786511 UFK786511 UPG786511 UZC786511 VIY786511 VSU786511 WCQ786511 WMM786511 WWI786511 AG852047 JW852047 TS852047 ADO852047 ANK852047 AXG852047 BHC852047 BQY852047 CAU852047 CKQ852047 CUM852047 DEI852047 DOE852047 DYA852047 EHW852047 ERS852047 FBO852047 FLK852047 FVG852047 GFC852047 GOY852047 GYU852047 HIQ852047 HSM852047 ICI852047 IME852047 IWA852047 JFW852047 JPS852047 JZO852047 KJK852047 KTG852047 LDC852047 LMY852047 LWU852047 MGQ852047 MQM852047 NAI852047 NKE852047 NUA852047 ODW852047 ONS852047 OXO852047 PHK852047 PRG852047 QBC852047 QKY852047 QUU852047 REQ852047 ROM852047 RYI852047 SIE852047 SSA852047 TBW852047 TLS852047 TVO852047 UFK852047 UPG852047 UZC852047 VIY852047 VSU852047 WCQ852047 WMM852047 WWI852047 AG917583 JW917583 TS917583 ADO917583 ANK917583 AXG917583 BHC917583 BQY917583 CAU917583 CKQ917583 CUM917583 DEI917583 DOE917583 DYA917583 EHW917583 ERS917583 FBO917583 FLK917583 FVG917583 GFC917583 GOY917583 GYU917583 HIQ917583 HSM917583 ICI917583 IME917583 IWA917583 JFW917583 JPS917583 JZO917583 KJK917583 KTG917583 LDC917583 LMY917583 LWU917583 MGQ917583 MQM917583 NAI917583 NKE917583 NUA917583 ODW917583 ONS917583 OXO917583 PHK917583 PRG917583 QBC917583 QKY917583 QUU917583 REQ917583 ROM917583 RYI917583 SIE917583 SSA917583 TBW917583 TLS917583 TVO917583 UFK917583 UPG917583 UZC917583 VIY917583 VSU917583 WCQ917583 WMM917583 WWI917583 AG983119 JW983119 TS983119 ADO983119 ANK983119 AXG983119 BHC983119 BQY983119 CAU983119 CKQ983119 CUM983119 DEI983119 DOE983119 DYA983119 EHW983119 ERS983119 FBO983119 FLK983119 FVG983119 GFC983119 GOY983119 GYU983119 HIQ983119 HSM983119 ICI983119 IME983119 IWA983119 JFW983119 JPS983119 JZO983119 KJK983119 KTG983119 LDC983119 LMY983119 LWU983119 MGQ983119 MQM983119 NAI983119 NKE983119 NUA983119 ODW983119 ONS983119 OXO983119 PHK983119 PRG983119 QBC983119 QKY983119 QUU983119 REQ983119 ROM983119 RYI983119 SIE983119 SSA983119 TBW983119 TLS983119 TVO983119 UFK983119 UPG983119 UZC983119 VIY983119 VSU983119 WCQ983119 WMM983119 WWI983119 WWC983119 AL65615 KB65615 TX65615 ADT65615 ANP65615 AXL65615 BHH65615 BRD65615 CAZ65615 CKV65615 CUR65615 DEN65615 DOJ65615 DYF65615 EIB65615 ERX65615 FBT65615 FLP65615 FVL65615 GFH65615 GPD65615 GYZ65615 HIV65615 HSR65615 ICN65615 IMJ65615 IWF65615 JGB65615 JPX65615 JZT65615 KJP65615 KTL65615 LDH65615 LND65615 LWZ65615 MGV65615 MQR65615 NAN65615 NKJ65615 NUF65615 OEB65615 ONX65615 OXT65615 PHP65615 PRL65615 QBH65615 QLD65615 QUZ65615 REV65615 ROR65615 RYN65615 SIJ65615 SSF65615 TCB65615 TLX65615 TVT65615 UFP65615 UPL65615 UZH65615 VJD65615 VSZ65615 WCV65615 WMR65615 WWN65615 AL131151 KB131151 TX131151 ADT131151 ANP131151 AXL131151 BHH131151 BRD131151 CAZ131151 CKV131151 CUR131151 DEN131151 DOJ131151 DYF131151 EIB131151 ERX131151 FBT131151 FLP131151 FVL131151 GFH131151 GPD131151 GYZ131151 HIV131151 HSR131151 ICN131151 IMJ131151 IWF131151 JGB131151 JPX131151 JZT131151 KJP131151 KTL131151 LDH131151 LND131151 LWZ131151 MGV131151 MQR131151 NAN131151 NKJ131151 NUF131151 OEB131151 ONX131151 OXT131151 PHP131151 PRL131151 QBH131151 QLD131151 QUZ131151 REV131151 ROR131151 RYN131151 SIJ131151 SSF131151 TCB131151 TLX131151 TVT131151 UFP131151 UPL131151 UZH131151 VJD131151 VSZ131151 WCV131151 WMR131151 WWN131151 AL196687 KB196687 TX196687 ADT196687 ANP196687 AXL196687 BHH196687 BRD196687 CAZ196687 CKV196687 CUR196687 DEN196687 DOJ196687 DYF196687 EIB196687 ERX196687 FBT196687 FLP196687 FVL196687 GFH196687 GPD196687 GYZ196687 HIV196687 HSR196687 ICN196687 IMJ196687 IWF196687 JGB196687 JPX196687 JZT196687 KJP196687 KTL196687 LDH196687 LND196687 LWZ196687 MGV196687 MQR196687 NAN196687 NKJ196687 NUF196687 OEB196687 ONX196687 OXT196687 PHP196687 PRL196687 QBH196687 QLD196687 QUZ196687 REV196687 ROR196687 RYN196687 SIJ196687 SSF196687 TCB196687 TLX196687 TVT196687 UFP196687 UPL196687 UZH196687 VJD196687 VSZ196687 WCV196687 WMR196687 WWN196687 AL262223 KB262223 TX262223 ADT262223 ANP262223 AXL262223 BHH262223 BRD262223 CAZ262223 CKV262223 CUR262223 DEN262223 DOJ262223 DYF262223 EIB262223 ERX262223 FBT262223 FLP262223 FVL262223 GFH262223 GPD262223 GYZ262223 HIV262223 HSR262223 ICN262223 IMJ262223 IWF262223 JGB262223 JPX262223 JZT262223 KJP262223 KTL262223 LDH262223 LND262223 LWZ262223 MGV262223 MQR262223 NAN262223 NKJ262223 NUF262223 OEB262223 ONX262223 OXT262223 PHP262223 PRL262223 QBH262223 QLD262223 QUZ262223 REV262223 ROR262223 RYN262223 SIJ262223 SSF262223 TCB262223 TLX262223 TVT262223 UFP262223 UPL262223 UZH262223 VJD262223 VSZ262223 WCV262223 WMR262223 WWN262223 AL327759 KB327759 TX327759 ADT327759 ANP327759 AXL327759 BHH327759 BRD327759 CAZ327759 CKV327759 CUR327759 DEN327759 DOJ327759 DYF327759 EIB327759 ERX327759 FBT327759 FLP327759 FVL327759 GFH327759 GPD327759 GYZ327759 HIV327759 HSR327759 ICN327759 IMJ327759 IWF327759 JGB327759 JPX327759 JZT327759 KJP327759 KTL327759 LDH327759 LND327759 LWZ327759 MGV327759 MQR327759 NAN327759 NKJ327759 NUF327759 OEB327759 ONX327759 OXT327759 PHP327759 PRL327759 QBH327759 QLD327759 QUZ327759 REV327759 ROR327759 RYN327759 SIJ327759 SSF327759 TCB327759 TLX327759 TVT327759 UFP327759 UPL327759 UZH327759 VJD327759 VSZ327759 WCV327759 WMR327759 WWN327759 AL393295 KB393295 TX393295 ADT393295 ANP393295 AXL393295 BHH393295 BRD393295 CAZ393295 CKV393295 CUR393295 DEN393295 DOJ393295 DYF393295 EIB393295 ERX393295 FBT393295 FLP393295 FVL393295 GFH393295 GPD393295 GYZ393295 HIV393295 HSR393295 ICN393295 IMJ393295 IWF393295 JGB393295 JPX393295 JZT393295 KJP393295 KTL393295 LDH393295 LND393295 LWZ393295 MGV393295 MQR393295 NAN393295 NKJ393295 NUF393295 OEB393295 ONX393295 OXT393295 PHP393295 PRL393295 QBH393295 QLD393295 QUZ393295 REV393295 ROR393295 RYN393295 SIJ393295 SSF393295 TCB393295 TLX393295 TVT393295 UFP393295 UPL393295 UZH393295 VJD393295 VSZ393295 WCV393295 WMR393295 WWN393295 AL458831 KB458831 TX458831 ADT458831 ANP458831 AXL458831 BHH458831 BRD458831 CAZ458831 CKV458831 CUR458831 DEN458831 DOJ458831 DYF458831 EIB458831 ERX458831 FBT458831 FLP458831 FVL458831 GFH458831 GPD458831 GYZ458831 HIV458831 HSR458831 ICN458831 IMJ458831 IWF458831 JGB458831 JPX458831 JZT458831 KJP458831 KTL458831 LDH458831 LND458831 LWZ458831 MGV458831 MQR458831 NAN458831 NKJ458831 NUF458831 OEB458831 ONX458831 OXT458831 PHP458831 PRL458831 QBH458831 QLD458831 QUZ458831 REV458831 ROR458831 RYN458831 SIJ458831 SSF458831 TCB458831 TLX458831 TVT458831 UFP458831 UPL458831 UZH458831 VJD458831 VSZ458831 WCV458831 WMR458831 WWN458831 AL524367 KB524367 TX524367 ADT524367 ANP524367 AXL524367 BHH524367 BRD524367 CAZ524367 CKV524367 CUR524367 DEN524367 DOJ524367 DYF524367 EIB524367 ERX524367 FBT524367 FLP524367 FVL524367 GFH524367 GPD524367 GYZ524367 HIV524367 HSR524367 ICN524367 IMJ524367 IWF524367 JGB524367 JPX524367 JZT524367 KJP524367 KTL524367 LDH524367 LND524367 LWZ524367 MGV524367 MQR524367 NAN524367 NKJ524367 NUF524367 OEB524367 ONX524367 OXT524367 PHP524367 PRL524367 QBH524367 QLD524367 QUZ524367 REV524367 ROR524367 RYN524367 SIJ524367 SSF524367 TCB524367 TLX524367 TVT524367 UFP524367 UPL524367 UZH524367 VJD524367 VSZ524367 WCV524367 WMR524367 WWN524367 AL589903 KB589903 TX589903 ADT589903 ANP589903 AXL589903 BHH589903 BRD589903 CAZ589903 CKV589903 CUR589903 DEN589903 DOJ589903 DYF589903 EIB589903 ERX589903 FBT589903 FLP589903 FVL589903 GFH589903 GPD589903 GYZ589903 HIV589903 HSR589903 ICN589903 IMJ589903 IWF589903 JGB589903 JPX589903 JZT589903 KJP589903 KTL589903 LDH589903 LND589903 LWZ589903 MGV589903 MQR589903 NAN589903 NKJ589903 NUF589903 OEB589903 ONX589903 OXT589903 PHP589903 PRL589903 QBH589903 QLD589903 QUZ589903 REV589903 ROR589903 RYN589903 SIJ589903 SSF589903 TCB589903 TLX589903 TVT589903 UFP589903 UPL589903 UZH589903 VJD589903 VSZ589903 WCV589903 WMR589903 WWN589903 AL655439 KB655439 TX655439 ADT655439 ANP655439 AXL655439 BHH655439 BRD655439 CAZ655439 CKV655439 CUR655439 DEN655439 DOJ655439 DYF655439 EIB655439 ERX655439 FBT655439 FLP655439 FVL655439 GFH655439 GPD655439 GYZ655439 HIV655439 HSR655439 ICN655439 IMJ655439 IWF655439 JGB655439 JPX655439 JZT655439 KJP655439 KTL655439 LDH655439 LND655439 LWZ655439 MGV655439 MQR655439 NAN655439 NKJ655439 NUF655439 OEB655439 ONX655439 OXT655439 PHP655439 PRL655439 QBH655439 QLD655439 QUZ655439 REV655439 ROR655439 RYN655439 SIJ655439 SSF655439 TCB655439 TLX655439 TVT655439 UFP655439 UPL655439 UZH655439 VJD655439 VSZ655439 WCV655439 WMR655439 WWN655439 AL720975 KB720975 TX720975 ADT720975 ANP720975 AXL720975 BHH720975 BRD720975 CAZ720975 CKV720975 CUR720975 DEN720975 DOJ720975 DYF720975 EIB720975 ERX720975 FBT720975 FLP720975 FVL720975 GFH720975 GPD720975 GYZ720975 HIV720975 HSR720975 ICN720975 IMJ720975 IWF720975 JGB720975 JPX720975 JZT720975 KJP720975 KTL720975 LDH720975 LND720975 LWZ720975 MGV720975 MQR720975 NAN720975 NKJ720975 NUF720975 OEB720975 ONX720975 OXT720975 PHP720975 PRL720975 QBH720975 QLD720975 QUZ720975 REV720975 ROR720975 RYN720975 SIJ720975 SSF720975 TCB720975 TLX720975 TVT720975 UFP720975 UPL720975 UZH720975 VJD720975 VSZ720975 WCV720975 WMR720975 WWN720975 AL786511 KB786511 TX786511 ADT786511 ANP786511 AXL786511 BHH786511 BRD786511 CAZ786511 CKV786511 CUR786511 DEN786511 DOJ786511 DYF786511 EIB786511 ERX786511 FBT786511 FLP786511 FVL786511 GFH786511 GPD786511 GYZ786511 HIV786511 HSR786511 ICN786511 IMJ786511 IWF786511 JGB786511 JPX786511 JZT786511 KJP786511 KTL786511 LDH786511 LND786511 LWZ786511 MGV786511 MQR786511 NAN786511 NKJ786511 NUF786511 OEB786511 ONX786511 OXT786511 PHP786511 PRL786511 QBH786511 QLD786511 QUZ786511 REV786511 ROR786511 RYN786511 SIJ786511 SSF786511 TCB786511 TLX786511 TVT786511 UFP786511 UPL786511 UZH786511 VJD786511 VSZ786511 WCV786511 WMR786511 WWN786511 AL852047 KB852047 TX852047 ADT852047 ANP852047 AXL852047 BHH852047 BRD852047 CAZ852047 CKV852047 CUR852047 DEN852047 DOJ852047 DYF852047 EIB852047 ERX852047 FBT852047 FLP852047 FVL852047 GFH852047 GPD852047 GYZ852047 HIV852047 HSR852047 ICN852047 IMJ852047 IWF852047 JGB852047 JPX852047 JZT852047 KJP852047 KTL852047 LDH852047 LND852047 LWZ852047 MGV852047 MQR852047 NAN852047 NKJ852047 NUF852047 OEB852047 ONX852047 OXT852047 PHP852047 PRL852047 QBH852047 QLD852047 QUZ852047 REV852047 ROR852047 RYN852047 SIJ852047 SSF852047 TCB852047 TLX852047 TVT852047 UFP852047 UPL852047 UZH852047 VJD852047 VSZ852047 WCV852047 WMR852047 WWN852047 AL917583 KB917583 TX917583 ADT917583 ANP917583 AXL917583 BHH917583 BRD917583 CAZ917583 CKV917583 CUR917583 DEN917583 DOJ917583 DYF917583 EIB917583 ERX917583 FBT917583 FLP917583 FVL917583 GFH917583 GPD917583 GYZ917583 HIV917583 HSR917583 ICN917583 IMJ917583 IWF917583 JGB917583 JPX917583 JZT917583 KJP917583 KTL917583 LDH917583 LND917583 LWZ917583 MGV917583 MQR917583 NAN917583 NKJ917583 NUF917583 OEB917583 ONX917583 OXT917583 PHP917583 PRL917583 QBH917583 QLD917583 QUZ917583 REV917583 ROR917583 RYN917583 SIJ917583 SSF917583 TCB917583 TLX917583 TVT917583 UFP917583 UPL917583 UZH917583 VJD917583 VSZ917583 WCV917583 WMR917583 WWN917583 AL983119 KB983119 TX983119 ADT983119 ANP983119 AXL983119 BHH983119 BRD983119 CAZ983119 CKV983119 CUR983119 DEN983119 DOJ983119 DYF983119 EIB983119 ERX983119 FBT983119 FLP983119 FVL983119 GFH983119 GPD983119 GYZ983119 HIV983119 HSR983119 ICN983119 IMJ983119 IWF983119 JGB983119 JPX983119 JZT983119 KJP983119 KTL983119 LDH983119 LND983119 LWZ983119 MGV983119 MQR983119 NAN983119 NKJ983119 NUF983119 OEB983119 ONX983119 OXT983119 PHP983119 PRL983119 QBH983119 QLD983119 QUZ983119 REV983119 ROR983119 RYN983119 SIJ983119 SSF983119 TCB983119 TLX983119 TVT983119 UFP983119 UPL983119 UZH983119 VJD983119 VSZ983119 WCV983119 WMR983119 WWN983119 VSO983119 Z65615 JK65615 TG65615 ADC65615 AMY65615 AWU65615 BGQ65615 BQM65615 CAI65615 CKE65615 CUA65615 DDW65615 DNS65615 DXO65615 EHK65615 ERG65615 FBC65615 FKY65615 FUU65615 GEQ65615 GOM65615 GYI65615 HIE65615 HSA65615 IBW65615 ILS65615 IVO65615 JFK65615 JPG65615 JZC65615 KIY65615 KSU65615 LCQ65615 LMM65615 LWI65615 MGE65615 MQA65615 MZW65615 NJS65615 NTO65615 ODK65615 ONG65615 OXC65615 PGY65615 PQU65615 QAQ65615 QKM65615 QUI65615 REE65615 ROA65615 RXW65615 SHS65615 SRO65615 TBK65615 TLG65615 TVC65615 UEY65615 UOU65615 UYQ65615 VIM65615 VSI65615 WCE65615 WMA65615 WVW65615 Z131151 JK131151 TG131151 ADC131151 AMY131151 AWU131151 BGQ131151 BQM131151 CAI131151 CKE131151 CUA131151 DDW131151 DNS131151 DXO131151 EHK131151 ERG131151 FBC131151 FKY131151 FUU131151 GEQ131151 GOM131151 GYI131151 HIE131151 HSA131151 IBW131151 ILS131151 IVO131151 JFK131151 JPG131151 JZC131151 KIY131151 KSU131151 LCQ131151 LMM131151 LWI131151 MGE131151 MQA131151 MZW131151 NJS131151 NTO131151 ODK131151 ONG131151 OXC131151 PGY131151 PQU131151 QAQ131151 QKM131151 QUI131151 REE131151 ROA131151 RXW131151 SHS131151 SRO131151 TBK131151 TLG131151 TVC131151 UEY131151 UOU131151 UYQ131151 VIM131151 VSI131151 WCE131151 WMA131151 WVW131151 Z196687 JK196687 TG196687 ADC196687 AMY196687 AWU196687 BGQ196687 BQM196687 CAI196687 CKE196687 CUA196687 DDW196687 DNS196687 DXO196687 EHK196687 ERG196687 FBC196687 FKY196687 FUU196687 GEQ196687 GOM196687 GYI196687 HIE196687 HSA196687 IBW196687 ILS196687 IVO196687 JFK196687 JPG196687 JZC196687 KIY196687 KSU196687 LCQ196687 LMM196687 LWI196687 MGE196687 MQA196687 MZW196687 NJS196687 NTO196687 ODK196687 ONG196687 OXC196687 PGY196687 PQU196687 QAQ196687 QKM196687 QUI196687 REE196687 ROA196687 RXW196687 SHS196687 SRO196687 TBK196687 TLG196687 TVC196687 UEY196687 UOU196687 UYQ196687 VIM196687 VSI196687 WCE196687 WMA196687 WVW196687 Z262223 JK262223 TG262223 ADC262223 AMY262223 AWU262223 BGQ262223 BQM262223 CAI262223 CKE262223 CUA262223 DDW262223 DNS262223 DXO262223 EHK262223 ERG262223 FBC262223 FKY262223 FUU262223 GEQ262223 GOM262223 GYI262223 HIE262223 HSA262223 IBW262223 ILS262223 IVO262223 JFK262223 JPG262223 JZC262223 KIY262223 KSU262223 LCQ262223 LMM262223 LWI262223 MGE262223 MQA262223 MZW262223 NJS262223 NTO262223 ODK262223 ONG262223 OXC262223 PGY262223 PQU262223 QAQ262223 QKM262223 QUI262223 REE262223 ROA262223 RXW262223 SHS262223 SRO262223 TBK262223 TLG262223 TVC262223 UEY262223 UOU262223 UYQ262223 VIM262223 VSI262223 WCE262223 WMA262223 WVW262223 Z327759 JK327759 TG327759 ADC327759 AMY327759 AWU327759 BGQ327759 BQM327759 CAI327759 CKE327759 CUA327759 DDW327759 DNS327759 DXO327759 EHK327759 ERG327759 FBC327759 FKY327759 FUU327759 GEQ327759 GOM327759 GYI327759 HIE327759 HSA327759 IBW327759 ILS327759 IVO327759 JFK327759 JPG327759 JZC327759 KIY327759 KSU327759 LCQ327759 LMM327759 LWI327759 MGE327759 MQA327759 MZW327759 NJS327759 NTO327759 ODK327759 ONG327759 OXC327759 PGY327759 PQU327759 QAQ327759 QKM327759 QUI327759 REE327759 ROA327759 RXW327759 SHS327759 SRO327759 TBK327759 TLG327759 TVC327759 UEY327759 UOU327759 UYQ327759 VIM327759 VSI327759 WCE327759 WMA327759 WVW327759 Z393295 JK393295 TG393295 ADC393295 AMY393295 AWU393295 BGQ393295 BQM393295 CAI393295 CKE393295 CUA393295 DDW393295 DNS393295 DXO393295 EHK393295 ERG393295 FBC393295 FKY393295 FUU393295 GEQ393295 GOM393295 GYI393295 HIE393295 HSA393295 IBW393295 ILS393295 IVO393295 JFK393295 JPG393295 JZC393295 KIY393295 KSU393295 LCQ393295 LMM393295 LWI393295 MGE393295 MQA393295 MZW393295 NJS393295 NTO393295 ODK393295 ONG393295 OXC393295 PGY393295 PQU393295 QAQ393295 QKM393295 QUI393295 REE393295 ROA393295 RXW393295 SHS393295 SRO393295 TBK393295 TLG393295 TVC393295 UEY393295 UOU393295 UYQ393295 VIM393295 VSI393295 WCE393295 WMA393295 WVW393295 Z458831 JK458831 TG458831 ADC458831 AMY458831 AWU458831 BGQ458831 BQM458831 CAI458831 CKE458831 CUA458831 DDW458831 DNS458831 DXO458831 EHK458831 ERG458831 FBC458831 FKY458831 FUU458831 GEQ458831 GOM458831 GYI458831 HIE458831 HSA458831 IBW458831 ILS458831 IVO458831 JFK458831 JPG458831 JZC458831 KIY458831 KSU458831 LCQ458831 LMM458831 LWI458831 MGE458831 MQA458831 MZW458831 NJS458831 NTO458831 ODK458831 ONG458831 OXC458831 PGY458831 PQU458831 QAQ458831 QKM458831 QUI458831 REE458831 ROA458831 RXW458831 SHS458831 SRO458831 TBK458831 TLG458831 TVC458831 UEY458831 UOU458831 UYQ458831 VIM458831 VSI458831 WCE458831 WMA458831 WVW458831 Z524367 JK524367 TG524367 ADC524367 AMY524367 AWU524367 BGQ524367 BQM524367 CAI524367 CKE524367 CUA524367 DDW524367 DNS524367 DXO524367 EHK524367 ERG524367 FBC524367 FKY524367 FUU524367 GEQ524367 GOM524367 GYI524367 HIE524367 HSA524367 IBW524367 ILS524367 IVO524367 JFK524367 JPG524367 JZC524367 KIY524367 KSU524367 LCQ524367 LMM524367 LWI524367 MGE524367 MQA524367 MZW524367 NJS524367 NTO524367 ODK524367 ONG524367 OXC524367 PGY524367 PQU524367 QAQ524367 QKM524367 QUI524367 REE524367 ROA524367 RXW524367 SHS524367 SRO524367 TBK524367 TLG524367 TVC524367 UEY524367 UOU524367 UYQ524367 VIM524367 VSI524367 WCE524367 WMA524367 WVW524367 Z589903 JK589903 TG589903 ADC589903 AMY589903 AWU589903 BGQ589903 BQM589903 CAI589903 CKE589903 CUA589903 DDW589903 DNS589903 DXO589903 EHK589903 ERG589903 FBC589903 FKY589903 FUU589903 GEQ589903 GOM589903 GYI589903 HIE589903 HSA589903 IBW589903 ILS589903 IVO589903 JFK589903 JPG589903 JZC589903 KIY589903 KSU589903 LCQ589903 LMM589903 LWI589903 MGE589903 MQA589903 MZW589903 NJS589903 NTO589903 ODK589903 ONG589903 OXC589903 PGY589903 PQU589903 QAQ589903 QKM589903 QUI589903 REE589903 ROA589903 RXW589903 SHS589903 SRO589903 TBK589903 TLG589903 TVC589903 UEY589903 UOU589903 UYQ589903 VIM589903 VSI589903 WCE589903 WMA589903 WVW589903 Z655439 JK655439 TG655439 ADC655439 AMY655439 AWU655439 BGQ655439 BQM655439 CAI655439 CKE655439 CUA655439 DDW655439 DNS655439 DXO655439 EHK655439 ERG655439 FBC655439 FKY655439 FUU655439 GEQ655439 GOM655439 GYI655439 HIE655439 HSA655439 IBW655439 ILS655439 IVO655439 JFK655439 JPG655439 JZC655439 KIY655439 KSU655439 LCQ655439 LMM655439 LWI655439 MGE655439 MQA655439 MZW655439 NJS655439 NTO655439 ODK655439 ONG655439 OXC655439 PGY655439 PQU655439 QAQ655439 QKM655439 QUI655439 REE655439 ROA655439 RXW655439 SHS655439 SRO655439 TBK655439 TLG655439 TVC655439 UEY655439 UOU655439 UYQ655439 VIM655439 VSI655439 WCE655439 WMA655439 WVW655439 Z720975 JK720975 TG720975 ADC720975 AMY720975 AWU720975 BGQ720975 BQM720975 CAI720975 CKE720975 CUA720975 DDW720975 DNS720975 DXO720975 EHK720975 ERG720975 FBC720975 FKY720975 FUU720975 GEQ720975 GOM720975 GYI720975 HIE720975 HSA720975 IBW720975 ILS720975 IVO720975 JFK720975 JPG720975 JZC720975 KIY720975 KSU720975 LCQ720975 LMM720975 LWI720975 MGE720975 MQA720975 MZW720975 NJS720975 NTO720975 ODK720975 ONG720975 OXC720975 PGY720975 PQU720975 QAQ720975 QKM720975 QUI720975 REE720975 ROA720975 RXW720975 SHS720975 SRO720975 TBK720975 TLG720975 TVC720975 UEY720975 UOU720975 UYQ720975 VIM720975 VSI720975 WCE720975 WMA720975 WVW720975 Z786511 JK786511 TG786511 ADC786511 AMY786511 AWU786511 BGQ786511 BQM786511 CAI786511 CKE786511 CUA786511 DDW786511 DNS786511 DXO786511 EHK786511 ERG786511 FBC786511 FKY786511 FUU786511 GEQ786511 GOM786511 GYI786511 HIE786511 HSA786511 IBW786511 ILS786511 IVO786511 JFK786511 JPG786511 JZC786511 KIY786511 KSU786511 LCQ786511 LMM786511 LWI786511 MGE786511 MQA786511 MZW786511 NJS786511 NTO786511 ODK786511 ONG786511 OXC786511 PGY786511 PQU786511 QAQ786511 QKM786511 QUI786511 REE786511 ROA786511 RXW786511 SHS786511 SRO786511 TBK786511 TLG786511 TVC786511 UEY786511 UOU786511 UYQ786511 VIM786511 VSI786511 WCE786511 WMA786511 WVW786511 Z852047 JK852047 TG852047 ADC852047 AMY852047 AWU852047 BGQ852047 BQM852047 CAI852047 CKE852047 CUA852047 DDW852047 DNS852047 DXO852047 EHK852047 ERG852047 FBC852047 FKY852047 FUU852047 GEQ852047 GOM852047 GYI852047 HIE852047 HSA852047 IBW852047 ILS852047 IVO852047 JFK852047 JPG852047 JZC852047 KIY852047 KSU852047 LCQ852047 LMM852047 LWI852047 MGE852047 MQA852047 MZW852047 NJS852047 NTO852047 ODK852047 ONG852047 OXC852047 PGY852047 PQU852047 QAQ852047 QKM852047 QUI852047 REE852047 ROA852047 RXW852047 SHS852047 SRO852047 TBK852047 TLG852047 TVC852047 UEY852047 UOU852047 UYQ852047 VIM852047 VSI852047 WCE852047 WMA852047 WVW852047 Z917583 JK917583 TG917583 ADC917583 AMY917583 AWU917583 BGQ917583 BQM917583 CAI917583 CKE917583 CUA917583 DDW917583 DNS917583 DXO917583 EHK917583 ERG917583 FBC917583 FKY917583 FUU917583 GEQ917583 GOM917583 GYI917583 HIE917583 HSA917583 IBW917583 ILS917583 IVO917583 JFK917583 JPG917583 JZC917583 KIY917583 KSU917583 LCQ917583 LMM917583 LWI917583 MGE917583 MQA917583 MZW917583 NJS917583 NTO917583 ODK917583 ONG917583 OXC917583 PGY917583 PQU917583 QAQ917583 QKM917583 QUI917583 REE917583 ROA917583 RXW917583 SHS917583 SRO917583 TBK917583 TLG917583 TVC917583 UEY917583 UOU917583 UYQ917583 VIM917583 VSI917583 WCE917583 WMA917583 WVW917583 Z983119 JK983119 TG983119 ADC983119 AMY983119 AWU983119 BGQ983119 BQM983119 CAI983119 CKE983119 CUA983119 DDW983119 DNS983119 DXO983119 EHK983119 ERG983119 FBC983119 FKY983119 FUU983119 GEQ983119 GOM983119 GYI983119 HIE983119 HSA983119 IBW983119 ILS983119 IVO983119 JFK983119 JPG983119 JZC983119 KIY983119 KSU983119 LCQ983119 LMM983119 LWI983119 MGE983119 MQA983119 MZW983119 NJS983119 NTO983119 ODK983119 ONG983119 OXC983119 PGY983119 PQU983119 QAQ983119 QKM983119 QUI983119 REE983119 ROA983119 RXW983119 SHS983119 SRO983119 TBK983119 TLG983119 TVC983119 UEY983119 UOU983119 UYQ983119 VIM983119 VSI983119 WCE983119 WMA983119 WVW983119 WCK983119 VIS983119 JQ65615 TM65615 ADI65615 ANE65615 AXA65615 BGW65615 BQS65615 CAO65615 CKK65615 CUG65615 DEC65615 DNY65615 DXU65615 EHQ65615 ERM65615 FBI65615 FLE65615 FVA65615 GEW65615 GOS65615 GYO65615 HIK65615 HSG65615 ICC65615 ILY65615 IVU65615 JFQ65615 JPM65615 JZI65615 KJE65615 KTA65615 LCW65615 LMS65615 LWO65615 MGK65615 MQG65615 NAC65615 NJY65615 NTU65615 ODQ65615 ONM65615 OXI65615 PHE65615 PRA65615 QAW65615 QKS65615 QUO65615 REK65615 ROG65615 RYC65615 SHY65615 SRU65615 TBQ65615 TLM65615 TVI65615 UFE65615 UPA65615 UYW65615 VIS65615 VSO65615 WCK65615 WMG65615 WWC65615 JQ131151 TM131151 ADI131151 ANE131151 AXA131151 BGW131151 BQS131151 CAO131151 CKK131151 CUG131151 DEC131151 DNY131151 DXU131151 EHQ131151 ERM131151 FBI131151 FLE131151 FVA131151 GEW131151 GOS131151 GYO131151 HIK131151 HSG131151 ICC131151 ILY131151 IVU131151 JFQ131151 JPM131151 JZI131151 KJE131151 KTA131151 LCW131151 LMS131151 LWO131151 MGK131151 MQG131151 NAC131151 NJY131151 NTU131151 ODQ131151 ONM131151 OXI131151 PHE131151 PRA131151 QAW131151 QKS131151 QUO131151 REK131151 ROG131151 RYC131151 SHY131151 SRU131151 TBQ131151 TLM131151 TVI131151 UFE131151 UPA131151 UYW131151 VIS131151 VSO131151 WCK131151 WMG131151 WWC131151 JQ196687 TM196687 ADI196687 ANE196687 AXA196687 BGW196687 BQS196687 CAO196687 CKK196687 CUG196687 DEC196687 DNY196687 DXU196687 EHQ196687 ERM196687 FBI196687 FLE196687 FVA196687 GEW196687 GOS196687 GYO196687 HIK196687 HSG196687 ICC196687 ILY196687 IVU196687 JFQ196687 JPM196687 JZI196687 KJE196687 KTA196687 LCW196687 LMS196687 LWO196687 MGK196687 MQG196687 NAC196687 NJY196687 NTU196687 ODQ196687 ONM196687 OXI196687 PHE196687 PRA196687 QAW196687 QKS196687 QUO196687 REK196687 ROG196687 RYC196687 SHY196687 SRU196687 TBQ196687 TLM196687 TVI196687 UFE196687 UPA196687 UYW196687 VIS196687 VSO196687 WCK196687 WMG196687 WWC196687 JQ262223 TM262223 ADI262223 ANE262223 AXA262223 BGW262223 BQS262223 CAO262223 CKK262223 CUG262223 DEC262223 DNY262223 DXU262223 EHQ262223 ERM262223 FBI262223 FLE262223 FVA262223 GEW262223 GOS262223 GYO262223 HIK262223 HSG262223 ICC262223 ILY262223 IVU262223 JFQ262223 JPM262223 JZI262223 KJE262223 KTA262223 LCW262223 LMS262223 LWO262223 MGK262223 MQG262223 NAC262223 NJY262223 NTU262223 ODQ262223 ONM262223 OXI262223 PHE262223 PRA262223 QAW262223 QKS262223 QUO262223 REK262223 ROG262223 RYC262223 SHY262223 SRU262223 TBQ262223 TLM262223 TVI262223 UFE262223 UPA262223 UYW262223 VIS262223 VSO262223 WCK262223 WMG262223 WWC262223 JQ327759 TM327759 ADI327759 ANE327759 AXA327759 BGW327759 BQS327759 CAO327759 CKK327759 CUG327759 DEC327759 DNY327759 DXU327759 EHQ327759 ERM327759 FBI327759 FLE327759 FVA327759 GEW327759 GOS327759 GYO327759 HIK327759 HSG327759 ICC327759 ILY327759 IVU327759 JFQ327759 JPM327759 JZI327759 KJE327759 KTA327759 LCW327759 LMS327759 LWO327759 MGK327759 MQG327759 NAC327759 NJY327759 NTU327759 ODQ327759 ONM327759 OXI327759 PHE327759 PRA327759 QAW327759 QKS327759 QUO327759 REK327759 ROG327759 RYC327759 SHY327759 SRU327759 TBQ327759 TLM327759 TVI327759 UFE327759 UPA327759 UYW327759 VIS327759 VSO327759 WCK327759 WMG327759 WWC327759 JQ393295 TM393295 ADI393295 ANE393295 AXA393295 BGW393295 BQS393295 CAO393295 CKK393295 CUG393295 DEC393295 DNY393295 DXU393295 EHQ393295 ERM393295 FBI393295 FLE393295 FVA393295 GEW393295 GOS393295 GYO393295 HIK393295 HSG393295 ICC393295 ILY393295 IVU393295 JFQ393295 JPM393295 JZI393295 KJE393295 KTA393295 LCW393295 LMS393295 LWO393295 MGK393295 MQG393295 NAC393295 NJY393295 NTU393295 ODQ393295 ONM393295 OXI393295 PHE393295 PRA393295 QAW393295 QKS393295 QUO393295 REK393295 ROG393295 RYC393295 SHY393295 SRU393295 TBQ393295 TLM393295 TVI393295 UFE393295 UPA393295 UYW393295 VIS393295 VSO393295 WCK393295 WMG393295 WWC393295 JQ458831 TM458831 ADI458831 ANE458831 AXA458831 BGW458831 BQS458831 CAO458831 CKK458831 CUG458831 DEC458831 DNY458831 DXU458831 EHQ458831 ERM458831 FBI458831 FLE458831 FVA458831 GEW458831 GOS458831 GYO458831 HIK458831 HSG458831 ICC458831 ILY458831 IVU458831 JFQ458831 JPM458831 JZI458831 KJE458831 KTA458831 LCW458831 LMS458831 LWO458831 MGK458831 MQG458831 NAC458831 NJY458831 NTU458831 ODQ458831 ONM458831 OXI458831 PHE458831 PRA458831 QAW458831 QKS458831 QUO458831 REK458831 ROG458831 RYC458831 SHY458831 SRU458831 TBQ458831 TLM458831 TVI458831 UFE458831 UPA458831 UYW458831 VIS458831 VSO458831 WCK458831 WMG458831 WWC458831 JQ524367 TM524367 ADI524367 ANE524367 AXA524367 BGW524367 BQS524367 CAO524367 CKK524367 CUG524367 DEC524367 DNY524367 DXU524367 EHQ524367 ERM524367 FBI524367 FLE524367 FVA524367 GEW524367 GOS524367 GYO524367 HIK524367 HSG524367 ICC524367 ILY524367 IVU524367 JFQ524367 JPM524367 JZI524367 KJE524367 KTA524367 LCW524367 LMS524367 LWO524367 MGK524367 MQG524367 NAC524367 NJY524367 NTU524367 ODQ524367 ONM524367 OXI524367 PHE524367 PRA524367 QAW524367 QKS524367 QUO524367 REK524367 ROG524367 RYC524367 SHY524367 SRU524367 TBQ524367 TLM524367 TVI524367 UFE524367 UPA524367 UYW524367 VIS524367 VSO524367 WCK524367 WMG524367 WWC524367 JQ589903 TM589903 ADI589903 ANE589903 AXA589903 BGW589903 BQS589903 CAO589903 CKK589903 CUG589903 DEC589903 DNY589903 DXU589903 EHQ589903 ERM589903 FBI589903 FLE589903 FVA589903 GEW589903 GOS589903 GYO589903 HIK589903 HSG589903 ICC589903 ILY589903 IVU589903 JFQ589903 JPM589903 JZI589903 KJE589903 KTA589903 LCW589903 LMS589903 LWO589903 MGK589903 MQG589903 NAC589903 NJY589903 NTU589903 ODQ589903 ONM589903 OXI589903 PHE589903 PRA589903 QAW589903 QKS589903 QUO589903 REK589903 ROG589903 RYC589903 SHY589903 SRU589903 TBQ589903 TLM589903 TVI589903 UFE589903 UPA589903 UYW589903 VIS589903 VSO589903 WCK589903 WMG589903 WWC589903 JQ655439 TM655439 ADI655439 ANE655439 AXA655439 BGW655439 BQS655439 CAO655439 CKK655439 CUG655439 DEC655439 DNY655439 DXU655439 EHQ655439 ERM655439 FBI655439 FLE655439 FVA655439 GEW655439 GOS655439 GYO655439 HIK655439 HSG655439 ICC655439 ILY655439 IVU655439 JFQ655439 JPM655439 JZI655439 KJE655439 KTA655439 LCW655439 LMS655439 LWO655439 MGK655439 MQG655439 NAC655439 NJY655439 NTU655439 ODQ655439 ONM655439 OXI655439 PHE655439 PRA655439 QAW655439 QKS655439 QUO655439 REK655439 ROG655439 RYC655439 SHY655439 SRU655439 TBQ655439 TLM655439 TVI655439 UFE655439 UPA655439 UYW655439 VIS655439 VSO655439 WCK655439 WMG655439 WWC655439 JQ720975 TM720975 ADI720975 ANE720975 AXA720975 BGW720975 BQS720975 CAO720975 CKK720975 CUG720975 DEC720975 DNY720975 DXU720975 EHQ720975 ERM720975 FBI720975 FLE720975 FVA720975 GEW720975 GOS720975 GYO720975 HIK720975 HSG720975 ICC720975 ILY720975 IVU720975 JFQ720975 JPM720975 JZI720975 KJE720975 KTA720975 LCW720975 LMS720975 LWO720975 MGK720975 MQG720975 NAC720975 NJY720975 NTU720975 ODQ720975 ONM720975 OXI720975 PHE720975 PRA720975 QAW720975 QKS720975 QUO720975 REK720975 ROG720975 RYC720975 SHY720975 SRU720975 TBQ720975 TLM720975 TVI720975 UFE720975 UPA720975 UYW720975 VIS720975 VSO720975 WCK720975 WMG720975 WWC720975 JQ786511 TM786511 ADI786511 ANE786511 AXA786511 BGW786511 BQS786511 CAO786511 CKK786511 CUG786511 DEC786511 DNY786511 DXU786511 EHQ786511 ERM786511 FBI786511 FLE786511 FVA786511 GEW786511 GOS786511 GYO786511 HIK786511 HSG786511 ICC786511 ILY786511 IVU786511 JFQ786511 JPM786511 JZI786511 KJE786511 KTA786511 LCW786511 LMS786511 LWO786511 MGK786511 MQG786511 NAC786511 NJY786511 NTU786511 ODQ786511 ONM786511 OXI786511 PHE786511 PRA786511 QAW786511 QKS786511 QUO786511 REK786511 ROG786511 RYC786511 SHY786511 SRU786511 TBQ786511 TLM786511 TVI786511 UFE786511 UPA786511 UYW786511 VIS786511 VSO786511 WCK786511 WMG786511 WWC786511 JQ852047 TM852047 ADI852047 ANE852047 AXA852047 BGW852047 BQS852047 CAO852047 CKK852047 CUG852047 DEC852047 DNY852047 DXU852047 EHQ852047 ERM852047 FBI852047 FLE852047 FVA852047 GEW852047 GOS852047 GYO852047 HIK852047 HSG852047 ICC852047 ILY852047 IVU852047 JFQ852047 JPM852047 JZI852047 KJE852047 KTA852047 LCW852047 LMS852047 LWO852047 MGK852047 MQG852047 NAC852047 NJY852047 NTU852047 ODQ852047 ONM852047 OXI852047 PHE852047 PRA852047 QAW852047 QKS852047 QUO852047 REK852047 ROG852047 RYC852047 SHY852047 SRU852047 TBQ852047 TLM852047 TVI852047 UFE852047 UPA852047 UYW852047 VIS852047 VSO852047 WCK852047 WMG852047 WWC852047 JQ917583 TM917583 ADI917583 ANE917583 AXA917583 BGW917583 BQS917583 CAO917583 CKK917583 CUG917583 DEC917583 DNY917583 DXU917583 EHQ917583 ERM917583 FBI917583 FLE917583 FVA917583 GEW917583 GOS917583 GYO917583 HIK917583 HSG917583 ICC917583 ILY917583 IVU917583 JFQ917583 JPM917583 JZI917583 KJE917583 KTA917583 LCW917583 LMS917583 LWO917583 MGK917583 MQG917583 NAC917583 NJY917583 NTU917583 ODQ917583 ONM917583 OXI917583 PHE917583 PRA917583 QAW917583 QKS917583 QUO917583 REK917583 ROG917583 RYC917583 SHY917583 SRU917583 TBQ917583 TLM917583 TVI917583 UFE917583 UPA917583 UYW917583 VIS917583 VSO917583 WCK917583 WMG917583 WWC917583 JQ983119 TM983119 ADI983119 ANE983119 AXA983119 BGW983119 BQS983119 CAO983119 CKK983119 CUG983119 DEC983119 DNY983119 DXU983119 EHQ983119 ERM983119 FBI983119 FLE983119 FVA983119 GEW983119 GOS983119 GYO983119 HIK983119 HSG983119 ICC983119 ILY983119 IVU983119 JFQ983119 JPM983119 JZI983119 KJE983119 KTA983119 LCW983119 LMS983119 LWO983119 MGK983119 MQG983119 NAC983119 NJY983119 NTU983119 ODQ983119 ONM983119 OXI983119 PHE983119 PRA983119 QAW983119 QKS983119 QUO983119 REK983119 ROG983119 RYC983119 SHY983119 SRU983119 TBQ983119 TLM983119 TVI983119 UFE983119 UPA983119 UYW983119 P65615 P131151 P196687 P262223 P327759 P393295 P458831 P524367 P589903 P655439 P720975 P786511 P852047 P917583 P983119">
      <formula1>Actions</formula1>
    </dataValidation>
    <dataValidation type="list" allowBlank="1" showInputMessage="1" showErrorMessage="1" sqref="AC65615:AD65615 JT65615 TP65615 ADL65615 ANH65615 AXD65615 BGZ65615 BQV65615 CAR65615 CKN65615 CUJ65615 DEF65615 DOB65615 DXX65615 EHT65615 ERP65615 FBL65615 FLH65615 FVD65615 GEZ65615 GOV65615 GYR65615 HIN65615 HSJ65615 ICF65615 IMB65615 IVX65615 JFT65615 JPP65615 JZL65615 KJH65615 KTD65615 LCZ65615 LMV65615 LWR65615 MGN65615 MQJ65615 NAF65615 NKB65615 NTX65615 ODT65615 ONP65615 OXL65615 PHH65615 PRD65615 QAZ65615 QKV65615 QUR65615 REN65615 ROJ65615 RYF65615 SIB65615 SRX65615 TBT65615 TLP65615 TVL65615 UFH65615 UPD65615 UYZ65615 VIV65615 VSR65615 WCN65615 WMJ65615 WWF65615 AC131151:AD131151 JT131151 TP131151 ADL131151 ANH131151 AXD131151 BGZ131151 BQV131151 CAR131151 CKN131151 CUJ131151 DEF131151 DOB131151 DXX131151 EHT131151 ERP131151 FBL131151 FLH131151 FVD131151 GEZ131151 GOV131151 GYR131151 HIN131151 HSJ131151 ICF131151 IMB131151 IVX131151 JFT131151 JPP131151 JZL131151 KJH131151 KTD131151 LCZ131151 LMV131151 LWR131151 MGN131151 MQJ131151 NAF131151 NKB131151 NTX131151 ODT131151 ONP131151 OXL131151 PHH131151 PRD131151 QAZ131151 QKV131151 QUR131151 REN131151 ROJ131151 RYF131151 SIB131151 SRX131151 TBT131151 TLP131151 TVL131151 UFH131151 UPD131151 UYZ131151 VIV131151 VSR131151 WCN131151 WMJ131151 WWF131151 AC196687:AD196687 JT196687 TP196687 ADL196687 ANH196687 AXD196687 BGZ196687 BQV196687 CAR196687 CKN196687 CUJ196687 DEF196687 DOB196687 DXX196687 EHT196687 ERP196687 FBL196687 FLH196687 FVD196687 GEZ196687 GOV196687 GYR196687 HIN196687 HSJ196687 ICF196687 IMB196687 IVX196687 JFT196687 JPP196687 JZL196687 KJH196687 KTD196687 LCZ196687 LMV196687 LWR196687 MGN196687 MQJ196687 NAF196687 NKB196687 NTX196687 ODT196687 ONP196687 OXL196687 PHH196687 PRD196687 QAZ196687 QKV196687 QUR196687 REN196687 ROJ196687 RYF196687 SIB196687 SRX196687 TBT196687 TLP196687 TVL196687 UFH196687 UPD196687 UYZ196687 VIV196687 VSR196687 WCN196687 WMJ196687 WWF196687 AC262223:AD262223 JT262223 TP262223 ADL262223 ANH262223 AXD262223 BGZ262223 BQV262223 CAR262223 CKN262223 CUJ262223 DEF262223 DOB262223 DXX262223 EHT262223 ERP262223 FBL262223 FLH262223 FVD262223 GEZ262223 GOV262223 GYR262223 HIN262223 HSJ262223 ICF262223 IMB262223 IVX262223 JFT262223 JPP262223 JZL262223 KJH262223 KTD262223 LCZ262223 LMV262223 LWR262223 MGN262223 MQJ262223 NAF262223 NKB262223 NTX262223 ODT262223 ONP262223 OXL262223 PHH262223 PRD262223 QAZ262223 QKV262223 QUR262223 REN262223 ROJ262223 RYF262223 SIB262223 SRX262223 TBT262223 TLP262223 TVL262223 UFH262223 UPD262223 UYZ262223 VIV262223 VSR262223 WCN262223 WMJ262223 WWF262223 AC327759:AD327759 JT327759 TP327759 ADL327759 ANH327759 AXD327759 BGZ327759 BQV327759 CAR327759 CKN327759 CUJ327759 DEF327759 DOB327759 DXX327759 EHT327759 ERP327759 FBL327759 FLH327759 FVD327759 GEZ327759 GOV327759 GYR327759 HIN327759 HSJ327759 ICF327759 IMB327759 IVX327759 JFT327759 JPP327759 JZL327759 KJH327759 KTD327759 LCZ327759 LMV327759 LWR327759 MGN327759 MQJ327759 NAF327759 NKB327759 NTX327759 ODT327759 ONP327759 OXL327759 PHH327759 PRD327759 QAZ327759 QKV327759 QUR327759 REN327759 ROJ327759 RYF327759 SIB327759 SRX327759 TBT327759 TLP327759 TVL327759 UFH327759 UPD327759 UYZ327759 VIV327759 VSR327759 WCN327759 WMJ327759 WWF327759 AC393295:AD393295 JT393295 TP393295 ADL393295 ANH393295 AXD393295 BGZ393295 BQV393295 CAR393295 CKN393295 CUJ393295 DEF393295 DOB393295 DXX393295 EHT393295 ERP393295 FBL393295 FLH393295 FVD393295 GEZ393295 GOV393295 GYR393295 HIN393295 HSJ393295 ICF393295 IMB393295 IVX393295 JFT393295 JPP393295 JZL393295 KJH393295 KTD393295 LCZ393295 LMV393295 LWR393295 MGN393295 MQJ393295 NAF393295 NKB393295 NTX393295 ODT393295 ONP393295 OXL393295 PHH393295 PRD393295 QAZ393295 QKV393295 QUR393295 REN393295 ROJ393295 RYF393295 SIB393295 SRX393295 TBT393295 TLP393295 TVL393295 UFH393295 UPD393295 UYZ393295 VIV393295 VSR393295 WCN393295 WMJ393295 WWF393295 AC458831:AD458831 JT458831 TP458831 ADL458831 ANH458831 AXD458831 BGZ458831 BQV458831 CAR458831 CKN458831 CUJ458831 DEF458831 DOB458831 DXX458831 EHT458831 ERP458831 FBL458831 FLH458831 FVD458831 GEZ458831 GOV458831 GYR458831 HIN458831 HSJ458831 ICF458831 IMB458831 IVX458831 JFT458831 JPP458831 JZL458831 KJH458831 KTD458831 LCZ458831 LMV458831 LWR458831 MGN458831 MQJ458831 NAF458831 NKB458831 NTX458831 ODT458831 ONP458831 OXL458831 PHH458831 PRD458831 QAZ458831 QKV458831 QUR458831 REN458831 ROJ458831 RYF458831 SIB458831 SRX458831 TBT458831 TLP458831 TVL458831 UFH458831 UPD458831 UYZ458831 VIV458831 VSR458831 WCN458831 WMJ458831 WWF458831 AC524367:AD524367 JT524367 TP524367 ADL524367 ANH524367 AXD524367 BGZ524367 BQV524367 CAR524367 CKN524367 CUJ524367 DEF524367 DOB524367 DXX524367 EHT524367 ERP524367 FBL524367 FLH524367 FVD524367 GEZ524367 GOV524367 GYR524367 HIN524367 HSJ524367 ICF524367 IMB524367 IVX524367 JFT524367 JPP524367 JZL524367 KJH524367 KTD524367 LCZ524367 LMV524367 LWR524367 MGN524367 MQJ524367 NAF524367 NKB524367 NTX524367 ODT524367 ONP524367 OXL524367 PHH524367 PRD524367 QAZ524367 QKV524367 QUR524367 REN524367 ROJ524367 RYF524367 SIB524367 SRX524367 TBT524367 TLP524367 TVL524367 UFH524367 UPD524367 UYZ524367 VIV524367 VSR524367 WCN524367 WMJ524367 WWF524367 AC589903:AD589903 JT589903 TP589903 ADL589903 ANH589903 AXD589903 BGZ589903 BQV589903 CAR589903 CKN589903 CUJ589903 DEF589903 DOB589903 DXX589903 EHT589903 ERP589903 FBL589903 FLH589903 FVD589903 GEZ589903 GOV589903 GYR589903 HIN589903 HSJ589903 ICF589903 IMB589903 IVX589903 JFT589903 JPP589903 JZL589903 KJH589903 KTD589903 LCZ589903 LMV589903 LWR589903 MGN589903 MQJ589903 NAF589903 NKB589903 NTX589903 ODT589903 ONP589903 OXL589903 PHH589903 PRD589903 QAZ589903 QKV589903 QUR589903 REN589903 ROJ589903 RYF589903 SIB589903 SRX589903 TBT589903 TLP589903 TVL589903 UFH589903 UPD589903 UYZ589903 VIV589903 VSR589903 WCN589903 WMJ589903 WWF589903 AC655439:AD655439 JT655439 TP655439 ADL655439 ANH655439 AXD655439 BGZ655439 BQV655439 CAR655439 CKN655439 CUJ655439 DEF655439 DOB655439 DXX655439 EHT655439 ERP655439 FBL655439 FLH655439 FVD655439 GEZ655439 GOV655439 GYR655439 HIN655439 HSJ655439 ICF655439 IMB655439 IVX655439 JFT655439 JPP655439 JZL655439 KJH655439 KTD655439 LCZ655439 LMV655439 LWR655439 MGN655439 MQJ655439 NAF655439 NKB655439 NTX655439 ODT655439 ONP655439 OXL655439 PHH655439 PRD655439 QAZ655439 QKV655439 QUR655439 REN655439 ROJ655439 RYF655439 SIB655439 SRX655439 TBT655439 TLP655439 TVL655439 UFH655439 UPD655439 UYZ655439 VIV655439 VSR655439 WCN655439 WMJ655439 WWF655439 AC720975:AD720975 JT720975 TP720975 ADL720975 ANH720975 AXD720975 BGZ720975 BQV720975 CAR720975 CKN720975 CUJ720975 DEF720975 DOB720975 DXX720975 EHT720975 ERP720975 FBL720975 FLH720975 FVD720975 GEZ720975 GOV720975 GYR720975 HIN720975 HSJ720975 ICF720975 IMB720975 IVX720975 JFT720975 JPP720975 JZL720975 KJH720975 KTD720975 LCZ720975 LMV720975 LWR720975 MGN720975 MQJ720975 NAF720975 NKB720975 NTX720975 ODT720975 ONP720975 OXL720975 PHH720975 PRD720975 QAZ720975 QKV720975 QUR720975 REN720975 ROJ720975 RYF720975 SIB720975 SRX720975 TBT720975 TLP720975 TVL720975 UFH720975 UPD720975 UYZ720975 VIV720975 VSR720975 WCN720975 WMJ720975 WWF720975 AC786511:AD786511 JT786511 TP786511 ADL786511 ANH786511 AXD786511 BGZ786511 BQV786511 CAR786511 CKN786511 CUJ786511 DEF786511 DOB786511 DXX786511 EHT786511 ERP786511 FBL786511 FLH786511 FVD786511 GEZ786511 GOV786511 GYR786511 HIN786511 HSJ786511 ICF786511 IMB786511 IVX786511 JFT786511 JPP786511 JZL786511 KJH786511 KTD786511 LCZ786511 LMV786511 LWR786511 MGN786511 MQJ786511 NAF786511 NKB786511 NTX786511 ODT786511 ONP786511 OXL786511 PHH786511 PRD786511 QAZ786511 QKV786511 QUR786511 REN786511 ROJ786511 RYF786511 SIB786511 SRX786511 TBT786511 TLP786511 TVL786511 UFH786511 UPD786511 UYZ786511 VIV786511 VSR786511 WCN786511 WMJ786511 WWF786511 AC852047:AD852047 JT852047 TP852047 ADL852047 ANH852047 AXD852047 BGZ852047 BQV852047 CAR852047 CKN852047 CUJ852047 DEF852047 DOB852047 DXX852047 EHT852047 ERP852047 FBL852047 FLH852047 FVD852047 GEZ852047 GOV852047 GYR852047 HIN852047 HSJ852047 ICF852047 IMB852047 IVX852047 JFT852047 JPP852047 JZL852047 KJH852047 KTD852047 LCZ852047 LMV852047 LWR852047 MGN852047 MQJ852047 NAF852047 NKB852047 NTX852047 ODT852047 ONP852047 OXL852047 PHH852047 PRD852047 QAZ852047 QKV852047 QUR852047 REN852047 ROJ852047 RYF852047 SIB852047 SRX852047 TBT852047 TLP852047 TVL852047 UFH852047 UPD852047 UYZ852047 VIV852047 VSR852047 WCN852047 WMJ852047 WWF852047 AC917583:AD917583 JT917583 TP917583 ADL917583 ANH917583 AXD917583 BGZ917583 BQV917583 CAR917583 CKN917583 CUJ917583 DEF917583 DOB917583 DXX917583 EHT917583 ERP917583 FBL917583 FLH917583 FVD917583 GEZ917583 GOV917583 GYR917583 HIN917583 HSJ917583 ICF917583 IMB917583 IVX917583 JFT917583 JPP917583 JZL917583 KJH917583 KTD917583 LCZ917583 LMV917583 LWR917583 MGN917583 MQJ917583 NAF917583 NKB917583 NTX917583 ODT917583 ONP917583 OXL917583 PHH917583 PRD917583 QAZ917583 QKV917583 QUR917583 REN917583 ROJ917583 RYF917583 SIB917583 SRX917583 TBT917583 TLP917583 TVL917583 UFH917583 UPD917583 UYZ917583 VIV917583 VSR917583 WCN917583 WMJ917583 WWF917583 AC983119:AD983119 JT983119 TP983119 ADL983119 ANH983119 AXD983119 BGZ983119 BQV983119 CAR983119 CKN983119 CUJ983119 DEF983119 DOB983119 DXX983119 EHT983119 ERP983119 FBL983119 FLH983119 FVD983119 GEZ983119 GOV983119 GYR983119 HIN983119 HSJ983119 ICF983119 IMB983119 IVX983119 JFT983119 JPP983119 JZL983119 KJH983119 KTD983119 LCZ983119 LMV983119 LWR983119 MGN983119 MQJ983119 NAF983119 NKB983119 NTX983119 ODT983119 ONP983119 OXL983119 PHH983119 PRD983119 QAZ983119 QKV983119 QUR983119 REN983119 ROJ983119 RYF983119 SIB983119 SRX983119 TBT983119 TLP983119 TVL983119 UFH983119 UPD983119 UYZ983119 VIV983119 VSR983119 WCN983119 WMJ983119 WWF983119 V65615:W65615 JH65615 TD65615 ACZ65615 AMV65615 AWR65615 BGN65615 BQJ65615 CAF65615 CKB65615 CTX65615 DDT65615 DNP65615 DXL65615 EHH65615 ERD65615 FAZ65615 FKV65615 FUR65615 GEN65615 GOJ65615 GYF65615 HIB65615 HRX65615 IBT65615 ILP65615 IVL65615 JFH65615 JPD65615 JYZ65615 KIV65615 KSR65615 LCN65615 LMJ65615 LWF65615 MGB65615 MPX65615 MZT65615 NJP65615 NTL65615 ODH65615 OND65615 OWZ65615 PGV65615 PQR65615 QAN65615 QKJ65615 QUF65615 REB65615 RNX65615 RXT65615 SHP65615 SRL65615 TBH65615 TLD65615 TUZ65615 UEV65615 UOR65615 UYN65615 VIJ65615 VSF65615 WCB65615 WLX65615 WVT65615 V131151:W131151 JH131151 TD131151 ACZ131151 AMV131151 AWR131151 BGN131151 BQJ131151 CAF131151 CKB131151 CTX131151 DDT131151 DNP131151 DXL131151 EHH131151 ERD131151 FAZ131151 FKV131151 FUR131151 GEN131151 GOJ131151 GYF131151 HIB131151 HRX131151 IBT131151 ILP131151 IVL131151 JFH131151 JPD131151 JYZ131151 KIV131151 KSR131151 LCN131151 LMJ131151 LWF131151 MGB131151 MPX131151 MZT131151 NJP131151 NTL131151 ODH131151 OND131151 OWZ131151 PGV131151 PQR131151 QAN131151 QKJ131151 QUF131151 REB131151 RNX131151 RXT131151 SHP131151 SRL131151 TBH131151 TLD131151 TUZ131151 UEV131151 UOR131151 UYN131151 VIJ131151 VSF131151 WCB131151 WLX131151 WVT131151 V196687:W196687 JH196687 TD196687 ACZ196687 AMV196687 AWR196687 BGN196687 BQJ196687 CAF196687 CKB196687 CTX196687 DDT196687 DNP196687 DXL196687 EHH196687 ERD196687 FAZ196687 FKV196687 FUR196687 GEN196687 GOJ196687 GYF196687 HIB196687 HRX196687 IBT196687 ILP196687 IVL196687 JFH196687 JPD196687 JYZ196687 KIV196687 KSR196687 LCN196687 LMJ196687 LWF196687 MGB196687 MPX196687 MZT196687 NJP196687 NTL196687 ODH196687 OND196687 OWZ196687 PGV196687 PQR196687 QAN196687 QKJ196687 QUF196687 REB196687 RNX196687 RXT196687 SHP196687 SRL196687 TBH196687 TLD196687 TUZ196687 UEV196687 UOR196687 UYN196687 VIJ196687 VSF196687 WCB196687 WLX196687 WVT196687 V262223:W262223 JH262223 TD262223 ACZ262223 AMV262223 AWR262223 BGN262223 BQJ262223 CAF262223 CKB262223 CTX262223 DDT262223 DNP262223 DXL262223 EHH262223 ERD262223 FAZ262223 FKV262223 FUR262223 GEN262223 GOJ262223 GYF262223 HIB262223 HRX262223 IBT262223 ILP262223 IVL262223 JFH262223 JPD262223 JYZ262223 KIV262223 KSR262223 LCN262223 LMJ262223 LWF262223 MGB262223 MPX262223 MZT262223 NJP262223 NTL262223 ODH262223 OND262223 OWZ262223 PGV262223 PQR262223 QAN262223 QKJ262223 QUF262223 REB262223 RNX262223 RXT262223 SHP262223 SRL262223 TBH262223 TLD262223 TUZ262223 UEV262223 UOR262223 UYN262223 VIJ262223 VSF262223 WCB262223 WLX262223 WVT262223 V327759:W327759 JH327759 TD327759 ACZ327759 AMV327759 AWR327759 BGN327759 BQJ327759 CAF327759 CKB327759 CTX327759 DDT327759 DNP327759 DXL327759 EHH327759 ERD327759 FAZ327759 FKV327759 FUR327759 GEN327759 GOJ327759 GYF327759 HIB327759 HRX327759 IBT327759 ILP327759 IVL327759 JFH327759 JPD327759 JYZ327759 KIV327759 KSR327759 LCN327759 LMJ327759 LWF327759 MGB327759 MPX327759 MZT327759 NJP327759 NTL327759 ODH327759 OND327759 OWZ327759 PGV327759 PQR327759 QAN327759 QKJ327759 QUF327759 REB327759 RNX327759 RXT327759 SHP327759 SRL327759 TBH327759 TLD327759 TUZ327759 UEV327759 UOR327759 UYN327759 VIJ327759 VSF327759 WCB327759 WLX327759 WVT327759 V393295:W393295 JH393295 TD393295 ACZ393295 AMV393295 AWR393295 BGN393295 BQJ393295 CAF393295 CKB393295 CTX393295 DDT393295 DNP393295 DXL393295 EHH393295 ERD393295 FAZ393295 FKV393295 FUR393295 GEN393295 GOJ393295 GYF393295 HIB393295 HRX393295 IBT393295 ILP393295 IVL393295 JFH393295 JPD393295 JYZ393295 KIV393295 KSR393295 LCN393295 LMJ393295 LWF393295 MGB393295 MPX393295 MZT393295 NJP393295 NTL393295 ODH393295 OND393295 OWZ393295 PGV393295 PQR393295 QAN393295 QKJ393295 QUF393295 REB393295 RNX393295 RXT393295 SHP393295 SRL393295 TBH393295 TLD393295 TUZ393295 UEV393295 UOR393295 UYN393295 VIJ393295 VSF393295 WCB393295 WLX393295 WVT393295 V458831:W458831 JH458831 TD458831 ACZ458831 AMV458831 AWR458831 BGN458831 BQJ458831 CAF458831 CKB458831 CTX458831 DDT458831 DNP458831 DXL458831 EHH458831 ERD458831 FAZ458831 FKV458831 FUR458831 GEN458831 GOJ458831 GYF458831 HIB458831 HRX458831 IBT458831 ILP458831 IVL458831 JFH458831 JPD458831 JYZ458831 KIV458831 KSR458831 LCN458831 LMJ458831 LWF458831 MGB458831 MPX458831 MZT458831 NJP458831 NTL458831 ODH458831 OND458831 OWZ458831 PGV458831 PQR458831 QAN458831 QKJ458831 QUF458831 REB458831 RNX458831 RXT458831 SHP458831 SRL458831 TBH458831 TLD458831 TUZ458831 UEV458831 UOR458831 UYN458831 VIJ458831 VSF458831 WCB458831 WLX458831 WVT458831 V524367:W524367 JH524367 TD524367 ACZ524367 AMV524367 AWR524367 BGN524367 BQJ524367 CAF524367 CKB524367 CTX524367 DDT524367 DNP524367 DXL524367 EHH524367 ERD524367 FAZ524367 FKV524367 FUR524367 GEN524367 GOJ524367 GYF524367 HIB524367 HRX524367 IBT524367 ILP524367 IVL524367 JFH524367 JPD524367 JYZ524367 KIV524367 KSR524367 LCN524367 LMJ524367 LWF524367 MGB524367 MPX524367 MZT524367 NJP524367 NTL524367 ODH524367 OND524367 OWZ524367 PGV524367 PQR524367 QAN524367 QKJ524367 QUF524367 REB524367 RNX524367 RXT524367 SHP524367 SRL524367 TBH524367 TLD524367 TUZ524367 UEV524367 UOR524367 UYN524367 VIJ524367 VSF524367 WCB524367 WLX524367 WVT524367 V589903:W589903 JH589903 TD589903 ACZ589903 AMV589903 AWR589903 BGN589903 BQJ589903 CAF589903 CKB589903 CTX589903 DDT589903 DNP589903 DXL589903 EHH589903 ERD589903 FAZ589903 FKV589903 FUR589903 GEN589903 GOJ589903 GYF589903 HIB589903 HRX589903 IBT589903 ILP589903 IVL589903 JFH589903 JPD589903 JYZ589903 KIV589903 KSR589903 LCN589903 LMJ589903 LWF589903 MGB589903 MPX589903 MZT589903 NJP589903 NTL589903 ODH589903 OND589903 OWZ589903 PGV589903 PQR589903 QAN589903 QKJ589903 QUF589903 REB589903 RNX589903 RXT589903 SHP589903 SRL589903 TBH589903 TLD589903 TUZ589903 UEV589903 UOR589903 UYN589903 VIJ589903 VSF589903 WCB589903 WLX589903 WVT589903 V655439:W655439 JH655439 TD655439 ACZ655439 AMV655439 AWR655439 BGN655439 BQJ655439 CAF655439 CKB655439 CTX655439 DDT655439 DNP655439 DXL655439 EHH655439 ERD655439 FAZ655439 FKV655439 FUR655439 GEN655439 GOJ655439 GYF655439 HIB655439 HRX655439 IBT655439 ILP655439 IVL655439 JFH655439 JPD655439 JYZ655439 KIV655439 KSR655439 LCN655439 LMJ655439 LWF655439 MGB655439 MPX655439 MZT655439 NJP655439 NTL655439 ODH655439 OND655439 OWZ655439 PGV655439 PQR655439 QAN655439 QKJ655439 QUF655439 REB655439 RNX655439 RXT655439 SHP655439 SRL655439 TBH655439 TLD655439 TUZ655439 UEV655439 UOR655439 UYN655439 VIJ655439 VSF655439 WCB655439 WLX655439 WVT655439 V720975:W720975 JH720975 TD720975 ACZ720975 AMV720975 AWR720975 BGN720975 BQJ720975 CAF720975 CKB720975 CTX720975 DDT720975 DNP720975 DXL720975 EHH720975 ERD720975 FAZ720975 FKV720975 FUR720975 GEN720975 GOJ720975 GYF720975 HIB720975 HRX720975 IBT720975 ILP720975 IVL720975 JFH720975 JPD720975 JYZ720975 KIV720975 KSR720975 LCN720975 LMJ720975 LWF720975 MGB720975 MPX720975 MZT720975 NJP720975 NTL720975 ODH720975 OND720975 OWZ720975 PGV720975 PQR720975 QAN720975 QKJ720975 QUF720975 REB720975 RNX720975 RXT720975 SHP720975 SRL720975 TBH720975 TLD720975 TUZ720975 UEV720975 UOR720975 UYN720975 VIJ720975 VSF720975 WCB720975 WLX720975 WVT720975 V786511:W786511 JH786511 TD786511 ACZ786511 AMV786511 AWR786511 BGN786511 BQJ786511 CAF786511 CKB786511 CTX786511 DDT786511 DNP786511 DXL786511 EHH786511 ERD786511 FAZ786511 FKV786511 FUR786511 GEN786511 GOJ786511 GYF786511 HIB786511 HRX786511 IBT786511 ILP786511 IVL786511 JFH786511 JPD786511 JYZ786511 KIV786511 KSR786511 LCN786511 LMJ786511 LWF786511 MGB786511 MPX786511 MZT786511 NJP786511 NTL786511 ODH786511 OND786511 OWZ786511 PGV786511 PQR786511 QAN786511 QKJ786511 QUF786511 REB786511 RNX786511 RXT786511 SHP786511 SRL786511 TBH786511 TLD786511 TUZ786511 UEV786511 UOR786511 UYN786511 VIJ786511 VSF786511 WCB786511 WLX786511 WVT786511 V852047:W852047 JH852047 TD852047 ACZ852047 AMV852047 AWR852047 BGN852047 BQJ852047 CAF852047 CKB852047 CTX852047 DDT852047 DNP852047 DXL852047 EHH852047 ERD852047 FAZ852047 FKV852047 FUR852047 GEN852047 GOJ852047 GYF852047 HIB852047 HRX852047 IBT852047 ILP852047 IVL852047 JFH852047 JPD852047 JYZ852047 KIV852047 KSR852047 LCN852047 LMJ852047 LWF852047 MGB852047 MPX852047 MZT852047 NJP852047 NTL852047 ODH852047 OND852047 OWZ852047 PGV852047 PQR852047 QAN852047 QKJ852047 QUF852047 REB852047 RNX852047 RXT852047 SHP852047 SRL852047 TBH852047 TLD852047 TUZ852047 UEV852047 UOR852047 UYN852047 VIJ852047 VSF852047 WCB852047 WLX852047 WVT852047 V917583:W917583 JH917583 TD917583 ACZ917583 AMV917583 AWR917583 BGN917583 BQJ917583 CAF917583 CKB917583 CTX917583 DDT917583 DNP917583 DXL917583 EHH917583 ERD917583 FAZ917583 FKV917583 FUR917583 GEN917583 GOJ917583 GYF917583 HIB917583 HRX917583 IBT917583 ILP917583 IVL917583 JFH917583 JPD917583 JYZ917583 KIV917583 KSR917583 LCN917583 LMJ917583 LWF917583 MGB917583 MPX917583 MZT917583 NJP917583 NTL917583 ODH917583 OND917583 OWZ917583 PGV917583 PQR917583 QAN917583 QKJ917583 QUF917583 REB917583 RNX917583 RXT917583 SHP917583 SRL917583 TBH917583 TLD917583 TUZ917583 UEV917583 UOR917583 UYN917583 VIJ917583 VSF917583 WCB917583 WLX917583 WVT917583 V983119:W983119 JH983119 TD983119 ACZ983119 AMV983119 AWR983119 BGN983119 BQJ983119 CAF983119 CKB983119 CTX983119 DDT983119 DNP983119 DXL983119 EHH983119 ERD983119 FAZ983119 FKV983119 FUR983119 GEN983119 GOJ983119 GYF983119 HIB983119 HRX983119 IBT983119 ILP983119 IVL983119 JFH983119 JPD983119 JYZ983119 KIV983119 KSR983119 LCN983119 LMJ983119 LWF983119 MGB983119 MPX983119 MZT983119 NJP983119 NTL983119 ODH983119 OND983119 OWZ983119 PGV983119 PQR983119 QAN983119 QKJ983119 QUF983119 REB983119 RNX983119 RXT983119 SHP983119 SRL983119 TBH983119 TLD983119 TUZ983119 UEV983119 UOR983119 UYN983119 VIJ983119 VSF983119 WCB983119 WLX983119 WVT983119 WVZ983119 JN65615 TJ65615 ADF65615 ANB65615 AWX65615 BGT65615 BQP65615 CAL65615 CKH65615 CUD65615 DDZ65615 DNV65615 DXR65615 EHN65615 ERJ65615 FBF65615 FLB65615 FUX65615 GET65615 GOP65615 GYL65615 HIH65615 HSD65615 IBZ65615 ILV65615 IVR65615 JFN65615 JPJ65615 JZF65615 KJB65615 KSX65615 LCT65615 LMP65615 LWL65615 MGH65615 MQD65615 MZZ65615 NJV65615 NTR65615 ODN65615 ONJ65615 OXF65615 PHB65615 PQX65615 QAT65615 QKP65615 QUL65615 REH65615 ROD65615 RXZ65615 SHV65615 SRR65615 TBN65615 TLJ65615 TVF65615 UFB65615 UOX65615 UYT65615 VIP65615 VSL65615 WCH65615 WMD65615 WVZ65615 JN131151 TJ131151 ADF131151 ANB131151 AWX131151 BGT131151 BQP131151 CAL131151 CKH131151 CUD131151 DDZ131151 DNV131151 DXR131151 EHN131151 ERJ131151 FBF131151 FLB131151 FUX131151 GET131151 GOP131151 GYL131151 HIH131151 HSD131151 IBZ131151 ILV131151 IVR131151 JFN131151 JPJ131151 JZF131151 KJB131151 KSX131151 LCT131151 LMP131151 LWL131151 MGH131151 MQD131151 MZZ131151 NJV131151 NTR131151 ODN131151 ONJ131151 OXF131151 PHB131151 PQX131151 QAT131151 QKP131151 QUL131151 REH131151 ROD131151 RXZ131151 SHV131151 SRR131151 TBN131151 TLJ131151 TVF131151 UFB131151 UOX131151 UYT131151 VIP131151 VSL131151 WCH131151 WMD131151 WVZ131151 JN196687 TJ196687 ADF196687 ANB196687 AWX196687 BGT196687 BQP196687 CAL196687 CKH196687 CUD196687 DDZ196687 DNV196687 DXR196687 EHN196687 ERJ196687 FBF196687 FLB196687 FUX196687 GET196687 GOP196687 GYL196687 HIH196687 HSD196687 IBZ196687 ILV196687 IVR196687 JFN196687 JPJ196687 JZF196687 KJB196687 KSX196687 LCT196687 LMP196687 LWL196687 MGH196687 MQD196687 MZZ196687 NJV196687 NTR196687 ODN196687 ONJ196687 OXF196687 PHB196687 PQX196687 QAT196687 QKP196687 QUL196687 REH196687 ROD196687 RXZ196687 SHV196687 SRR196687 TBN196687 TLJ196687 TVF196687 UFB196687 UOX196687 UYT196687 VIP196687 VSL196687 WCH196687 WMD196687 WVZ196687 JN262223 TJ262223 ADF262223 ANB262223 AWX262223 BGT262223 BQP262223 CAL262223 CKH262223 CUD262223 DDZ262223 DNV262223 DXR262223 EHN262223 ERJ262223 FBF262223 FLB262223 FUX262223 GET262223 GOP262223 GYL262223 HIH262223 HSD262223 IBZ262223 ILV262223 IVR262223 JFN262223 JPJ262223 JZF262223 KJB262223 KSX262223 LCT262223 LMP262223 LWL262223 MGH262223 MQD262223 MZZ262223 NJV262223 NTR262223 ODN262223 ONJ262223 OXF262223 PHB262223 PQX262223 QAT262223 QKP262223 QUL262223 REH262223 ROD262223 RXZ262223 SHV262223 SRR262223 TBN262223 TLJ262223 TVF262223 UFB262223 UOX262223 UYT262223 VIP262223 VSL262223 WCH262223 WMD262223 WVZ262223 JN327759 TJ327759 ADF327759 ANB327759 AWX327759 BGT327759 BQP327759 CAL327759 CKH327759 CUD327759 DDZ327759 DNV327759 DXR327759 EHN327759 ERJ327759 FBF327759 FLB327759 FUX327759 GET327759 GOP327759 GYL327759 HIH327759 HSD327759 IBZ327759 ILV327759 IVR327759 JFN327759 JPJ327759 JZF327759 KJB327759 KSX327759 LCT327759 LMP327759 LWL327759 MGH327759 MQD327759 MZZ327759 NJV327759 NTR327759 ODN327759 ONJ327759 OXF327759 PHB327759 PQX327759 QAT327759 QKP327759 QUL327759 REH327759 ROD327759 RXZ327759 SHV327759 SRR327759 TBN327759 TLJ327759 TVF327759 UFB327759 UOX327759 UYT327759 VIP327759 VSL327759 WCH327759 WMD327759 WVZ327759 JN393295 TJ393295 ADF393295 ANB393295 AWX393295 BGT393295 BQP393295 CAL393295 CKH393295 CUD393295 DDZ393295 DNV393295 DXR393295 EHN393295 ERJ393295 FBF393295 FLB393295 FUX393295 GET393295 GOP393295 GYL393295 HIH393295 HSD393295 IBZ393295 ILV393295 IVR393295 JFN393295 JPJ393295 JZF393295 KJB393295 KSX393295 LCT393295 LMP393295 LWL393295 MGH393295 MQD393295 MZZ393295 NJV393295 NTR393295 ODN393295 ONJ393295 OXF393295 PHB393295 PQX393295 QAT393295 QKP393295 QUL393295 REH393295 ROD393295 RXZ393295 SHV393295 SRR393295 TBN393295 TLJ393295 TVF393295 UFB393295 UOX393295 UYT393295 VIP393295 VSL393295 WCH393295 WMD393295 WVZ393295 JN458831 TJ458831 ADF458831 ANB458831 AWX458831 BGT458831 BQP458831 CAL458831 CKH458831 CUD458831 DDZ458831 DNV458831 DXR458831 EHN458831 ERJ458831 FBF458831 FLB458831 FUX458831 GET458831 GOP458831 GYL458831 HIH458831 HSD458831 IBZ458831 ILV458831 IVR458831 JFN458831 JPJ458831 JZF458831 KJB458831 KSX458831 LCT458831 LMP458831 LWL458831 MGH458831 MQD458831 MZZ458831 NJV458831 NTR458831 ODN458831 ONJ458831 OXF458831 PHB458831 PQX458831 QAT458831 QKP458831 QUL458831 REH458831 ROD458831 RXZ458831 SHV458831 SRR458831 TBN458831 TLJ458831 TVF458831 UFB458831 UOX458831 UYT458831 VIP458831 VSL458831 WCH458831 WMD458831 WVZ458831 JN524367 TJ524367 ADF524367 ANB524367 AWX524367 BGT524367 BQP524367 CAL524367 CKH524367 CUD524367 DDZ524367 DNV524367 DXR524367 EHN524367 ERJ524367 FBF524367 FLB524367 FUX524367 GET524367 GOP524367 GYL524367 HIH524367 HSD524367 IBZ524367 ILV524367 IVR524367 JFN524367 JPJ524367 JZF524367 KJB524367 KSX524367 LCT524367 LMP524367 LWL524367 MGH524367 MQD524367 MZZ524367 NJV524367 NTR524367 ODN524367 ONJ524367 OXF524367 PHB524367 PQX524367 QAT524367 QKP524367 QUL524367 REH524367 ROD524367 RXZ524367 SHV524367 SRR524367 TBN524367 TLJ524367 TVF524367 UFB524367 UOX524367 UYT524367 VIP524367 VSL524367 WCH524367 WMD524367 WVZ524367 JN589903 TJ589903 ADF589903 ANB589903 AWX589903 BGT589903 BQP589903 CAL589903 CKH589903 CUD589903 DDZ589903 DNV589903 DXR589903 EHN589903 ERJ589903 FBF589903 FLB589903 FUX589903 GET589903 GOP589903 GYL589903 HIH589903 HSD589903 IBZ589903 ILV589903 IVR589903 JFN589903 JPJ589903 JZF589903 KJB589903 KSX589903 LCT589903 LMP589903 LWL589903 MGH589903 MQD589903 MZZ589903 NJV589903 NTR589903 ODN589903 ONJ589903 OXF589903 PHB589903 PQX589903 QAT589903 QKP589903 QUL589903 REH589903 ROD589903 RXZ589903 SHV589903 SRR589903 TBN589903 TLJ589903 TVF589903 UFB589903 UOX589903 UYT589903 VIP589903 VSL589903 WCH589903 WMD589903 WVZ589903 JN655439 TJ655439 ADF655439 ANB655439 AWX655439 BGT655439 BQP655439 CAL655439 CKH655439 CUD655439 DDZ655439 DNV655439 DXR655439 EHN655439 ERJ655439 FBF655439 FLB655439 FUX655439 GET655439 GOP655439 GYL655439 HIH655439 HSD655439 IBZ655439 ILV655439 IVR655439 JFN655439 JPJ655439 JZF655439 KJB655439 KSX655439 LCT655439 LMP655439 LWL655439 MGH655439 MQD655439 MZZ655439 NJV655439 NTR655439 ODN655439 ONJ655439 OXF655439 PHB655439 PQX655439 QAT655439 QKP655439 QUL655439 REH655439 ROD655439 RXZ655439 SHV655439 SRR655439 TBN655439 TLJ655439 TVF655439 UFB655439 UOX655439 UYT655439 VIP655439 VSL655439 WCH655439 WMD655439 WVZ655439 JN720975 TJ720975 ADF720975 ANB720975 AWX720975 BGT720975 BQP720975 CAL720975 CKH720975 CUD720975 DDZ720975 DNV720975 DXR720975 EHN720975 ERJ720975 FBF720975 FLB720975 FUX720975 GET720975 GOP720975 GYL720975 HIH720975 HSD720975 IBZ720975 ILV720975 IVR720975 JFN720975 JPJ720975 JZF720975 KJB720975 KSX720975 LCT720975 LMP720975 LWL720975 MGH720975 MQD720975 MZZ720975 NJV720975 NTR720975 ODN720975 ONJ720975 OXF720975 PHB720975 PQX720975 QAT720975 QKP720975 QUL720975 REH720975 ROD720975 RXZ720975 SHV720975 SRR720975 TBN720975 TLJ720975 TVF720975 UFB720975 UOX720975 UYT720975 VIP720975 VSL720975 WCH720975 WMD720975 WVZ720975 JN786511 TJ786511 ADF786511 ANB786511 AWX786511 BGT786511 BQP786511 CAL786511 CKH786511 CUD786511 DDZ786511 DNV786511 DXR786511 EHN786511 ERJ786511 FBF786511 FLB786511 FUX786511 GET786511 GOP786511 GYL786511 HIH786511 HSD786511 IBZ786511 ILV786511 IVR786511 JFN786511 JPJ786511 JZF786511 KJB786511 KSX786511 LCT786511 LMP786511 LWL786511 MGH786511 MQD786511 MZZ786511 NJV786511 NTR786511 ODN786511 ONJ786511 OXF786511 PHB786511 PQX786511 QAT786511 QKP786511 QUL786511 REH786511 ROD786511 RXZ786511 SHV786511 SRR786511 TBN786511 TLJ786511 TVF786511 UFB786511 UOX786511 UYT786511 VIP786511 VSL786511 WCH786511 WMD786511 WVZ786511 JN852047 TJ852047 ADF852047 ANB852047 AWX852047 BGT852047 BQP852047 CAL852047 CKH852047 CUD852047 DDZ852047 DNV852047 DXR852047 EHN852047 ERJ852047 FBF852047 FLB852047 FUX852047 GET852047 GOP852047 GYL852047 HIH852047 HSD852047 IBZ852047 ILV852047 IVR852047 JFN852047 JPJ852047 JZF852047 KJB852047 KSX852047 LCT852047 LMP852047 LWL852047 MGH852047 MQD852047 MZZ852047 NJV852047 NTR852047 ODN852047 ONJ852047 OXF852047 PHB852047 PQX852047 QAT852047 QKP852047 QUL852047 REH852047 ROD852047 RXZ852047 SHV852047 SRR852047 TBN852047 TLJ852047 TVF852047 UFB852047 UOX852047 UYT852047 VIP852047 VSL852047 WCH852047 WMD852047 WVZ852047 JN917583 TJ917583 ADF917583 ANB917583 AWX917583 BGT917583 BQP917583 CAL917583 CKH917583 CUD917583 DDZ917583 DNV917583 DXR917583 EHN917583 ERJ917583 FBF917583 FLB917583 FUX917583 GET917583 GOP917583 GYL917583 HIH917583 HSD917583 IBZ917583 ILV917583 IVR917583 JFN917583 JPJ917583 JZF917583 KJB917583 KSX917583 LCT917583 LMP917583 LWL917583 MGH917583 MQD917583 MZZ917583 NJV917583 NTR917583 ODN917583 ONJ917583 OXF917583 PHB917583 PQX917583 QAT917583 QKP917583 QUL917583 REH917583 ROD917583 RXZ917583 SHV917583 SRR917583 TBN917583 TLJ917583 TVF917583 UFB917583 UOX917583 UYT917583 VIP917583 VSL917583 WCH917583 WMD917583 WVZ917583 JN983119 TJ983119 ADF983119 ANB983119 AWX983119 BGT983119 BQP983119 CAL983119 CKH983119 CUD983119 DDZ983119 DNV983119 DXR983119 EHN983119 ERJ983119 FBF983119 FLB983119 FUX983119 GET983119 GOP983119 GYL983119 HIH983119 HSD983119 IBZ983119 ILV983119 IVR983119 JFN983119 JPJ983119 JZF983119 KJB983119 KSX983119 LCT983119 LMP983119 LWL983119 MGH983119 MQD983119 MZZ983119 NJV983119 NTR983119 ODN983119 ONJ983119 OXF983119 PHB983119 PQX983119 QAT983119 QKP983119 QUL983119 REH983119 ROD983119 RXZ983119 SHV983119 SRR983119 TBN983119 TLJ983119 TVF983119 UFB983119 UOX983119 UYT983119 VIP983119 VSL983119 WCH983119 WMD983119 L65615:M65615 L131151:M131151 L196687:M196687 L262223:M262223 L327759:M327759 L393295:M393295 L458831:M458831 L524367:M524367 L589903:M589903 L655439:M655439 L720975:M720975 L786511:M786511 L852047:M852047 L917583:M917583 L983119:M983119">
      <formula1>Planning</formula1>
    </dataValidation>
    <dataValidation type="list" allowBlank="1" showInputMessage="1" showErrorMessage="1" sqref="KO65615:KV65615 UK65615:UR65615 AEG65615:AEN65615 AOC65615:AOJ65615 AXY65615:AYF65615 BHU65615:BIB65615 BRQ65615:BRX65615 CBM65615:CBT65615 CLI65615:CLP65615 CVE65615:CVL65615 DFA65615:DFH65615 DOW65615:DPD65615 DYS65615:DYZ65615 EIO65615:EIV65615 ESK65615:ESR65615 FCG65615:FCN65615 FMC65615:FMJ65615 FVY65615:FWF65615 GFU65615:GGB65615 GPQ65615:GPX65615 GZM65615:GZT65615 HJI65615:HJP65615 HTE65615:HTL65615 IDA65615:IDH65615 IMW65615:IND65615 IWS65615:IWZ65615 JGO65615:JGV65615 JQK65615:JQR65615 KAG65615:KAN65615 KKC65615:KKJ65615 KTY65615:KUF65615 LDU65615:LEB65615 LNQ65615:LNX65615 LXM65615:LXT65615 MHI65615:MHP65615 MRE65615:MRL65615 NBA65615:NBH65615 NKW65615:NLD65615 NUS65615:NUZ65615 OEO65615:OEV65615 OOK65615:OOR65615 OYG65615:OYN65615 PIC65615:PIJ65615 PRY65615:PSF65615 QBU65615:QCB65615 QLQ65615:QLX65615 QVM65615:QVT65615 RFI65615:RFP65615 RPE65615:RPL65615 RZA65615:RZH65615 SIW65615:SJD65615 SSS65615:SSZ65615 TCO65615:TCV65615 TMK65615:TMR65615 TWG65615:TWN65615 UGC65615:UGJ65615 UPY65615:UQF65615 UZU65615:VAB65615 VJQ65615:VJX65615 VTM65615:VTT65615 WDI65615:WDP65615 WNE65615:WNL65615 WXA65615:WXH65615 KO131151:KV131151 UK131151:UR131151 AEG131151:AEN131151 AOC131151:AOJ131151 AXY131151:AYF131151 BHU131151:BIB131151 BRQ131151:BRX131151 CBM131151:CBT131151 CLI131151:CLP131151 CVE131151:CVL131151 DFA131151:DFH131151 DOW131151:DPD131151 DYS131151:DYZ131151 EIO131151:EIV131151 ESK131151:ESR131151 FCG131151:FCN131151 FMC131151:FMJ131151 FVY131151:FWF131151 GFU131151:GGB131151 GPQ131151:GPX131151 GZM131151:GZT131151 HJI131151:HJP131151 HTE131151:HTL131151 IDA131151:IDH131151 IMW131151:IND131151 IWS131151:IWZ131151 JGO131151:JGV131151 JQK131151:JQR131151 KAG131151:KAN131151 KKC131151:KKJ131151 KTY131151:KUF131151 LDU131151:LEB131151 LNQ131151:LNX131151 LXM131151:LXT131151 MHI131151:MHP131151 MRE131151:MRL131151 NBA131151:NBH131151 NKW131151:NLD131151 NUS131151:NUZ131151 OEO131151:OEV131151 OOK131151:OOR131151 OYG131151:OYN131151 PIC131151:PIJ131151 PRY131151:PSF131151 QBU131151:QCB131151 QLQ131151:QLX131151 QVM131151:QVT131151 RFI131151:RFP131151 RPE131151:RPL131151 RZA131151:RZH131151 SIW131151:SJD131151 SSS131151:SSZ131151 TCO131151:TCV131151 TMK131151:TMR131151 TWG131151:TWN131151 UGC131151:UGJ131151 UPY131151:UQF131151 UZU131151:VAB131151 VJQ131151:VJX131151 VTM131151:VTT131151 WDI131151:WDP131151 WNE131151:WNL131151 WXA131151:WXH131151 KO196687:KV196687 UK196687:UR196687 AEG196687:AEN196687 AOC196687:AOJ196687 AXY196687:AYF196687 BHU196687:BIB196687 BRQ196687:BRX196687 CBM196687:CBT196687 CLI196687:CLP196687 CVE196687:CVL196687 DFA196687:DFH196687 DOW196687:DPD196687 DYS196687:DYZ196687 EIO196687:EIV196687 ESK196687:ESR196687 FCG196687:FCN196687 FMC196687:FMJ196687 FVY196687:FWF196687 GFU196687:GGB196687 GPQ196687:GPX196687 GZM196687:GZT196687 HJI196687:HJP196687 HTE196687:HTL196687 IDA196687:IDH196687 IMW196687:IND196687 IWS196687:IWZ196687 JGO196687:JGV196687 JQK196687:JQR196687 KAG196687:KAN196687 KKC196687:KKJ196687 KTY196687:KUF196687 LDU196687:LEB196687 LNQ196687:LNX196687 LXM196687:LXT196687 MHI196687:MHP196687 MRE196687:MRL196687 NBA196687:NBH196687 NKW196687:NLD196687 NUS196687:NUZ196687 OEO196687:OEV196687 OOK196687:OOR196687 OYG196687:OYN196687 PIC196687:PIJ196687 PRY196687:PSF196687 QBU196687:QCB196687 QLQ196687:QLX196687 QVM196687:QVT196687 RFI196687:RFP196687 RPE196687:RPL196687 RZA196687:RZH196687 SIW196687:SJD196687 SSS196687:SSZ196687 TCO196687:TCV196687 TMK196687:TMR196687 TWG196687:TWN196687 UGC196687:UGJ196687 UPY196687:UQF196687 UZU196687:VAB196687 VJQ196687:VJX196687 VTM196687:VTT196687 WDI196687:WDP196687 WNE196687:WNL196687 WXA196687:WXH196687 KO262223:KV262223 UK262223:UR262223 AEG262223:AEN262223 AOC262223:AOJ262223 AXY262223:AYF262223 BHU262223:BIB262223 BRQ262223:BRX262223 CBM262223:CBT262223 CLI262223:CLP262223 CVE262223:CVL262223 DFA262223:DFH262223 DOW262223:DPD262223 DYS262223:DYZ262223 EIO262223:EIV262223 ESK262223:ESR262223 FCG262223:FCN262223 FMC262223:FMJ262223 FVY262223:FWF262223 GFU262223:GGB262223 GPQ262223:GPX262223 GZM262223:GZT262223 HJI262223:HJP262223 HTE262223:HTL262223 IDA262223:IDH262223 IMW262223:IND262223 IWS262223:IWZ262223 JGO262223:JGV262223 JQK262223:JQR262223 KAG262223:KAN262223 KKC262223:KKJ262223 KTY262223:KUF262223 LDU262223:LEB262223 LNQ262223:LNX262223 LXM262223:LXT262223 MHI262223:MHP262223 MRE262223:MRL262223 NBA262223:NBH262223 NKW262223:NLD262223 NUS262223:NUZ262223 OEO262223:OEV262223 OOK262223:OOR262223 OYG262223:OYN262223 PIC262223:PIJ262223 PRY262223:PSF262223 QBU262223:QCB262223 QLQ262223:QLX262223 QVM262223:QVT262223 RFI262223:RFP262223 RPE262223:RPL262223 RZA262223:RZH262223 SIW262223:SJD262223 SSS262223:SSZ262223 TCO262223:TCV262223 TMK262223:TMR262223 TWG262223:TWN262223 UGC262223:UGJ262223 UPY262223:UQF262223 UZU262223:VAB262223 VJQ262223:VJX262223 VTM262223:VTT262223 WDI262223:WDP262223 WNE262223:WNL262223 WXA262223:WXH262223 KO327759:KV327759 UK327759:UR327759 AEG327759:AEN327759 AOC327759:AOJ327759 AXY327759:AYF327759 BHU327759:BIB327759 BRQ327759:BRX327759 CBM327759:CBT327759 CLI327759:CLP327759 CVE327759:CVL327759 DFA327759:DFH327759 DOW327759:DPD327759 DYS327759:DYZ327759 EIO327759:EIV327759 ESK327759:ESR327759 FCG327759:FCN327759 FMC327759:FMJ327759 FVY327759:FWF327759 GFU327759:GGB327759 GPQ327759:GPX327759 GZM327759:GZT327759 HJI327759:HJP327759 HTE327759:HTL327759 IDA327759:IDH327759 IMW327759:IND327759 IWS327759:IWZ327759 JGO327759:JGV327759 JQK327759:JQR327759 KAG327759:KAN327759 KKC327759:KKJ327759 KTY327759:KUF327759 LDU327759:LEB327759 LNQ327759:LNX327759 LXM327759:LXT327759 MHI327759:MHP327759 MRE327759:MRL327759 NBA327759:NBH327759 NKW327759:NLD327759 NUS327759:NUZ327759 OEO327759:OEV327759 OOK327759:OOR327759 OYG327759:OYN327759 PIC327759:PIJ327759 PRY327759:PSF327759 QBU327759:QCB327759 QLQ327759:QLX327759 QVM327759:QVT327759 RFI327759:RFP327759 RPE327759:RPL327759 RZA327759:RZH327759 SIW327759:SJD327759 SSS327759:SSZ327759 TCO327759:TCV327759 TMK327759:TMR327759 TWG327759:TWN327759 UGC327759:UGJ327759 UPY327759:UQF327759 UZU327759:VAB327759 VJQ327759:VJX327759 VTM327759:VTT327759 WDI327759:WDP327759 WNE327759:WNL327759 WXA327759:WXH327759 KO393295:KV393295 UK393295:UR393295 AEG393295:AEN393295 AOC393295:AOJ393295 AXY393295:AYF393295 BHU393295:BIB393295 BRQ393295:BRX393295 CBM393295:CBT393295 CLI393295:CLP393295 CVE393295:CVL393295 DFA393295:DFH393295 DOW393295:DPD393295 DYS393295:DYZ393295 EIO393295:EIV393295 ESK393295:ESR393295 FCG393295:FCN393295 FMC393295:FMJ393295 FVY393295:FWF393295 GFU393295:GGB393295 GPQ393295:GPX393295 GZM393295:GZT393295 HJI393295:HJP393295 HTE393295:HTL393295 IDA393295:IDH393295 IMW393295:IND393295 IWS393295:IWZ393295 JGO393295:JGV393295 JQK393295:JQR393295 KAG393295:KAN393295 KKC393295:KKJ393295 KTY393295:KUF393295 LDU393295:LEB393295 LNQ393295:LNX393295 LXM393295:LXT393295 MHI393295:MHP393295 MRE393295:MRL393295 NBA393295:NBH393295 NKW393295:NLD393295 NUS393295:NUZ393295 OEO393295:OEV393295 OOK393295:OOR393295 OYG393295:OYN393295 PIC393295:PIJ393295 PRY393295:PSF393295 QBU393295:QCB393295 QLQ393295:QLX393295 QVM393295:QVT393295 RFI393295:RFP393295 RPE393295:RPL393295 RZA393295:RZH393295 SIW393295:SJD393295 SSS393295:SSZ393295 TCO393295:TCV393295 TMK393295:TMR393295 TWG393295:TWN393295 UGC393295:UGJ393295 UPY393295:UQF393295 UZU393295:VAB393295 VJQ393295:VJX393295 VTM393295:VTT393295 WDI393295:WDP393295 WNE393295:WNL393295 WXA393295:WXH393295 KO458831:KV458831 UK458831:UR458831 AEG458831:AEN458831 AOC458831:AOJ458831 AXY458831:AYF458831 BHU458831:BIB458831 BRQ458831:BRX458831 CBM458831:CBT458831 CLI458831:CLP458831 CVE458831:CVL458831 DFA458831:DFH458831 DOW458831:DPD458831 DYS458831:DYZ458831 EIO458831:EIV458831 ESK458831:ESR458831 FCG458831:FCN458831 FMC458831:FMJ458831 FVY458831:FWF458831 GFU458831:GGB458831 GPQ458831:GPX458831 GZM458831:GZT458831 HJI458831:HJP458831 HTE458831:HTL458831 IDA458831:IDH458831 IMW458831:IND458831 IWS458831:IWZ458831 JGO458831:JGV458831 JQK458831:JQR458831 KAG458831:KAN458831 KKC458831:KKJ458831 KTY458831:KUF458831 LDU458831:LEB458831 LNQ458831:LNX458831 LXM458831:LXT458831 MHI458831:MHP458831 MRE458831:MRL458831 NBA458831:NBH458831 NKW458831:NLD458831 NUS458831:NUZ458831 OEO458831:OEV458831 OOK458831:OOR458831 OYG458831:OYN458831 PIC458831:PIJ458831 PRY458831:PSF458831 QBU458831:QCB458831 QLQ458831:QLX458831 QVM458831:QVT458831 RFI458831:RFP458831 RPE458831:RPL458831 RZA458831:RZH458831 SIW458831:SJD458831 SSS458831:SSZ458831 TCO458831:TCV458831 TMK458831:TMR458831 TWG458831:TWN458831 UGC458831:UGJ458831 UPY458831:UQF458831 UZU458831:VAB458831 VJQ458831:VJX458831 VTM458831:VTT458831 WDI458831:WDP458831 WNE458831:WNL458831 WXA458831:WXH458831 KO524367:KV524367 UK524367:UR524367 AEG524367:AEN524367 AOC524367:AOJ524367 AXY524367:AYF524367 BHU524367:BIB524367 BRQ524367:BRX524367 CBM524367:CBT524367 CLI524367:CLP524367 CVE524367:CVL524367 DFA524367:DFH524367 DOW524367:DPD524367 DYS524367:DYZ524367 EIO524367:EIV524367 ESK524367:ESR524367 FCG524367:FCN524367 FMC524367:FMJ524367 FVY524367:FWF524367 GFU524367:GGB524367 GPQ524367:GPX524367 GZM524367:GZT524367 HJI524367:HJP524367 HTE524367:HTL524367 IDA524367:IDH524367 IMW524367:IND524367 IWS524367:IWZ524367 JGO524367:JGV524367 JQK524367:JQR524367 KAG524367:KAN524367 KKC524367:KKJ524367 KTY524367:KUF524367 LDU524367:LEB524367 LNQ524367:LNX524367 LXM524367:LXT524367 MHI524367:MHP524367 MRE524367:MRL524367 NBA524367:NBH524367 NKW524367:NLD524367 NUS524367:NUZ524367 OEO524367:OEV524367 OOK524367:OOR524367 OYG524367:OYN524367 PIC524367:PIJ524367 PRY524367:PSF524367 QBU524367:QCB524367 QLQ524367:QLX524367 QVM524367:QVT524367 RFI524367:RFP524367 RPE524367:RPL524367 RZA524367:RZH524367 SIW524367:SJD524367 SSS524367:SSZ524367 TCO524367:TCV524367 TMK524367:TMR524367 TWG524367:TWN524367 UGC524367:UGJ524367 UPY524367:UQF524367 UZU524367:VAB524367 VJQ524367:VJX524367 VTM524367:VTT524367 WDI524367:WDP524367 WNE524367:WNL524367 WXA524367:WXH524367 KO589903:KV589903 UK589903:UR589903 AEG589903:AEN589903 AOC589903:AOJ589903 AXY589903:AYF589903 BHU589903:BIB589903 BRQ589903:BRX589903 CBM589903:CBT589903 CLI589903:CLP589903 CVE589903:CVL589903 DFA589903:DFH589903 DOW589903:DPD589903 DYS589903:DYZ589903 EIO589903:EIV589903 ESK589903:ESR589903 FCG589903:FCN589903 FMC589903:FMJ589903 FVY589903:FWF589903 GFU589903:GGB589903 GPQ589903:GPX589903 GZM589903:GZT589903 HJI589903:HJP589903 HTE589903:HTL589903 IDA589903:IDH589903 IMW589903:IND589903 IWS589903:IWZ589903 JGO589903:JGV589903 JQK589903:JQR589903 KAG589903:KAN589903 KKC589903:KKJ589903 KTY589903:KUF589903 LDU589903:LEB589903 LNQ589903:LNX589903 LXM589903:LXT589903 MHI589903:MHP589903 MRE589903:MRL589903 NBA589903:NBH589903 NKW589903:NLD589903 NUS589903:NUZ589903 OEO589903:OEV589903 OOK589903:OOR589903 OYG589903:OYN589903 PIC589903:PIJ589903 PRY589903:PSF589903 QBU589903:QCB589903 QLQ589903:QLX589903 QVM589903:QVT589903 RFI589903:RFP589903 RPE589903:RPL589903 RZA589903:RZH589903 SIW589903:SJD589903 SSS589903:SSZ589903 TCO589903:TCV589903 TMK589903:TMR589903 TWG589903:TWN589903 UGC589903:UGJ589903 UPY589903:UQF589903 UZU589903:VAB589903 VJQ589903:VJX589903 VTM589903:VTT589903 WDI589903:WDP589903 WNE589903:WNL589903 WXA589903:WXH589903 KO655439:KV655439 UK655439:UR655439 AEG655439:AEN655439 AOC655439:AOJ655439 AXY655439:AYF655439 BHU655439:BIB655439 BRQ655439:BRX655439 CBM655439:CBT655439 CLI655439:CLP655439 CVE655439:CVL655439 DFA655439:DFH655439 DOW655439:DPD655439 DYS655439:DYZ655439 EIO655439:EIV655439 ESK655439:ESR655439 FCG655439:FCN655439 FMC655439:FMJ655439 FVY655439:FWF655439 GFU655439:GGB655439 GPQ655439:GPX655439 GZM655439:GZT655439 HJI655439:HJP655439 HTE655439:HTL655439 IDA655439:IDH655439 IMW655439:IND655439 IWS655439:IWZ655439 JGO655439:JGV655439 JQK655439:JQR655439 KAG655439:KAN655439 KKC655439:KKJ655439 KTY655439:KUF655439 LDU655439:LEB655439 LNQ655439:LNX655439 LXM655439:LXT655439 MHI655439:MHP655439 MRE655439:MRL655439 NBA655439:NBH655439 NKW655439:NLD655439 NUS655439:NUZ655439 OEO655439:OEV655439 OOK655439:OOR655439 OYG655439:OYN655439 PIC655439:PIJ655439 PRY655439:PSF655439 QBU655439:QCB655439 QLQ655439:QLX655439 QVM655439:QVT655439 RFI655439:RFP655439 RPE655439:RPL655439 RZA655439:RZH655439 SIW655439:SJD655439 SSS655439:SSZ655439 TCO655439:TCV655439 TMK655439:TMR655439 TWG655439:TWN655439 UGC655439:UGJ655439 UPY655439:UQF655439 UZU655439:VAB655439 VJQ655439:VJX655439 VTM655439:VTT655439 WDI655439:WDP655439 WNE655439:WNL655439 WXA655439:WXH655439 KO720975:KV720975 UK720975:UR720975 AEG720975:AEN720975 AOC720975:AOJ720975 AXY720975:AYF720975 BHU720975:BIB720975 BRQ720975:BRX720975 CBM720975:CBT720975 CLI720975:CLP720975 CVE720975:CVL720975 DFA720975:DFH720975 DOW720975:DPD720975 DYS720975:DYZ720975 EIO720975:EIV720975 ESK720975:ESR720975 FCG720975:FCN720975 FMC720975:FMJ720975 FVY720975:FWF720975 GFU720975:GGB720975 GPQ720975:GPX720975 GZM720975:GZT720975 HJI720975:HJP720975 HTE720975:HTL720975 IDA720975:IDH720975 IMW720975:IND720975 IWS720975:IWZ720975 JGO720975:JGV720975 JQK720975:JQR720975 KAG720975:KAN720975 KKC720975:KKJ720975 KTY720975:KUF720975 LDU720975:LEB720975 LNQ720975:LNX720975 LXM720975:LXT720975 MHI720975:MHP720975 MRE720975:MRL720975 NBA720975:NBH720975 NKW720975:NLD720975 NUS720975:NUZ720975 OEO720975:OEV720975 OOK720975:OOR720975 OYG720975:OYN720975 PIC720975:PIJ720975 PRY720975:PSF720975 QBU720975:QCB720975 QLQ720975:QLX720975 QVM720975:QVT720975 RFI720975:RFP720975 RPE720975:RPL720975 RZA720975:RZH720975 SIW720975:SJD720975 SSS720975:SSZ720975 TCO720975:TCV720975 TMK720975:TMR720975 TWG720975:TWN720975 UGC720975:UGJ720975 UPY720975:UQF720975 UZU720975:VAB720975 VJQ720975:VJX720975 VTM720975:VTT720975 WDI720975:WDP720975 WNE720975:WNL720975 WXA720975:WXH720975 KO786511:KV786511 UK786511:UR786511 AEG786511:AEN786511 AOC786511:AOJ786511 AXY786511:AYF786511 BHU786511:BIB786511 BRQ786511:BRX786511 CBM786511:CBT786511 CLI786511:CLP786511 CVE786511:CVL786511 DFA786511:DFH786511 DOW786511:DPD786511 DYS786511:DYZ786511 EIO786511:EIV786511 ESK786511:ESR786511 FCG786511:FCN786511 FMC786511:FMJ786511 FVY786511:FWF786511 GFU786511:GGB786511 GPQ786511:GPX786511 GZM786511:GZT786511 HJI786511:HJP786511 HTE786511:HTL786511 IDA786511:IDH786511 IMW786511:IND786511 IWS786511:IWZ786511 JGO786511:JGV786511 JQK786511:JQR786511 KAG786511:KAN786511 KKC786511:KKJ786511 KTY786511:KUF786511 LDU786511:LEB786511 LNQ786511:LNX786511 LXM786511:LXT786511 MHI786511:MHP786511 MRE786511:MRL786511 NBA786511:NBH786511 NKW786511:NLD786511 NUS786511:NUZ786511 OEO786511:OEV786511 OOK786511:OOR786511 OYG786511:OYN786511 PIC786511:PIJ786511 PRY786511:PSF786511 QBU786511:QCB786511 QLQ786511:QLX786511 QVM786511:QVT786511 RFI786511:RFP786511 RPE786511:RPL786511 RZA786511:RZH786511 SIW786511:SJD786511 SSS786511:SSZ786511 TCO786511:TCV786511 TMK786511:TMR786511 TWG786511:TWN786511 UGC786511:UGJ786511 UPY786511:UQF786511 UZU786511:VAB786511 VJQ786511:VJX786511 VTM786511:VTT786511 WDI786511:WDP786511 WNE786511:WNL786511 WXA786511:WXH786511 KO852047:KV852047 UK852047:UR852047 AEG852047:AEN852047 AOC852047:AOJ852047 AXY852047:AYF852047 BHU852047:BIB852047 BRQ852047:BRX852047 CBM852047:CBT852047 CLI852047:CLP852047 CVE852047:CVL852047 DFA852047:DFH852047 DOW852047:DPD852047 DYS852047:DYZ852047 EIO852047:EIV852047 ESK852047:ESR852047 FCG852047:FCN852047 FMC852047:FMJ852047 FVY852047:FWF852047 GFU852047:GGB852047 GPQ852047:GPX852047 GZM852047:GZT852047 HJI852047:HJP852047 HTE852047:HTL852047 IDA852047:IDH852047 IMW852047:IND852047 IWS852047:IWZ852047 JGO852047:JGV852047 JQK852047:JQR852047 KAG852047:KAN852047 KKC852047:KKJ852047 KTY852047:KUF852047 LDU852047:LEB852047 LNQ852047:LNX852047 LXM852047:LXT852047 MHI852047:MHP852047 MRE852047:MRL852047 NBA852047:NBH852047 NKW852047:NLD852047 NUS852047:NUZ852047 OEO852047:OEV852047 OOK852047:OOR852047 OYG852047:OYN852047 PIC852047:PIJ852047 PRY852047:PSF852047 QBU852047:QCB852047 QLQ852047:QLX852047 QVM852047:QVT852047 RFI852047:RFP852047 RPE852047:RPL852047 RZA852047:RZH852047 SIW852047:SJD852047 SSS852047:SSZ852047 TCO852047:TCV852047 TMK852047:TMR852047 TWG852047:TWN852047 UGC852047:UGJ852047 UPY852047:UQF852047 UZU852047:VAB852047 VJQ852047:VJX852047 VTM852047:VTT852047 WDI852047:WDP852047 WNE852047:WNL852047 WXA852047:WXH852047 KO917583:KV917583 UK917583:UR917583 AEG917583:AEN917583 AOC917583:AOJ917583 AXY917583:AYF917583 BHU917583:BIB917583 BRQ917583:BRX917583 CBM917583:CBT917583 CLI917583:CLP917583 CVE917583:CVL917583 DFA917583:DFH917583 DOW917583:DPD917583 DYS917583:DYZ917583 EIO917583:EIV917583 ESK917583:ESR917583 FCG917583:FCN917583 FMC917583:FMJ917583 FVY917583:FWF917583 GFU917583:GGB917583 GPQ917583:GPX917583 GZM917583:GZT917583 HJI917583:HJP917583 HTE917583:HTL917583 IDA917583:IDH917583 IMW917583:IND917583 IWS917583:IWZ917583 JGO917583:JGV917583 JQK917583:JQR917583 KAG917583:KAN917583 KKC917583:KKJ917583 KTY917583:KUF917583 LDU917583:LEB917583 LNQ917583:LNX917583 LXM917583:LXT917583 MHI917583:MHP917583 MRE917583:MRL917583 NBA917583:NBH917583 NKW917583:NLD917583 NUS917583:NUZ917583 OEO917583:OEV917583 OOK917583:OOR917583 OYG917583:OYN917583 PIC917583:PIJ917583 PRY917583:PSF917583 QBU917583:QCB917583 QLQ917583:QLX917583 QVM917583:QVT917583 RFI917583:RFP917583 RPE917583:RPL917583 RZA917583:RZH917583 SIW917583:SJD917583 SSS917583:SSZ917583 TCO917583:TCV917583 TMK917583:TMR917583 TWG917583:TWN917583 UGC917583:UGJ917583 UPY917583:UQF917583 UZU917583:VAB917583 VJQ917583:VJX917583 VTM917583:VTT917583 WDI917583:WDP917583 WNE917583:WNL917583 WXA917583:WXH917583 KO983119:KV983119 UK983119:UR983119 AEG983119:AEN983119 AOC983119:AOJ983119 AXY983119:AYF983119 BHU983119:BIB983119 BRQ983119:BRX983119 CBM983119:CBT983119 CLI983119:CLP983119 CVE983119:CVL983119 DFA983119:DFH983119 DOW983119:DPD983119 DYS983119:DYZ983119 EIO983119:EIV983119 ESK983119:ESR983119 FCG983119:FCN983119 FMC983119:FMJ983119 FVY983119:FWF983119 GFU983119:GGB983119 GPQ983119:GPX983119 GZM983119:GZT983119 HJI983119:HJP983119 HTE983119:HTL983119 IDA983119:IDH983119 IMW983119:IND983119 IWS983119:IWZ983119 JGO983119:JGV983119 JQK983119:JQR983119 KAG983119:KAN983119 KKC983119:KKJ983119 KTY983119:KUF983119 LDU983119:LEB983119 LNQ983119:LNX983119 LXM983119:LXT983119 MHI983119:MHP983119 MRE983119:MRL983119 NBA983119:NBH983119 NKW983119:NLD983119 NUS983119:NUZ983119 OEO983119:OEV983119 OOK983119:OOR983119 OYG983119:OYN983119 PIC983119:PIJ983119 PRY983119:PSF983119 QBU983119:QCB983119 QLQ983119:QLX983119 QVM983119:QVT983119 RFI983119:RFP983119 RPE983119:RPL983119 RZA983119:RZH983119 SIW983119:SJD983119 SSS983119:SSZ983119 TCO983119:TCV983119 TMK983119:TMR983119 TWG983119:TWN983119 UGC983119:UGJ983119 UPY983119:UQF983119 UZU983119:VAB983119 VJQ983119:VJX983119 VTM983119:VTT983119 WDI983119:WDP983119 WNE983119:WNL983119 WXA983119:WXH983119 JC65615:JF65615 SY65615:TB65615 ACU65615:ACX65615 AMQ65615:AMT65615 AWM65615:AWP65615 BGI65615:BGL65615 BQE65615:BQH65615 CAA65615:CAD65615 CJW65615:CJZ65615 CTS65615:CTV65615 DDO65615:DDR65615 DNK65615:DNN65615 DXG65615:DXJ65615 EHC65615:EHF65615 EQY65615:ERB65615 FAU65615:FAX65615 FKQ65615:FKT65615 FUM65615:FUP65615 GEI65615:GEL65615 GOE65615:GOH65615 GYA65615:GYD65615 HHW65615:HHZ65615 HRS65615:HRV65615 IBO65615:IBR65615 ILK65615:ILN65615 IVG65615:IVJ65615 JFC65615:JFF65615 JOY65615:JPB65615 JYU65615:JYX65615 KIQ65615:KIT65615 KSM65615:KSP65615 LCI65615:LCL65615 LME65615:LMH65615 LWA65615:LWD65615 MFW65615:MFZ65615 MPS65615:MPV65615 MZO65615:MZR65615 NJK65615:NJN65615 NTG65615:NTJ65615 ODC65615:ODF65615 OMY65615:ONB65615 OWU65615:OWX65615 PGQ65615:PGT65615 PQM65615:PQP65615 QAI65615:QAL65615 QKE65615:QKH65615 QUA65615:QUD65615 RDW65615:RDZ65615 RNS65615:RNV65615 RXO65615:RXR65615 SHK65615:SHN65615 SRG65615:SRJ65615 TBC65615:TBF65615 TKY65615:TLB65615 TUU65615:TUX65615 UEQ65615:UET65615 UOM65615:UOP65615 UYI65615:UYL65615 VIE65615:VIH65615 VSA65615:VSD65615 WBW65615:WBZ65615 WLS65615:WLV65615 WVO65615:WVR65615 JC131151:JF131151 SY131151:TB131151 ACU131151:ACX131151 AMQ131151:AMT131151 AWM131151:AWP131151 BGI131151:BGL131151 BQE131151:BQH131151 CAA131151:CAD131151 CJW131151:CJZ131151 CTS131151:CTV131151 DDO131151:DDR131151 DNK131151:DNN131151 DXG131151:DXJ131151 EHC131151:EHF131151 EQY131151:ERB131151 FAU131151:FAX131151 FKQ131151:FKT131151 FUM131151:FUP131151 GEI131151:GEL131151 GOE131151:GOH131151 GYA131151:GYD131151 HHW131151:HHZ131151 HRS131151:HRV131151 IBO131151:IBR131151 ILK131151:ILN131151 IVG131151:IVJ131151 JFC131151:JFF131151 JOY131151:JPB131151 JYU131151:JYX131151 KIQ131151:KIT131151 KSM131151:KSP131151 LCI131151:LCL131151 LME131151:LMH131151 LWA131151:LWD131151 MFW131151:MFZ131151 MPS131151:MPV131151 MZO131151:MZR131151 NJK131151:NJN131151 NTG131151:NTJ131151 ODC131151:ODF131151 OMY131151:ONB131151 OWU131151:OWX131151 PGQ131151:PGT131151 PQM131151:PQP131151 QAI131151:QAL131151 QKE131151:QKH131151 QUA131151:QUD131151 RDW131151:RDZ131151 RNS131151:RNV131151 RXO131151:RXR131151 SHK131151:SHN131151 SRG131151:SRJ131151 TBC131151:TBF131151 TKY131151:TLB131151 TUU131151:TUX131151 UEQ131151:UET131151 UOM131151:UOP131151 UYI131151:UYL131151 VIE131151:VIH131151 VSA131151:VSD131151 WBW131151:WBZ131151 WLS131151:WLV131151 WVO131151:WVR131151 JC196687:JF196687 SY196687:TB196687 ACU196687:ACX196687 AMQ196687:AMT196687 AWM196687:AWP196687 BGI196687:BGL196687 BQE196687:BQH196687 CAA196687:CAD196687 CJW196687:CJZ196687 CTS196687:CTV196687 DDO196687:DDR196687 DNK196687:DNN196687 DXG196687:DXJ196687 EHC196687:EHF196687 EQY196687:ERB196687 FAU196687:FAX196687 FKQ196687:FKT196687 FUM196687:FUP196687 GEI196687:GEL196687 GOE196687:GOH196687 GYA196687:GYD196687 HHW196687:HHZ196687 HRS196687:HRV196687 IBO196687:IBR196687 ILK196687:ILN196687 IVG196687:IVJ196687 JFC196687:JFF196687 JOY196687:JPB196687 JYU196687:JYX196687 KIQ196687:KIT196687 KSM196687:KSP196687 LCI196687:LCL196687 LME196687:LMH196687 LWA196687:LWD196687 MFW196687:MFZ196687 MPS196687:MPV196687 MZO196687:MZR196687 NJK196687:NJN196687 NTG196687:NTJ196687 ODC196687:ODF196687 OMY196687:ONB196687 OWU196687:OWX196687 PGQ196687:PGT196687 PQM196687:PQP196687 QAI196687:QAL196687 QKE196687:QKH196687 QUA196687:QUD196687 RDW196687:RDZ196687 RNS196687:RNV196687 RXO196687:RXR196687 SHK196687:SHN196687 SRG196687:SRJ196687 TBC196687:TBF196687 TKY196687:TLB196687 TUU196687:TUX196687 UEQ196687:UET196687 UOM196687:UOP196687 UYI196687:UYL196687 VIE196687:VIH196687 VSA196687:VSD196687 WBW196687:WBZ196687 WLS196687:WLV196687 WVO196687:WVR196687 JC262223:JF262223 SY262223:TB262223 ACU262223:ACX262223 AMQ262223:AMT262223 AWM262223:AWP262223 BGI262223:BGL262223 BQE262223:BQH262223 CAA262223:CAD262223 CJW262223:CJZ262223 CTS262223:CTV262223 DDO262223:DDR262223 DNK262223:DNN262223 DXG262223:DXJ262223 EHC262223:EHF262223 EQY262223:ERB262223 FAU262223:FAX262223 FKQ262223:FKT262223 FUM262223:FUP262223 GEI262223:GEL262223 GOE262223:GOH262223 GYA262223:GYD262223 HHW262223:HHZ262223 HRS262223:HRV262223 IBO262223:IBR262223 ILK262223:ILN262223 IVG262223:IVJ262223 JFC262223:JFF262223 JOY262223:JPB262223 JYU262223:JYX262223 KIQ262223:KIT262223 KSM262223:KSP262223 LCI262223:LCL262223 LME262223:LMH262223 LWA262223:LWD262223 MFW262223:MFZ262223 MPS262223:MPV262223 MZO262223:MZR262223 NJK262223:NJN262223 NTG262223:NTJ262223 ODC262223:ODF262223 OMY262223:ONB262223 OWU262223:OWX262223 PGQ262223:PGT262223 PQM262223:PQP262223 QAI262223:QAL262223 QKE262223:QKH262223 QUA262223:QUD262223 RDW262223:RDZ262223 RNS262223:RNV262223 RXO262223:RXR262223 SHK262223:SHN262223 SRG262223:SRJ262223 TBC262223:TBF262223 TKY262223:TLB262223 TUU262223:TUX262223 UEQ262223:UET262223 UOM262223:UOP262223 UYI262223:UYL262223 VIE262223:VIH262223 VSA262223:VSD262223 WBW262223:WBZ262223 WLS262223:WLV262223 WVO262223:WVR262223 JC327759:JF327759 SY327759:TB327759 ACU327759:ACX327759 AMQ327759:AMT327759 AWM327759:AWP327759 BGI327759:BGL327759 BQE327759:BQH327759 CAA327759:CAD327759 CJW327759:CJZ327759 CTS327759:CTV327759 DDO327759:DDR327759 DNK327759:DNN327759 DXG327759:DXJ327759 EHC327759:EHF327759 EQY327759:ERB327759 FAU327759:FAX327759 FKQ327759:FKT327759 FUM327759:FUP327759 GEI327759:GEL327759 GOE327759:GOH327759 GYA327759:GYD327759 HHW327759:HHZ327759 HRS327759:HRV327759 IBO327759:IBR327759 ILK327759:ILN327759 IVG327759:IVJ327759 JFC327759:JFF327759 JOY327759:JPB327759 JYU327759:JYX327759 KIQ327759:KIT327759 KSM327759:KSP327759 LCI327759:LCL327759 LME327759:LMH327759 LWA327759:LWD327759 MFW327759:MFZ327759 MPS327759:MPV327759 MZO327759:MZR327759 NJK327759:NJN327759 NTG327759:NTJ327759 ODC327759:ODF327759 OMY327759:ONB327759 OWU327759:OWX327759 PGQ327759:PGT327759 PQM327759:PQP327759 QAI327759:QAL327759 QKE327759:QKH327759 QUA327759:QUD327759 RDW327759:RDZ327759 RNS327759:RNV327759 RXO327759:RXR327759 SHK327759:SHN327759 SRG327759:SRJ327759 TBC327759:TBF327759 TKY327759:TLB327759 TUU327759:TUX327759 UEQ327759:UET327759 UOM327759:UOP327759 UYI327759:UYL327759 VIE327759:VIH327759 VSA327759:VSD327759 WBW327759:WBZ327759 WLS327759:WLV327759 WVO327759:WVR327759 JC393295:JF393295 SY393295:TB393295 ACU393295:ACX393295 AMQ393295:AMT393295 AWM393295:AWP393295 BGI393295:BGL393295 BQE393295:BQH393295 CAA393295:CAD393295 CJW393295:CJZ393295 CTS393295:CTV393295 DDO393295:DDR393295 DNK393295:DNN393295 DXG393295:DXJ393295 EHC393295:EHF393295 EQY393295:ERB393295 FAU393295:FAX393295 FKQ393295:FKT393295 FUM393295:FUP393295 GEI393295:GEL393295 GOE393295:GOH393295 GYA393295:GYD393295 HHW393295:HHZ393295 HRS393295:HRV393295 IBO393295:IBR393295 ILK393295:ILN393295 IVG393295:IVJ393295 JFC393295:JFF393295 JOY393295:JPB393295 JYU393295:JYX393295 KIQ393295:KIT393295 KSM393295:KSP393295 LCI393295:LCL393295 LME393295:LMH393295 LWA393295:LWD393295 MFW393295:MFZ393295 MPS393295:MPV393295 MZO393295:MZR393295 NJK393295:NJN393295 NTG393295:NTJ393295 ODC393295:ODF393295 OMY393295:ONB393295 OWU393295:OWX393295 PGQ393295:PGT393295 PQM393295:PQP393295 QAI393295:QAL393295 QKE393295:QKH393295 QUA393295:QUD393295 RDW393295:RDZ393295 RNS393295:RNV393295 RXO393295:RXR393295 SHK393295:SHN393295 SRG393295:SRJ393295 TBC393295:TBF393295 TKY393295:TLB393295 TUU393295:TUX393295 UEQ393295:UET393295 UOM393295:UOP393295 UYI393295:UYL393295 VIE393295:VIH393295 VSA393295:VSD393295 WBW393295:WBZ393295 WLS393295:WLV393295 WVO393295:WVR393295 JC458831:JF458831 SY458831:TB458831 ACU458831:ACX458831 AMQ458831:AMT458831 AWM458831:AWP458831 BGI458831:BGL458831 BQE458831:BQH458831 CAA458831:CAD458831 CJW458831:CJZ458831 CTS458831:CTV458831 DDO458831:DDR458831 DNK458831:DNN458831 DXG458831:DXJ458831 EHC458831:EHF458831 EQY458831:ERB458831 FAU458831:FAX458831 FKQ458831:FKT458831 FUM458831:FUP458831 GEI458831:GEL458831 GOE458831:GOH458831 GYA458831:GYD458831 HHW458831:HHZ458831 HRS458831:HRV458831 IBO458831:IBR458831 ILK458831:ILN458831 IVG458831:IVJ458831 JFC458831:JFF458831 JOY458831:JPB458831 JYU458831:JYX458831 KIQ458831:KIT458831 KSM458831:KSP458831 LCI458831:LCL458831 LME458831:LMH458831 LWA458831:LWD458831 MFW458831:MFZ458831 MPS458831:MPV458831 MZO458831:MZR458831 NJK458831:NJN458831 NTG458831:NTJ458831 ODC458831:ODF458831 OMY458831:ONB458831 OWU458831:OWX458831 PGQ458831:PGT458831 PQM458831:PQP458831 QAI458831:QAL458831 QKE458831:QKH458831 QUA458831:QUD458831 RDW458831:RDZ458831 RNS458831:RNV458831 RXO458831:RXR458831 SHK458831:SHN458831 SRG458831:SRJ458831 TBC458831:TBF458831 TKY458831:TLB458831 TUU458831:TUX458831 UEQ458831:UET458831 UOM458831:UOP458831 UYI458831:UYL458831 VIE458831:VIH458831 VSA458831:VSD458831 WBW458831:WBZ458831 WLS458831:WLV458831 WVO458831:WVR458831 JC524367:JF524367 SY524367:TB524367 ACU524367:ACX524367 AMQ524367:AMT524367 AWM524367:AWP524367 BGI524367:BGL524367 BQE524367:BQH524367 CAA524367:CAD524367 CJW524367:CJZ524367 CTS524367:CTV524367 DDO524367:DDR524367 DNK524367:DNN524367 DXG524367:DXJ524367 EHC524367:EHF524367 EQY524367:ERB524367 FAU524367:FAX524367 FKQ524367:FKT524367 FUM524367:FUP524367 GEI524367:GEL524367 GOE524367:GOH524367 GYA524367:GYD524367 HHW524367:HHZ524367 HRS524367:HRV524367 IBO524367:IBR524367 ILK524367:ILN524367 IVG524367:IVJ524367 JFC524367:JFF524367 JOY524367:JPB524367 JYU524367:JYX524367 KIQ524367:KIT524367 KSM524367:KSP524367 LCI524367:LCL524367 LME524367:LMH524367 LWA524367:LWD524367 MFW524367:MFZ524367 MPS524367:MPV524367 MZO524367:MZR524367 NJK524367:NJN524367 NTG524367:NTJ524367 ODC524367:ODF524367 OMY524367:ONB524367 OWU524367:OWX524367 PGQ524367:PGT524367 PQM524367:PQP524367 QAI524367:QAL524367 QKE524367:QKH524367 QUA524367:QUD524367 RDW524367:RDZ524367 RNS524367:RNV524367 RXO524367:RXR524367 SHK524367:SHN524367 SRG524367:SRJ524367 TBC524367:TBF524367 TKY524367:TLB524367 TUU524367:TUX524367 UEQ524367:UET524367 UOM524367:UOP524367 UYI524367:UYL524367 VIE524367:VIH524367 VSA524367:VSD524367 WBW524367:WBZ524367 WLS524367:WLV524367 WVO524367:WVR524367 JC589903:JF589903 SY589903:TB589903 ACU589903:ACX589903 AMQ589903:AMT589903 AWM589903:AWP589903 BGI589903:BGL589903 BQE589903:BQH589903 CAA589903:CAD589903 CJW589903:CJZ589903 CTS589903:CTV589903 DDO589903:DDR589903 DNK589903:DNN589903 DXG589903:DXJ589903 EHC589903:EHF589903 EQY589903:ERB589903 FAU589903:FAX589903 FKQ589903:FKT589903 FUM589903:FUP589903 GEI589903:GEL589903 GOE589903:GOH589903 GYA589903:GYD589903 HHW589903:HHZ589903 HRS589903:HRV589903 IBO589903:IBR589903 ILK589903:ILN589903 IVG589903:IVJ589903 JFC589903:JFF589903 JOY589903:JPB589903 JYU589903:JYX589903 KIQ589903:KIT589903 KSM589903:KSP589903 LCI589903:LCL589903 LME589903:LMH589903 LWA589903:LWD589903 MFW589903:MFZ589903 MPS589903:MPV589903 MZO589903:MZR589903 NJK589903:NJN589903 NTG589903:NTJ589903 ODC589903:ODF589903 OMY589903:ONB589903 OWU589903:OWX589903 PGQ589903:PGT589903 PQM589903:PQP589903 QAI589903:QAL589903 QKE589903:QKH589903 QUA589903:QUD589903 RDW589903:RDZ589903 RNS589903:RNV589903 RXO589903:RXR589903 SHK589903:SHN589903 SRG589903:SRJ589903 TBC589903:TBF589903 TKY589903:TLB589903 TUU589903:TUX589903 UEQ589903:UET589903 UOM589903:UOP589903 UYI589903:UYL589903 VIE589903:VIH589903 VSA589903:VSD589903 WBW589903:WBZ589903 WLS589903:WLV589903 WVO589903:WVR589903 JC655439:JF655439 SY655439:TB655439 ACU655439:ACX655439 AMQ655439:AMT655439 AWM655439:AWP655439 BGI655439:BGL655439 BQE655439:BQH655439 CAA655439:CAD655439 CJW655439:CJZ655439 CTS655439:CTV655439 DDO655439:DDR655439 DNK655439:DNN655439 DXG655439:DXJ655439 EHC655439:EHF655439 EQY655439:ERB655439 FAU655439:FAX655439 FKQ655439:FKT655439 FUM655439:FUP655439 GEI655439:GEL655439 GOE655439:GOH655439 GYA655439:GYD655439 HHW655439:HHZ655439 HRS655439:HRV655439 IBO655439:IBR655439 ILK655439:ILN655439 IVG655439:IVJ655439 JFC655439:JFF655439 JOY655439:JPB655439 JYU655439:JYX655439 KIQ655439:KIT655439 KSM655439:KSP655439 LCI655439:LCL655439 LME655439:LMH655439 LWA655439:LWD655439 MFW655439:MFZ655439 MPS655439:MPV655439 MZO655439:MZR655439 NJK655439:NJN655439 NTG655439:NTJ655439 ODC655439:ODF655439 OMY655439:ONB655439 OWU655439:OWX655439 PGQ655439:PGT655439 PQM655439:PQP655439 QAI655439:QAL655439 QKE655439:QKH655439 QUA655439:QUD655439 RDW655439:RDZ655439 RNS655439:RNV655439 RXO655439:RXR655439 SHK655439:SHN655439 SRG655439:SRJ655439 TBC655439:TBF655439 TKY655439:TLB655439 TUU655439:TUX655439 UEQ655439:UET655439 UOM655439:UOP655439 UYI655439:UYL655439 VIE655439:VIH655439 VSA655439:VSD655439 WBW655439:WBZ655439 WLS655439:WLV655439 WVO655439:WVR655439 JC720975:JF720975 SY720975:TB720975 ACU720975:ACX720975 AMQ720975:AMT720975 AWM720975:AWP720975 BGI720975:BGL720975 BQE720975:BQH720975 CAA720975:CAD720975 CJW720975:CJZ720975 CTS720975:CTV720975 DDO720975:DDR720975 DNK720975:DNN720975 DXG720975:DXJ720975 EHC720975:EHF720975 EQY720975:ERB720975 FAU720975:FAX720975 FKQ720975:FKT720975 FUM720975:FUP720975 GEI720975:GEL720975 GOE720975:GOH720975 GYA720975:GYD720975 HHW720975:HHZ720975 HRS720975:HRV720975 IBO720975:IBR720975 ILK720975:ILN720975 IVG720975:IVJ720975 JFC720975:JFF720975 JOY720975:JPB720975 JYU720975:JYX720975 KIQ720975:KIT720975 KSM720975:KSP720975 LCI720975:LCL720975 LME720975:LMH720975 LWA720975:LWD720975 MFW720975:MFZ720975 MPS720975:MPV720975 MZO720975:MZR720975 NJK720975:NJN720975 NTG720975:NTJ720975 ODC720975:ODF720975 OMY720975:ONB720975 OWU720975:OWX720975 PGQ720975:PGT720975 PQM720975:PQP720975 QAI720975:QAL720975 QKE720975:QKH720975 QUA720975:QUD720975 RDW720975:RDZ720975 RNS720975:RNV720975 RXO720975:RXR720975 SHK720975:SHN720975 SRG720975:SRJ720975 TBC720975:TBF720975 TKY720975:TLB720975 TUU720975:TUX720975 UEQ720975:UET720975 UOM720975:UOP720975 UYI720975:UYL720975 VIE720975:VIH720975 VSA720975:VSD720975 WBW720975:WBZ720975 WLS720975:WLV720975 WVO720975:WVR720975 JC786511:JF786511 SY786511:TB786511 ACU786511:ACX786511 AMQ786511:AMT786511 AWM786511:AWP786511 BGI786511:BGL786511 BQE786511:BQH786511 CAA786511:CAD786511 CJW786511:CJZ786511 CTS786511:CTV786511 DDO786511:DDR786511 DNK786511:DNN786511 DXG786511:DXJ786511 EHC786511:EHF786511 EQY786511:ERB786511 FAU786511:FAX786511 FKQ786511:FKT786511 FUM786511:FUP786511 GEI786511:GEL786511 GOE786511:GOH786511 GYA786511:GYD786511 HHW786511:HHZ786511 HRS786511:HRV786511 IBO786511:IBR786511 ILK786511:ILN786511 IVG786511:IVJ786511 JFC786511:JFF786511 JOY786511:JPB786511 JYU786511:JYX786511 KIQ786511:KIT786511 KSM786511:KSP786511 LCI786511:LCL786511 LME786511:LMH786511 LWA786511:LWD786511 MFW786511:MFZ786511 MPS786511:MPV786511 MZO786511:MZR786511 NJK786511:NJN786511 NTG786511:NTJ786511 ODC786511:ODF786511 OMY786511:ONB786511 OWU786511:OWX786511 PGQ786511:PGT786511 PQM786511:PQP786511 QAI786511:QAL786511 QKE786511:QKH786511 QUA786511:QUD786511 RDW786511:RDZ786511 RNS786511:RNV786511 RXO786511:RXR786511 SHK786511:SHN786511 SRG786511:SRJ786511 TBC786511:TBF786511 TKY786511:TLB786511 TUU786511:TUX786511 UEQ786511:UET786511 UOM786511:UOP786511 UYI786511:UYL786511 VIE786511:VIH786511 VSA786511:VSD786511 WBW786511:WBZ786511 WLS786511:WLV786511 WVO786511:WVR786511 JC852047:JF852047 SY852047:TB852047 ACU852047:ACX852047 AMQ852047:AMT852047 AWM852047:AWP852047 BGI852047:BGL852047 BQE852047:BQH852047 CAA852047:CAD852047 CJW852047:CJZ852047 CTS852047:CTV852047 DDO852047:DDR852047 DNK852047:DNN852047 DXG852047:DXJ852047 EHC852047:EHF852047 EQY852047:ERB852047 FAU852047:FAX852047 FKQ852047:FKT852047 FUM852047:FUP852047 GEI852047:GEL852047 GOE852047:GOH852047 GYA852047:GYD852047 HHW852047:HHZ852047 HRS852047:HRV852047 IBO852047:IBR852047 ILK852047:ILN852047 IVG852047:IVJ852047 JFC852047:JFF852047 JOY852047:JPB852047 JYU852047:JYX852047 KIQ852047:KIT852047 KSM852047:KSP852047 LCI852047:LCL852047 LME852047:LMH852047 LWA852047:LWD852047 MFW852047:MFZ852047 MPS852047:MPV852047 MZO852047:MZR852047 NJK852047:NJN852047 NTG852047:NTJ852047 ODC852047:ODF852047 OMY852047:ONB852047 OWU852047:OWX852047 PGQ852047:PGT852047 PQM852047:PQP852047 QAI852047:QAL852047 QKE852047:QKH852047 QUA852047:QUD852047 RDW852047:RDZ852047 RNS852047:RNV852047 RXO852047:RXR852047 SHK852047:SHN852047 SRG852047:SRJ852047 TBC852047:TBF852047 TKY852047:TLB852047 TUU852047:TUX852047 UEQ852047:UET852047 UOM852047:UOP852047 UYI852047:UYL852047 VIE852047:VIH852047 VSA852047:VSD852047 WBW852047:WBZ852047 WLS852047:WLV852047 WVO852047:WVR852047 JC917583:JF917583 SY917583:TB917583 ACU917583:ACX917583 AMQ917583:AMT917583 AWM917583:AWP917583 BGI917583:BGL917583 BQE917583:BQH917583 CAA917583:CAD917583 CJW917583:CJZ917583 CTS917583:CTV917583 DDO917583:DDR917583 DNK917583:DNN917583 DXG917583:DXJ917583 EHC917583:EHF917583 EQY917583:ERB917583 FAU917583:FAX917583 FKQ917583:FKT917583 FUM917583:FUP917583 GEI917583:GEL917583 GOE917583:GOH917583 GYA917583:GYD917583 HHW917583:HHZ917583 HRS917583:HRV917583 IBO917583:IBR917583 ILK917583:ILN917583 IVG917583:IVJ917583 JFC917583:JFF917583 JOY917583:JPB917583 JYU917583:JYX917583 KIQ917583:KIT917583 KSM917583:KSP917583 LCI917583:LCL917583 LME917583:LMH917583 LWA917583:LWD917583 MFW917583:MFZ917583 MPS917583:MPV917583 MZO917583:MZR917583 NJK917583:NJN917583 NTG917583:NTJ917583 ODC917583:ODF917583 OMY917583:ONB917583 OWU917583:OWX917583 PGQ917583:PGT917583 PQM917583:PQP917583 QAI917583:QAL917583 QKE917583:QKH917583 QUA917583:QUD917583 RDW917583:RDZ917583 RNS917583:RNV917583 RXO917583:RXR917583 SHK917583:SHN917583 SRG917583:SRJ917583 TBC917583:TBF917583 TKY917583:TLB917583 TUU917583:TUX917583 UEQ917583:UET917583 UOM917583:UOP917583 UYI917583:UYL917583 VIE917583:VIH917583 VSA917583:VSD917583 WBW917583:WBZ917583 WLS917583:WLV917583 WVO917583:WVR917583 JC983119:JF983119 SY983119:TB983119 ACU983119:ACX983119 AMQ983119:AMT983119 AWM983119:AWP983119 BGI983119:BGL983119 BQE983119:BQH983119 CAA983119:CAD983119 CJW983119:CJZ983119 CTS983119:CTV983119 DDO983119:DDR983119 DNK983119:DNN983119 DXG983119:DXJ983119 EHC983119:EHF983119 EQY983119:ERB983119 FAU983119:FAX983119 FKQ983119:FKT983119 FUM983119:FUP983119 GEI983119:GEL983119 GOE983119:GOH983119 GYA983119:GYD983119 HHW983119:HHZ983119 HRS983119:HRV983119 IBO983119:IBR983119 ILK983119:ILN983119 IVG983119:IVJ983119 JFC983119:JFF983119 JOY983119:JPB983119 JYU983119:JYX983119 KIQ983119:KIT983119 KSM983119:KSP983119 LCI983119:LCL983119 LME983119:LMH983119 LWA983119:LWD983119 MFW983119:MFZ983119 MPS983119:MPV983119 MZO983119:MZR983119 NJK983119:NJN983119 NTG983119:NTJ983119 ODC983119:ODF983119 OMY983119:ONB983119 OWU983119:OWX983119 PGQ983119:PGT983119 PQM983119:PQP983119 QAI983119:QAL983119 QKE983119:QKH983119 QUA983119:QUD983119 RDW983119:RDZ983119 RNS983119:RNV983119 RXO983119:RXR983119 SHK983119:SHN983119 SRG983119:SRJ983119 TBC983119:TBF983119 TKY983119:TLB983119 TUU983119:TUX983119 UEQ983119:UET983119 UOM983119:UOP983119 UYI983119:UYL983119 VIE983119:VIH983119 VSA983119:VSD983119 WBW983119:WBZ983119 WLS983119:WLV983119 WVO983119:WVR983119 WWQ983119:WWR983119 AT196687:AY196687 KE65615:KF65615 UA65615:UB65615 ADW65615:ADX65615 ANS65615:ANT65615 AXO65615:AXP65615 BHK65615:BHL65615 BRG65615:BRH65615 CBC65615:CBD65615 CKY65615:CKZ65615 CUU65615:CUV65615 DEQ65615:DER65615 DOM65615:DON65615 DYI65615:DYJ65615 EIE65615:EIF65615 ESA65615:ESB65615 FBW65615:FBX65615 FLS65615:FLT65615 FVO65615:FVP65615 GFK65615:GFL65615 GPG65615:GPH65615 GZC65615:GZD65615 HIY65615:HIZ65615 HSU65615:HSV65615 ICQ65615:ICR65615 IMM65615:IMN65615 IWI65615:IWJ65615 JGE65615:JGF65615 JQA65615:JQB65615 JZW65615:JZX65615 KJS65615:KJT65615 KTO65615:KTP65615 LDK65615:LDL65615 LNG65615:LNH65615 LXC65615:LXD65615 MGY65615:MGZ65615 MQU65615:MQV65615 NAQ65615:NAR65615 NKM65615:NKN65615 NUI65615:NUJ65615 OEE65615:OEF65615 OOA65615:OOB65615 OXW65615:OXX65615 PHS65615:PHT65615 PRO65615:PRP65615 QBK65615:QBL65615 QLG65615:QLH65615 QVC65615:QVD65615 REY65615:REZ65615 ROU65615:ROV65615 RYQ65615:RYR65615 SIM65615:SIN65615 SSI65615:SSJ65615 TCE65615:TCF65615 TMA65615:TMB65615 TVW65615:TVX65615 UFS65615:UFT65615 UPO65615:UPP65615 UZK65615:UZL65615 VJG65615:VJH65615 VTC65615:VTD65615 WCY65615:WCZ65615 WMU65615:WMV65615 WWQ65615:WWR65615 AT262223:AY262223 KE131151:KF131151 UA131151:UB131151 ADW131151:ADX131151 ANS131151:ANT131151 AXO131151:AXP131151 BHK131151:BHL131151 BRG131151:BRH131151 CBC131151:CBD131151 CKY131151:CKZ131151 CUU131151:CUV131151 DEQ131151:DER131151 DOM131151:DON131151 DYI131151:DYJ131151 EIE131151:EIF131151 ESA131151:ESB131151 FBW131151:FBX131151 FLS131151:FLT131151 FVO131151:FVP131151 GFK131151:GFL131151 GPG131151:GPH131151 GZC131151:GZD131151 HIY131151:HIZ131151 HSU131151:HSV131151 ICQ131151:ICR131151 IMM131151:IMN131151 IWI131151:IWJ131151 JGE131151:JGF131151 JQA131151:JQB131151 JZW131151:JZX131151 KJS131151:KJT131151 KTO131151:KTP131151 LDK131151:LDL131151 LNG131151:LNH131151 LXC131151:LXD131151 MGY131151:MGZ131151 MQU131151:MQV131151 NAQ131151:NAR131151 NKM131151:NKN131151 NUI131151:NUJ131151 OEE131151:OEF131151 OOA131151:OOB131151 OXW131151:OXX131151 PHS131151:PHT131151 PRO131151:PRP131151 QBK131151:QBL131151 QLG131151:QLH131151 QVC131151:QVD131151 REY131151:REZ131151 ROU131151:ROV131151 RYQ131151:RYR131151 SIM131151:SIN131151 SSI131151:SSJ131151 TCE131151:TCF131151 TMA131151:TMB131151 TVW131151:TVX131151 UFS131151:UFT131151 UPO131151:UPP131151 UZK131151:UZL131151 VJG131151:VJH131151 VTC131151:VTD131151 WCY131151:WCZ131151 WMU131151:WMV131151 WWQ131151:WWR131151 AT327759:AY327759 KE196687:KF196687 UA196687:UB196687 ADW196687:ADX196687 ANS196687:ANT196687 AXO196687:AXP196687 BHK196687:BHL196687 BRG196687:BRH196687 CBC196687:CBD196687 CKY196687:CKZ196687 CUU196687:CUV196687 DEQ196687:DER196687 DOM196687:DON196687 DYI196687:DYJ196687 EIE196687:EIF196687 ESA196687:ESB196687 FBW196687:FBX196687 FLS196687:FLT196687 FVO196687:FVP196687 GFK196687:GFL196687 GPG196687:GPH196687 GZC196687:GZD196687 HIY196687:HIZ196687 HSU196687:HSV196687 ICQ196687:ICR196687 IMM196687:IMN196687 IWI196687:IWJ196687 JGE196687:JGF196687 JQA196687:JQB196687 JZW196687:JZX196687 KJS196687:KJT196687 KTO196687:KTP196687 LDK196687:LDL196687 LNG196687:LNH196687 LXC196687:LXD196687 MGY196687:MGZ196687 MQU196687:MQV196687 NAQ196687:NAR196687 NKM196687:NKN196687 NUI196687:NUJ196687 OEE196687:OEF196687 OOA196687:OOB196687 OXW196687:OXX196687 PHS196687:PHT196687 PRO196687:PRP196687 QBK196687:QBL196687 QLG196687:QLH196687 QVC196687:QVD196687 REY196687:REZ196687 ROU196687:ROV196687 RYQ196687:RYR196687 SIM196687:SIN196687 SSI196687:SSJ196687 TCE196687:TCF196687 TMA196687:TMB196687 TVW196687:TVX196687 UFS196687:UFT196687 UPO196687:UPP196687 UZK196687:UZL196687 VJG196687:VJH196687 VTC196687:VTD196687 WCY196687:WCZ196687 WMU196687:WMV196687 WWQ196687:WWR196687 AT393295:AY393295 KE262223:KF262223 UA262223:UB262223 ADW262223:ADX262223 ANS262223:ANT262223 AXO262223:AXP262223 BHK262223:BHL262223 BRG262223:BRH262223 CBC262223:CBD262223 CKY262223:CKZ262223 CUU262223:CUV262223 DEQ262223:DER262223 DOM262223:DON262223 DYI262223:DYJ262223 EIE262223:EIF262223 ESA262223:ESB262223 FBW262223:FBX262223 FLS262223:FLT262223 FVO262223:FVP262223 GFK262223:GFL262223 GPG262223:GPH262223 GZC262223:GZD262223 HIY262223:HIZ262223 HSU262223:HSV262223 ICQ262223:ICR262223 IMM262223:IMN262223 IWI262223:IWJ262223 JGE262223:JGF262223 JQA262223:JQB262223 JZW262223:JZX262223 KJS262223:KJT262223 KTO262223:KTP262223 LDK262223:LDL262223 LNG262223:LNH262223 LXC262223:LXD262223 MGY262223:MGZ262223 MQU262223:MQV262223 NAQ262223:NAR262223 NKM262223:NKN262223 NUI262223:NUJ262223 OEE262223:OEF262223 OOA262223:OOB262223 OXW262223:OXX262223 PHS262223:PHT262223 PRO262223:PRP262223 QBK262223:QBL262223 QLG262223:QLH262223 QVC262223:QVD262223 REY262223:REZ262223 ROU262223:ROV262223 RYQ262223:RYR262223 SIM262223:SIN262223 SSI262223:SSJ262223 TCE262223:TCF262223 TMA262223:TMB262223 TVW262223:TVX262223 UFS262223:UFT262223 UPO262223:UPP262223 UZK262223:UZL262223 VJG262223:VJH262223 VTC262223:VTD262223 WCY262223:WCZ262223 WMU262223:WMV262223 WWQ262223:WWR262223 AT458831:AY458831 KE327759:KF327759 UA327759:UB327759 ADW327759:ADX327759 ANS327759:ANT327759 AXO327759:AXP327759 BHK327759:BHL327759 BRG327759:BRH327759 CBC327759:CBD327759 CKY327759:CKZ327759 CUU327759:CUV327759 DEQ327759:DER327759 DOM327759:DON327759 DYI327759:DYJ327759 EIE327759:EIF327759 ESA327759:ESB327759 FBW327759:FBX327759 FLS327759:FLT327759 FVO327759:FVP327759 GFK327759:GFL327759 GPG327759:GPH327759 GZC327759:GZD327759 HIY327759:HIZ327759 HSU327759:HSV327759 ICQ327759:ICR327759 IMM327759:IMN327759 IWI327759:IWJ327759 JGE327759:JGF327759 JQA327759:JQB327759 JZW327759:JZX327759 KJS327759:KJT327759 KTO327759:KTP327759 LDK327759:LDL327759 LNG327759:LNH327759 LXC327759:LXD327759 MGY327759:MGZ327759 MQU327759:MQV327759 NAQ327759:NAR327759 NKM327759:NKN327759 NUI327759:NUJ327759 OEE327759:OEF327759 OOA327759:OOB327759 OXW327759:OXX327759 PHS327759:PHT327759 PRO327759:PRP327759 QBK327759:QBL327759 QLG327759:QLH327759 QVC327759:QVD327759 REY327759:REZ327759 ROU327759:ROV327759 RYQ327759:RYR327759 SIM327759:SIN327759 SSI327759:SSJ327759 TCE327759:TCF327759 TMA327759:TMB327759 TVW327759:TVX327759 UFS327759:UFT327759 UPO327759:UPP327759 UZK327759:UZL327759 VJG327759:VJH327759 VTC327759:VTD327759 WCY327759:WCZ327759 WMU327759:WMV327759 WWQ327759:WWR327759 AT524367:AY524367 KE393295:KF393295 UA393295:UB393295 ADW393295:ADX393295 ANS393295:ANT393295 AXO393295:AXP393295 BHK393295:BHL393295 BRG393295:BRH393295 CBC393295:CBD393295 CKY393295:CKZ393295 CUU393295:CUV393295 DEQ393295:DER393295 DOM393295:DON393295 DYI393295:DYJ393295 EIE393295:EIF393295 ESA393295:ESB393295 FBW393295:FBX393295 FLS393295:FLT393295 FVO393295:FVP393295 GFK393295:GFL393295 GPG393295:GPH393295 GZC393295:GZD393295 HIY393295:HIZ393295 HSU393295:HSV393295 ICQ393295:ICR393295 IMM393295:IMN393295 IWI393295:IWJ393295 JGE393295:JGF393295 JQA393295:JQB393295 JZW393295:JZX393295 KJS393295:KJT393295 KTO393295:KTP393295 LDK393295:LDL393295 LNG393295:LNH393295 LXC393295:LXD393295 MGY393295:MGZ393295 MQU393295:MQV393295 NAQ393295:NAR393295 NKM393295:NKN393295 NUI393295:NUJ393295 OEE393295:OEF393295 OOA393295:OOB393295 OXW393295:OXX393295 PHS393295:PHT393295 PRO393295:PRP393295 QBK393295:QBL393295 QLG393295:QLH393295 QVC393295:QVD393295 REY393295:REZ393295 ROU393295:ROV393295 RYQ393295:RYR393295 SIM393295:SIN393295 SSI393295:SSJ393295 TCE393295:TCF393295 TMA393295:TMB393295 TVW393295:TVX393295 UFS393295:UFT393295 UPO393295:UPP393295 UZK393295:UZL393295 VJG393295:VJH393295 VTC393295:VTD393295 WCY393295:WCZ393295 WMU393295:WMV393295 WWQ393295:WWR393295 AT589903:AY589903 KE458831:KF458831 UA458831:UB458831 ADW458831:ADX458831 ANS458831:ANT458831 AXO458831:AXP458831 BHK458831:BHL458831 BRG458831:BRH458831 CBC458831:CBD458831 CKY458831:CKZ458831 CUU458831:CUV458831 DEQ458831:DER458831 DOM458831:DON458831 DYI458831:DYJ458831 EIE458831:EIF458831 ESA458831:ESB458831 FBW458831:FBX458831 FLS458831:FLT458831 FVO458831:FVP458831 GFK458831:GFL458831 GPG458831:GPH458831 GZC458831:GZD458831 HIY458831:HIZ458831 HSU458831:HSV458831 ICQ458831:ICR458831 IMM458831:IMN458831 IWI458831:IWJ458831 JGE458831:JGF458831 JQA458831:JQB458831 JZW458831:JZX458831 KJS458831:KJT458831 KTO458831:KTP458831 LDK458831:LDL458831 LNG458831:LNH458831 LXC458831:LXD458831 MGY458831:MGZ458831 MQU458831:MQV458831 NAQ458831:NAR458831 NKM458831:NKN458831 NUI458831:NUJ458831 OEE458831:OEF458831 OOA458831:OOB458831 OXW458831:OXX458831 PHS458831:PHT458831 PRO458831:PRP458831 QBK458831:QBL458831 QLG458831:QLH458831 QVC458831:QVD458831 REY458831:REZ458831 ROU458831:ROV458831 RYQ458831:RYR458831 SIM458831:SIN458831 SSI458831:SSJ458831 TCE458831:TCF458831 TMA458831:TMB458831 TVW458831:TVX458831 UFS458831:UFT458831 UPO458831:UPP458831 UZK458831:UZL458831 VJG458831:VJH458831 VTC458831:VTD458831 WCY458831:WCZ458831 WMU458831:WMV458831 WWQ458831:WWR458831 AT655439:AY655439 KE524367:KF524367 UA524367:UB524367 ADW524367:ADX524367 ANS524367:ANT524367 AXO524367:AXP524367 BHK524367:BHL524367 BRG524367:BRH524367 CBC524367:CBD524367 CKY524367:CKZ524367 CUU524367:CUV524367 DEQ524367:DER524367 DOM524367:DON524367 DYI524367:DYJ524367 EIE524367:EIF524367 ESA524367:ESB524367 FBW524367:FBX524367 FLS524367:FLT524367 FVO524367:FVP524367 GFK524367:GFL524367 GPG524367:GPH524367 GZC524367:GZD524367 HIY524367:HIZ524367 HSU524367:HSV524367 ICQ524367:ICR524367 IMM524367:IMN524367 IWI524367:IWJ524367 JGE524367:JGF524367 JQA524367:JQB524367 JZW524367:JZX524367 KJS524367:KJT524367 KTO524367:KTP524367 LDK524367:LDL524367 LNG524367:LNH524367 LXC524367:LXD524367 MGY524367:MGZ524367 MQU524367:MQV524367 NAQ524367:NAR524367 NKM524367:NKN524367 NUI524367:NUJ524367 OEE524367:OEF524367 OOA524367:OOB524367 OXW524367:OXX524367 PHS524367:PHT524367 PRO524367:PRP524367 QBK524367:QBL524367 QLG524367:QLH524367 QVC524367:QVD524367 REY524367:REZ524367 ROU524367:ROV524367 RYQ524367:RYR524367 SIM524367:SIN524367 SSI524367:SSJ524367 TCE524367:TCF524367 TMA524367:TMB524367 TVW524367:TVX524367 UFS524367:UFT524367 UPO524367:UPP524367 UZK524367:UZL524367 VJG524367:VJH524367 VTC524367:VTD524367 WCY524367:WCZ524367 WMU524367:WMV524367 WWQ524367:WWR524367 AT720975:AY720975 KE589903:KF589903 UA589903:UB589903 ADW589903:ADX589903 ANS589903:ANT589903 AXO589903:AXP589903 BHK589903:BHL589903 BRG589903:BRH589903 CBC589903:CBD589903 CKY589903:CKZ589903 CUU589903:CUV589903 DEQ589903:DER589903 DOM589903:DON589903 DYI589903:DYJ589903 EIE589903:EIF589903 ESA589903:ESB589903 FBW589903:FBX589903 FLS589903:FLT589903 FVO589903:FVP589903 GFK589903:GFL589903 GPG589903:GPH589903 GZC589903:GZD589903 HIY589903:HIZ589903 HSU589903:HSV589903 ICQ589903:ICR589903 IMM589903:IMN589903 IWI589903:IWJ589903 JGE589903:JGF589903 JQA589903:JQB589903 JZW589903:JZX589903 KJS589903:KJT589903 KTO589903:KTP589903 LDK589903:LDL589903 LNG589903:LNH589903 LXC589903:LXD589903 MGY589903:MGZ589903 MQU589903:MQV589903 NAQ589903:NAR589903 NKM589903:NKN589903 NUI589903:NUJ589903 OEE589903:OEF589903 OOA589903:OOB589903 OXW589903:OXX589903 PHS589903:PHT589903 PRO589903:PRP589903 QBK589903:QBL589903 QLG589903:QLH589903 QVC589903:QVD589903 REY589903:REZ589903 ROU589903:ROV589903 RYQ589903:RYR589903 SIM589903:SIN589903 SSI589903:SSJ589903 TCE589903:TCF589903 TMA589903:TMB589903 TVW589903:TVX589903 UFS589903:UFT589903 UPO589903:UPP589903 UZK589903:UZL589903 VJG589903:VJH589903 VTC589903:VTD589903 WCY589903:WCZ589903 WMU589903:WMV589903 WWQ589903:WWR589903 AT786511:AY786511 KE655439:KF655439 UA655439:UB655439 ADW655439:ADX655439 ANS655439:ANT655439 AXO655439:AXP655439 BHK655439:BHL655439 BRG655439:BRH655439 CBC655439:CBD655439 CKY655439:CKZ655439 CUU655439:CUV655439 DEQ655439:DER655439 DOM655439:DON655439 DYI655439:DYJ655439 EIE655439:EIF655439 ESA655439:ESB655439 FBW655439:FBX655439 FLS655439:FLT655439 FVO655439:FVP655439 GFK655439:GFL655439 GPG655439:GPH655439 GZC655439:GZD655439 HIY655439:HIZ655439 HSU655439:HSV655439 ICQ655439:ICR655439 IMM655439:IMN655439 IWI655439:IWJ655439 JGE655439:JGF655439 JQA655439:JQB655439 JZW655439:JZX655439 KJS655439:KJT655439 KTO655439:KTP655439 LDK655439:LDL655439 LNG655439:LNH655439 LXC655439:LXD655439 MGY655439:MGZ655439 MQU655439:MQV655439 NAQ655439:NAR655439 NKM655439:NKN655439 NUI655439:NUJ655439 OEE655439:OEF655439 OOA655439:OOB655439 OXW655439:OXX655439 PHS655439:PHT655439 PRO655439:PRP655439 QBK655439:QBL655439 QLG655439:QLH655439 QVC655439:QVD655439 REY655439:REZ655439 ROU655439:ROV655439 RYQ655439:RYR655439 SIM655439:SIN655439 SSI655439:SSJ655439 TCE655439:TCF655439 TMA655439:TMB655439 TVW655439:TVX655439 UFS655439:UFT655439 UPO655439:UPP655439 UZK655439:UZL655439 VJG655439:VJH655439 VTC655439:VTD655439 WCY655439:WCZ655439 WMU655439:WMV655439 WWQ655439:WWR655439 AT852047:AY852047 KE720975:KF720975 UA720975:UB720975 ADW720975:ADX720975 ANS720975:ANT720975 AXO720975:AXP720975 BHK720975:BHL720975 BRG720975:BRH720975 CBC720975:CBD720975 CKY720975:CKZ720975 CUU720975:CUV720975 DEQ720975:DER720975 DOM720975:DON720975 DYI720975:DYJ720975 EIE720975:EIF720975 ESA720975:ESB720975 FBW720975:FBX720975 FLS720975:FLT720975 FVO720975:FVP720975 GFK720975:GFL720975 GPG720975:GPH720975 GZC720975:GZD720975 HIY720975:HIZ720975 HSU720975:HSV720975 ICQ720975:ICR720975 IMM720975:IMN720975 IWI720975:IWJ720975 JGE720975:JGF720975 JQA720975:JQB720975 JZW720975:JZX720975 KJS720975:KJT720975 KTO720975:KTP720975 LDK720975:LDL720975 LNG720975:LNH720975 LXC720975:LXD720975 MGY720975:MGZ720975 MQU720975:MQV720975 NAQ720975:NAR720975 NKM720975:NKN720975 NUI720975:NUJ720975 OEE720975:OEF720975 OOA720975:OOB720975 OXW720975:OXX720975 PHS720975:PHT720975 PRO720975:PRP720975 QBK720975:QBL720975 QLG720975:QLH720975 QVC720975:QVD720975 REY720975:REZ720975 ROU720975:ROV720975 RYQ720975:RYR720975 SIM720975:SIN720975 SSI720975:SSJ720975 TCE720975:TCF720975 TMA720975:TMB720975 TVW720975:TVX720975 UFS720975:UFT720975 UPO720975:UPP720975 UZK720975:UZL720975 VJG720975:VJH720975 VTC720975:VTD720975 WCY720975:WCZ720975 WMU720975:WMV720975 WWQ720975:WWR720975 AT917583:AY917583 KE786511:KF786511 UA786511:UB786511 ADW786511:ADX786511 ANS786511:ANT786511 AXO786511:AXP786511 BHK786511:BHL786511 BRG786511:BRH786511 CBC786511:CBD786511 CKY786511:CKZ786511 CUU786511:CUV786511 DEQ786511:DER786511 DOM786511:DON786511 DYI786511:DYJ786511 EIE786511:EIF786511 ESA786511:ESB786511 FBW786511:FBX786511 FLS786511:FLT786511 FVO786511:FVP786511 GFK786511:GFL786511 GPG786511:GPH786511 GZC786511:GZD786511 HIY786511:HIZ786511 HSU786511:HSV786511 ICQ786511:ICR786511 IMM786511:IMN786511 IWI786511:IWJ786511 JGE786511:JGF786511 JQA786511:JQB786511 JZW786511:JZX786511 KJS786511:KJT786511 KTO786511:KTP786511 LDK786511:LDL786511 LNG786511:LNH786511 LXC786511:LXD786511 MGY786511:MGZ786511 MQU786511:MQV786511 NAQ786511:NAR786511 NKM786511:NKN786511 NUI786511:NUJ786511 OEE786511:OEF786511 OOA786511:OOB786511 OXW786511:OXX786511 PHS786511:PHT786511 PRO786511:PRP786511 QBK786511:QBL786511 QLG786511:QLH786511 QVC786511:QVD786511 REY786511:REZ786511 ROU786511:ROV786511 RYQ786511:RYR786511 SIM786511:SIN786511 SSI786511:SSJ786511 TCE786511:TCF786511 TMA786511:TMB786511 TVW786511:TVX786511 UFS786511:UFT786511 UPO786511:UPP786511 UZK786511:UZL786511 VJG786511:VJH786511 VTC786511:VTD786511 WCY786511:WCZ786511 WMU786511:WMV786511 WWQ786511:WWR786511 AT983119:AY983119 KE852047:KF852047 UA852047:UB852047 ADW852047:ADX852047 ANS852047:ANT852047 AXO852047:AXP852047 BHK852047:BHL852047 BRG852047:BRH852047 CBC852047:CBD852047 CKY852047:CKZ852047 CUU852047:CUV852047 DEQ852047:DER852047 DOM852047:DON852047 DYI852047:DYJ852047 EIE852047:EIF852047 ESA852047:ESB852047 FBW852047:FBX852047 FLS852047:FLT852047 FVO852047:FVP852047 GFK852047:GFL852047 GPG852047:GPH852047 GZC852047:GZD852047 HIY852047:HIZ852047 HSU852047:HSV852047 ICQ852047:ICR852047 IMM852047:IMN852047 IWI852047:IWJ852047 JGE852047:JGF852047 JQA852047:JQB852047 JZW852047:JZX852047 KJS852047:KJT852047 KTO852047:KTP852047 LDK852047:LDL852047 LNG852047:LNH852047 LXC852047:LXD852047 MGY852047:MGZ852047 MQU852047:MQV852047 NAQ852047:NAR852047 NKM852047:NKN852047 NUI852047:NUJ852047 OEE852047:OEF852047 OOA852047:OOB852047 OXW852047:OXX852047 PHS852047:PHT852047 PRO852047:PRP852047 QBK852047:QBL852047 QLG852047:QLH852047 QVC852047:QVD852047 REY852047:REZ852047 ROU852047:ROV852047 RYQ852047:RYR852047 SIM852047:SIN852047 SSI852047:SSJ852047 TCE852047:TCF852047 TMA852047:TMB852047 TVW852047:TVX852047 UFS852047:UFT852047 UPO852047:UPP852047 UZK852047:UZL852047 VJG852047:VJH852047 VTC852047:VTD852047 WCY852047:WCZ852047 WMU852047:WMV852047 WWQ852047:WWR852047 AT65615:AY65615 KE917583:KF917583 UA917583:UB917583 ADW917583:ADX917583 ANS917583:ANT917583 AXO917583:AXP917583 BHK917583:BHL917583 BRG917583:BRH917583 CBC917583:CBD917583 CKY917583:CKZ917583 CUU917583:CUV917583 DEQ917583:DER917583 DOM917583:DON917583 DYI917583:DYJ917583 EIE917583:EIF917583 ESA917583:ESB917583 FBW917583:FBX917583 FLS917583:FLT917583 FVO917583:FVP917583 GFK917583:GFL917583 GPG917583:GPH917583 GZC917583:GZD917583 HIY917583:HIZ917583 HSU917583:HSV917583 ICQ917583:ICR917583 IMM917583:IMN917583 IWI917583:IWJ917583 JGE917583:JGF917583 JQA917583:JQB917583 JZW917583:JZX917583 KJS917583:KJT917583 KTO917583:KTP917583 LDK917583:LDL917583 LNG917583:LNH917583 LXC917583:LXD917583 MGY917583:MGZ917583 MQU917583:MQV917583 NAQ917583:NAR917583 NKM917583:NKN917583 NUI917583:NUJ917583 OEE917583:OEF917583 OOA917583:OOB917583 OXW917583:OXX917583 PHS917583:PHT917583 PRO917583:PRP917583 QBK917583:QBL917583 QLG917583:QLH917583 QVC917583:QVD917583 REY917583:REZ917583 ROU917583:ROV917583 RYQ917583:RYR917583 SIM917583:SIN917583 SSI917583:SSJ917583 TCE917583:TCF917583 TMA917583:TMB917583 TVW917583:TVX917583 UFS917583:UFT917583 UPO917583:UPP917583 UZK917583:UZL917583 VJG917583:VJH917583 VTC917583:VTD917583 WCY917583:WCZ917583 WMU917583:WMV917583 WWQ917583:WWR917583 KE983119:KF983119 UA983119:UB983119 ADW983119:ADX983119 ANS983119:ANT983119 AXO983119:AXP983119 BHK983119:BHL983119 BRG983119:BRH983119 CBC983119:CBD983119 CKY983119:CKZ983119 CUU983119:CUV983119 DEQ983119:DER983119 DOM983119:DON983119 DYI983119:DYJ983119 EIE983119:EIF983119 ESA983119:ESB983119 FBW983119:FBX983119 FLS983119:FLT983119 FVO983119:FVP983119 GFK983119:GFL983119 GPG983119:GPH983119 GZC983119:GZD983119 HIY983119:HIZ983119 HSU983119:HSV983119 ICQ983119:ICR983119 IMM983119:IMN983119 IWI983119:IWJ983119 JGE983119:JGF983119 JQA983119:JQB983119 JZW983119:JZX983119 KJS983119:KJT983119 KTO983119:KTP983119 LDK983119:LDL983119 LNG983119:LNH983119 LXC983119:LXD983119 MGY983119:MGZ983119 MQU983119:MQV983119 NAQ983119:NAR983119 NKM983119:NKN983119 NUI983119:NUJ983119 OEE983119:OEF983119 OOA983119:OOB983119 OXW983119:OXX983119 PHS983119:PHT983119 PRO983119:PRP983119 QBK983119:QBL983119 QLG983119:QLH983119 QVC983119:QVD983119 REY983119:REZ983119 ROU983119:ROV983119 RYQ983119:RYR983119 SIM983119:SIN983119 SSI983119:SSJ983119 TCE983119:TCF983119 TMA983119:TMB983119 TVW983119:TVX983119 UFS983119:UFT983119 UPO983119:UPP983119 UZK983119:UZL983119 VJG983119:VJH983119 VTC983119:VTD983119 WCY983119:WCZ983119 WMU983119:WMV983119 AT131151:AY131151 AO983119:AR983119 AO917583:AR917583 AO852047:AR852047 AO786511:AR786511 AO720975:AR720975 AO655439:AR655439 AO589903:AR589903 AO524367:AR524367 AO458831:AR458831 AO393295:AR393295 AO327759:AR327759 AO262223:AR262223 AO196687:AR196687 AO131151:AR131151 AO65615:AR65615">
      <formula1>Réalisation</formula1>
    </dataValidation>
    <dataValidation type="list" allowBlank="1" showInputMessage="1" showErrorMessage="1" sqref="WVN983119 WLR983119 G131151:H131151 JB65615 SX65615 ACT65615 AMP65615 AWL65615 BGH65615 BQD65615 BZZ65615 CJV65615 CTR65615 DDN65615 DNJ65615 DXF65615 EHB65615 EQX65615 FAT65615 FKP65615 FUL65615 GEH65615 GOD65615 GXZ65615 HHV65615 HRR65615 IBN65615 ILJ65615 IVF65615 JFB65615 JOX65615 JYT65615 KIP65615 KSL65615 LCH65615 LMD65615 LVZ65615 MFV65615 MPR65615 MZN65615 NJJ65615 NTF65615 ODB65615 OMX65615 OWT65615 PGP65615 PQL65615 QAH65615 QKD65615 QTZ65615 RDV65615 RNR65615 RXN65615 SHJ65615 SRF65615 TBB65615 TKX65615 TUT65615 UEP65615 UOL65615 UYH65615 VID65615 VRZ65615 WBV65615 WLR65615 WVN65615 G196687:H196687 JB131151 SX131151 ACT131151 AMP131151 AWL131151 BGH131151 BQD131151 BZZ131151 CJV131151 CTR131151 DDN131151 DNJ131151 DXF131151 EHB131151 EQX131151 FAT131151 FKP131151 FUL131151 GEH131151 GOD131151 GXZ131151 HHV131151 HRR131151 IBN131151 ILJ131151 IVF131151 JFB131151 JOX131151 JYT131151 KIP131151 KSL131151 LCH131151 LMD131151 LVZ131151 MFV131151 MPR131151 MZN131151 NJJ131151 NTF131151 ODB131151 OMX131151 OWT131151 PGP131151 PQL131151 QAH131151 QKD131151 QTZ131151 RDV131151 RNR131151 RXN131151 SHJ131151 SRF131151 TBB131151 TKX131151 TUT131151 UEP131151 UOL131151 UYH131151 VID131151 VRZ131151 WBV131151 WLR131151 WVN131151 G262223:H262223 JB196687 SX196687 ACT196687 AMP196687 AWL196687 BGH196687 BQD196687 BZZ196687 CJV196687 CTR196687 DDN196687 DNJ196687 DXF196687 EHB196687 EQX196687 FAT196687 FKP196687 FUL196687 GEH196687 GOD196687 GXZ196687 HHV196687 HRR196687 IBN196687 ILJ196687 IVF196687 JFB196687 JOX196687 JYT196687 KIP196687 KSL196687 LCH196687 LMD196687 LVZ196687 MFV196687 MPR196687 MZN196687 NJJ196687 NTF196687 ODB196687 OMX196687 OWT196687 PGP196687 PQL196687 QAH196687 QKD196687 QTZ196687 RDV196687 RNR196687 RXN196687 SHJ196687 SRF196687 TBB196687 TKX196687 TUT196687 UEP196687 UOL196687 UYH196687 VID196687 VRZ196687 WBV196687 WLR196687 WVN196687 G327759:H327759 JB262223 SX262223 ACT262223 AMP262223 AWL262223 BGH262223 BQD262223 BZZ262223 CJV262223 CTR262223 DDN262223 DNJ262223 DXF262223 EHB262223 EQX262223 FAT262223 FKP262223 FUL262223 GEH262223 GOD262223 GXZ262223 HHV262223 HRR262223 IBN262223 ILJ262223 IVF262223 JFB262223 JOX262223 JYT262223 KIP262223 KSL262223 LCH262223 LMD262223 LVZ262223 MFV262223 MPR262223 MZN262223 NJJ262223 NTF262223 ODB262223 OMX262223 OWT262223 PGP262223 PQL262223 QAH262223 QKD262223 QTZ262223 RDV262223 RNR262223 RXN262223 SHJ262223 SRF262223 TBB262223 TKX262223 TUT262223 UEP262223 UOL262223 UYH262223 VID262223 VRZ262223 WBV262223 WLR262223 WVN262223 G393295:H393295 JB327759 SX327759 ACT327759 AMP327759 AWL327759 BGH327759 BQD327759 BZZ327759 CJV327759 CTR327759 DDN327759 DNJ327759 DXF327759 EHB327759 EQX327759 FAT327759 FKP327759 FUL327759 GEH327759 GOD327759 GXZ327759 HHV327759 HRR327759 IBN327759 ILJ327759 IVF327759 JFB327759 JOX327759 JYT327759 KIP327759 KSL327759 LCH327759 LMD327759 LVZ327759 MFV327759 MPR327759 MZN327759 NJJ327759 NTF327759 ODB327759 OMX327759 OWT327759 PGP327759 PQL327759 QAH327759 QKD327759 QTZ327759 RDV327759 RNR327759 RXN327759 SHJ327759 SRF327759 TBB327759 TKX327759 TUT327759 UEP327759 UOL327759 UYH327759 VID327759 VRZ327759 WBV327759 WLR327759 WVN327759 G458831:H458831 JB393295 SX393295 ACT393295 AMP393295 AWL393295 BGH393295 BQD393295 BZZ393295 CJV393295 CTR393295 DDN393295 DNJ393295 DXF393295 EHB393295 EQX393295 FAT393295 FKP393295 FUL393295 GEH393295 GOD393295 GXZ393295 HHV393295 HRR393295 IBN393295 ILJ393295 IVF393295 JFB393295 JOX393295 JYT393295 KIP393295 KSL393295 LCH393295 LMD393295 LVZ393295 MFV393295 MPR393295 MZN393295 NJJ393295 NTF393295 ODB393295 OMX393295 OWT393295 PGP393295 PQL393295 QAH393295 QKD393295 QTZ393295 RDV393295 RNR393295 RXN393295 SHJ393295 SRF393295 TBB393295 TKX393295 TUT393295 UEP393295 UOL393295 UYH393295 VID393295 VRZ393295 WBV393295 WLR393295 WVN393295 G524367:H524367 JB458831 SX458831 ACT458831 AMP458831 AWL458831 BGH458831 BQD458831 BZZ458831 CJV458831 CTR458831 DDN458831 DNJ458831 DXF458831 EHB458831 EQX458831 FAT458831 FKP458831 FUL458831 GEH458831 GOD458831 GXZ458831 HHV458831 HRR458831 IBN458831 ILJ458831 IVF458831 JFB458831 JOX458831 JYT458831 KIP458831 KSL458831 LCH458831 LMD458831 LVZ458831 MFV458831 MPR458831 MZN458831 NJJ458831 NTF458831 ODB458831 OMX458831 OWT458831 PGP458831 PQL458831 QAH458831 QKD458831 QTZ458831 RDV458831 RNR458831 RXN458831 SHJ458831 SRF458831 TBB458831 TKX458831 TUT458831 UEP458831 UOL458831 UYH458831 VID458831 VRZ458831 WBV458831 WLR458831 WVN458831 G589903:H589903 JB524367 SX524367 ACT524367 AMP524367 AWL524367 BGH524367 BQD524367 BZZ524367 CJV524367 CTR524367 DDN524367 DNJ524367 DXF524367 EHB524367 EQX524367 FAT524367 FKP524367 FUL524367 GEH524367 GOD524367 GXZ524367 HHV524367 HRR524367 IBN524367 ILJ524367 IVF524367 JFB524367 JOX524367 JYT524367 KIP524367 KSL524367 LCH524367 LMD524367 LVZ524367 MFV524367 MPR524367 MZN524367 NJJ524367 NTF524367 ODB524367 OMX524367 OWT524367 PGP524367 PQL524367 QAH524367 QKD524367 QTZ524367 RDV524367 RNR524367 RXN524367 SHJ524367 SRF524367 TBB524367 TKX524367 TUT524367 UEP524367 UOL524367 UYH524367 VID524367 VRZ524367 WBV524367 WLR524367 WVN524367 G655439:H655439 JB589903 SX589903 ACT589903 AMP589903 AWL589903 BGH589903 BQD589903 BZZ589903 CJV589903 CTR589903 DDN589903 DNJ589903 DXF589903 EHB589903 EQX589903 FAT589903 FKP589903 FUL589903 GEH589903 GOD589903 GXZ589903 HHV589903 HRR589903 IBN589903 ILJ589903 IVF589903 JFB589903 JOX589903 JYT589903 KIP589903 KSL589903 LCH589903 LMD589903 LVZ589903 MFV589903 MPR589903 MZN589903 NJJ589903 NTF589903 ODB589903 OMX589903 OWT589903 PGP589903 PQL589903 QAH589903 QKD589903 QTZ589903 RDV589903 RNR589903 RXN589903 SHJ589903 SRF589903 TBB589903 TKX589903 TUT589903 UEP589903 UOL589903 UYH589903 VID589903 VRZ589903 WBV589903 WLR589903 WVN589903 G720975:H720975 JB655439 SX655439 ACT655439 AMP655439 AWL655439 BGH655439 BQD655439 BZZ655439 CJV655439 CTR655439 DDN655439 DNJ655439 DXF655439 EHB655439 EQX655439 FAT655439 FKP655439 FUL655439 GEH655439 GOD655439 GXZ655439 HHV655439 HRR655439 IBN655439 ILJ655439 IVF655439 JFB655439 JOX655439 JYT655439 KIP655439 KSL655439 LCH655439 LMD655439 LVZ655439 MFV655439 MPR655439 MZN655439 NJJ655439 NTF655439 ODB655439 OMX655439 OWT655439 PGP655439 PQL655439 QAH655439 QKD655439 QTZ655439 RDV655439 RNR655439 RXN655439 SHJ655439 SRF655439 TBB655439 TKX655439 TUT655439 UEP655439 UOL655439 UYH655439 VID655439 VRZ655439 WBV655439 WLR655439 WVN655439 G786511:H786511 JB720975 SX720975 ACT720975 AMP720975 AWL720975 BGH720975 BQD720975 BZZ720975 CJV720975 CTR720975 DDN720975 DNJ720975 DXF720975 EHB720975 EQX720975 FAT720975 FKP720975 FUL720975 GEH720975 GOD720975 GXZ720975 HHV720975 HRR720975 IBN720975 ILJ720975 IVF720975 JFB720975 JOX720975 JYT720975 KIP720975 KSL720975 LCH720975 LMD720975 LVZ720975 MFV720975 MPR720975 MZN720975 NJJ720975 NTF720975 ODB720975 OMX720975 OWT720975 PGP720975 PQL720975 QAH720975 QKD720975 QTZ720975 RDV720975 RNR720975 RXN720975 SHJ720975 SRF720975 TBB720975 TKX720975 TUT720975 UEP720975 UOL720975 UYH720975 VID720975 VRZ720975 WBV720975 WLR720975 WVN720975 G852047:H852047 JB786511 SX786511 ACT786511 AMP786511 AWL786511 BGH786511 BQD786511 BZZ786511 CJV786511 CTR786511 DDN786511 DNJ786511 DXF786511 EHB786511 EQX786511 FAT786511 FKP786511 FUL786511 GEH786511 GOD786511 GXZ786511 HHV786511 HRR786511 IBN786511 ILJ786511 IVF786511 JFB786511 JOX786511 JYT786511 KIP786511 KSL786511 LCH786511 LMD786511 LVZ786511 MFV786511 MPR786511 MZN786511 NJJ786511 NTF786511 ODB786511 OMX786511 OWT786511 PGP786511 PQL786511 QAH786511 QKD786511 QTZ786511 RDV786511 RNR786511 RXN786511 SHJ786511 SRF786511 TBB786511 TKX786511 TUT786511 UEP786511 UOL786511 UYH786511 VID786511 VRZ786511 WBV786511 WLR786511 WVN786511 G917583:H917583 JB852047 SX852047 ACT852047 AMP852047 AWL852047 BGH852047 BQD852047 BZZ852047 CJV852047 CTR852047 DDN852047 DNJ852047 DXF852047 EHB852047 EQX852047 FAT852047 FKP852047 FUL852047 GEH852047 GOD852047 GXZ852047 HHV852047 HRR852047 IBN852047 ILJ852047 IVF852047 JFB852047 JOX852047 JYT852047 KIP852047 KSL852047 LCH852047 LMD852047 LVZ852047 MFV852047 MPR852047 MZN852047 NJJ852047 NTF852047 ODB852047 OMX852047 OWT852047 PGP852047 PQL852047 QAH852047 QKD852047 QTZ852047 RDV852047 RNR852047 RXN852047 SHJ852047 SRF852047 TBB852047 TKX852047 TUT852047 UEP852047 UOL852047 UYH852047 VID852047 VRZ852047 WBV852047 WLR852047 WVN852047 G983119:H983119 JB917583 SX917583 ACT917583 AMP917583 AWL917583 BGH917583 BQD917583 BZZ917583 CJV917583 CTR917583 DDN917583 DNJ917583 DXF917583 EHB917583 EQX917583 FAT917583 FKP917583 FUL917583 GEH917583 GOD917583 GXZ917583 HHV917583 HRR917583 IBN917583 ILJ917583 IVF917583 JFB917583 JOX917583 JYT917583 KIP917583 KSL917583 LCH917583 LMD917583 LVZ917583 MFV917583 MPR917583 MZN917583 NJJ917583 NTF917583 ODB917583 OMX917583 OWT917583 PGP917583 PQL917583 QAH917583 QKD917583 QTZ917583 RDV917583 RNR917583 RXN917583 SHJ917583 SRF917583 TBB917583 TKX917583 TUT917583 UEP917583 UOL917583 UYH917583 VID917583 VRZ917583 WBV917583 WLR917583 WVN917583 WBV983119 JB983119 SX983119 ACT983119 AMP983119 AWL983119 BGH983119 BQD983119 BZZ983119 CJV983119 CTR983119 DDN983119 DNJ983119 DXF983119 EHB983119 EQX983119 FAT983119 FKP983119 FUL983119 GEH983119 GOD983119 GXZ983119 HHV983119 HRR983119 IBN983119 ILJ983119 IVF983119 JFB983119 JOX983119 JYT983119 KIP983119 KSL983119 LCH983119 LMD983119 LVZ983119 MFV983119 MPR983119 MZN983119 NJJ983119 NTF983119 ODB983119 OMX983119 OWT983119 PGP983119 PQL983119 QAH983119 QKD983119 QTZ983119 RDV983119 RNR983119 RXN983119 SHJ983119 SRF983119 TBB983119 TKX983119 TUT983119 UEP983119 UOL983119 UYH983119 VID983119 VRZ983119 G65615:H65615">
      <formula1>Statut</formula1>
    </dataValidation>
    <dataValidation type="list" allowBlank="1" showInputMessage="1" showErrorMessage="1" sqref="E65615 WLQ983119 E131151 JA65615 SW65615 ACS65615 AMO65615 AWK65615 BGG65615 BQC65615 BZY65615 CJU65615 CTQ65615 DDM65615 DNI65615 DXE65615 EHA65615 EQW65615 FAS65615 FKO65615 FUK65615 GEG65615 GOC65615 GXY65615 HHU65615 HRQ65615 IBM65615 ILI65615 IVE65615 JFA65615 JOW65615 JYS65615 KIO65615 KSK65615 LCG65615 LMC65615 LVY65615 MFU65615 MPQ65615 MZM65615 NJI65615 NTE65615 ODA65615 OMW65615 OWS65615 PGO65615 PQK65615 QAG65615 QKC65615 QTY65615 RDU65615 RNQ65615 RXM65615 SHI65615 SRE65615 TBA65615 TKW65615 TUS65615 UEO65615 UOK65615 UYG65615 VIC65615 VRY65615 WBU65615 WLQ65615 WVM65615 E196687 JA131151 SW131151 ACS131151 AMO131151 AWK131151 BGG131151 BQC131151 BZY131151 CJU131151 CTQ131151 DDM131151 DNI131151 DXE131151 EHA131151 EQW131151 FAS131151 FKO131151 FUK131151 GEG131151 GOC131151 GXY131151 HHU131151 HRQ131151 IBM131151 ILI131151 IVE131151 JFA131151 JOW131151 JYS131151 KIO131151 KSK131151 LCG131151 LMC131151 LVY131151 MFU131151 MPQ131151 MZM131151 NJI131151 NTE131151 ODA131151 OMW131151 OWS131151 PGO131151 PQK131151 QAG131151 QKC131151 QTY131151 RDU131151 RNQ131151 RXM131151 SHI131151 SRE131151 TBA131151 TKW131151 TUS131151 UEO131151 UOK131151 UYG131151 VIC131151 VRY131151 WBU131151 WLQ131151 WVM131151 E262223 JA196687 SW196687 ACS196687 AMO196687 AWK196687 BGG196687 BQC196687 BZY196687 CJU196687 CTQ196687 DDM196687 DNI196687 DXE196687 EHA196687 EQW196687 FAS196687 FKO196687 FUK196687 GEG196687 GOC196687 GXY196687 HHU196687 HRQ196687 IBM196687 ILI196687 IVE196687 JFA196687 JOW196687 JYS196687 KIO196687 KSK196687 LCG196687 LMC196687 LVY196687 MFU196687 MPQ196687 MZM196687 NJI196687 NTE196687 ODA196687 OMW196687 OWS196687 PGO196687 PQK196687 QAG196687 QKC196687 QTY196687 RDU196687 RNQ196687 RXM196687 SHI196687 SRE196687 TBA196687 TKW196687 TUS196687 UEO196687 UOK196687 UYG196687 VIC196687 VRY196687 WBU196687 WLQ196687 WVM196687 E327759 JA262223 SW262223 ACS262223 AMO262223 AWK262223 BGG262223 BQC262223 BZY262223 CJU262223 CTQ262223 DDM262223 DNI262223 DXE262223 EHA262223 EQW262223 FAS262223 FKO262223 FUK262223 GEG262223 GOC262223 GXY262223 HHU262223 HRQ262223 IBM262223 ILI262223 IVE262223 JFA262223 JOW262223 JYS262223 KIO262223 KSK262223 LCG262223 LMC262223 LVY262223 MFU262223 MPQ262223 MZM262223 NJI262223 NTE262223 ODA262223 OMW262223 OWS262223 PGO262223 PQK262223 QAG262223 QKC262223 QTY262223 RDU262223 RNQ262223 RXM262223 SHI262223 SRE262223 TBA262223 TKW262223 TUS262223 UEO262223 UOK262223 UYG262223 VIC262223 VRY262223 WBU262223 WLQ262223 WVM262223 E393295 JA327759 SW327759 ACS327759 AMO327759 AWK327759 BGG327759 BQC327759 BZY327759 CJU327759 CTQ327759 DDM327759 DNI327759 DXE327759 EHA327759 EQW327759 FAS327759 FKO327759 FUK327759 GEG327759 GOC327759 GXY327759 HHU327759 HRQ327759 IBM327759 ILI327759 IVE327759 JFA327759 JOW327759 JYS327759 KIO327759 KSK327759 LCG327759 LMC327759 LVY327759 MFU327759 MPQ327759 MZM327759 NJI327759 NTE327759 ODA327759 OMW327759 OWS327759 PGO327759 PQK327759 QAG327759 QKC327759 QTY327759 RDU327759 RNQ327759 RXM327759 SHI327759 SRE327759 TBA327759 TKW327759 TUS327759 UEO327759 UOK327759 UYG327759 VIC327759 VRY327759 WBU327759 WLQ327759 WVM327759 E458831 JA393295 SW393295 ACS393295 AMO393295 AWK393295 BGG393295 BQC393295 BZY393295 CJU393295 CTQ393295 DDM393295 DNI393295 DXE393295 EHA393295 EQW393295 FAS393295 FKO393295 FUK393295 GEG393295 GOC393295 GXY393295 HHU393295 HRQ393295 IBM393295 ILI393295 IVE393295 JFA393295 JOW393295 JYS393295 KIO393295 KSK393295 LCG393295 LMC393295 LVY393295 MFU393295 MPQ393295 MZM393295 NJI393295 NTE393295 ODA393295 OMW393295 OWS393295 PGO393295 PQK393295 QAG393295 QKC393295 QTY393295 RDU393295 RNQ393295 RXM393295 SHI393295 SRE393295 TBA393295 TKW393295 TUS393295 UEO393295 UOK393295 UYG393295 VIC393295 VRY393295 WBU393295 WLQ393295 WVM393295 E524367 JA458831 SW458831 ACS458831 AMO458831 AWK458831 BGG458831 BQC458831 BZY458831 CJU458831 CTQ458831 DDM458831 DNI458831 DXE458831 EHA458831 EQW458831 FAS458831 FKO458831 FUK458831 GEG458831 GOC458831 GXY458831 HHU458831 HRQ458831 IBM458831 ILI458831 IVE458831 JFA458831 JOW458831 JYS458831 KIO458831 KSK458831 LCG458831 LMC458831 LVY458831 MFU458831 MPQ458831 MZM458831 NJI458831 NTE458831 ODA458831 OMW458831 OWS458831 PGO458831 PQK458831 QAG458831 QKC458831 QTY458831 RDU458831 RNQ458831 RXM458831 SHI458831 SRE458831 TBA458831 TKW458831 TUS458831 UEO458831 UOK458831 UYG458831 VIC458831 VRY458831 WBU458831 WLQ458831 WVM458831 E589903 JA524367 SW524367 ACS524367 AMO524367 AWK524367 BGG524367 BQC524367 BZY524367 CJU524367 CTQ524367 DDM524367 DNI524367 DXE524367 EHA524367 EQW524367 FAS524367 FKO524367 FUK524367 GEG524367 GOC524367 GXY524367 HHU524367 HRQ524367 IBM524367 ILI524367 IVE524367 JFA524367 JOW524367 JYS524367 KIO524367 KSK524367 LCG524367 LMC524367 LVY524367 MFU524367 MPQ524367 MZM524367 NJI524367 NTE524367 ODA524367 OMW524367 OWS524367 PGO524367 PQK524367 QAG524367 QKC524367 QTY524367 RDU524367 RNQ524367 RXM524367 SHI524367 SRE524367 TBA524367 TKW524367 TUS524367 UEO524367 UOK524367 UYG524367 VIC524367 VRY524367 WBU524367 WLQ524367 WVM524367 E655439 JA589903 SW589903 ACS589903 AMO589903 AWK589903 BGG589903 BQC589903 BZY589903 CJU589903 CTQ589903 DDM589903 DNI589903 DXE589903 EHA589903 EQW589903 FAS589903 FKO589903 FUK589903 GEG589903 GOC589903 GXY589903 HHU589903 HRQ589903 IBM589903 ILI589903 IVE589903 JFA589903 JOW589903 JYS589903 KIO589903 KSK589903 LCG589903 LMC589903 LVY589903 MFU589903 MPQ589903 MZM589903 NJI589903 NTE589903 ODA589903 OMW589903 OWS589903 PGO589903 PQK589903 QAG589903 QKC589903 QTY589903 RDU589903 RNQ589903 RXM589903 SHI589903 SRE589903 TBA589903 TKW589903 TUS589903 UEO589903 UOK589903 UYG589903 VIC589903 VRY589903 WBU589903 WLQ589903 WVM589903 E720975 JA655439 SW655439 ACS655439 AMO655439 AWK655439 BGG655439 BQC655439 BZY655439 CJU655439 CTQ655439 DDM655439 DNI655439 DXE655439 EHA655439 EQW655439 FAS655439 FKO655439 FUK655439 GEG655439 GOC655439 GXY655439 HHU655439 HRQ655439 IBM655439 ILI655439 IVE655439 JFA655439 JOW655439 JYS655439 KIO655439 KSK655439 LCG655439 LMC655439 LVY655439 MFU655439 MPQ655439 MZM655439 NJI655439 NTE655439 ODA655439 OMW655439 OWS655439 PGO655439 PQK655439 QAG655439 QKC655439 QTY655439 RDU655439 RNQ655439 RXM655439 SHI655439 SRE655439 TBA655439 TKW655439 TUS655439 UEO655439 UOK655439 UYG655439 VIC655439 VRY655439 WBU655439 WLQ655439 WVM655439 E786511 JA720975 SW720975 ACS720975 AMO720975 AWK720975 BGG720975 BQC720975 BZY720975 CJU720975 CTQ720975 DDM720975 DNI720975 DXE720975 EHA720975 EQW720975 FAS720975 FKO720975 FUK720975 GEG720975 GOC720975 GXY720975 HHU720975 HRQ720975 IBM720975 ILI720975 IVE720975 JFA720975 JOW720975 JYS720975 KIO720975 KSK720975 LCG720975 LMC720975 LVY720975 MFU720975 MPQ720975 MZM720975 NJI720975 NTE720975 ODA720975 OMW720975 OWS720975 PGO720975 PQK720975 QAG720975 QKC720975 QTY720975 RDU720975 RNQ720975 RXM720975 SHI720975 SRE720975 TBA720975 TKW720975 TUS720975 UEO720975 UOK720975 UYG720975 VIC720975 VRY720975 WBU720975 WLQ720975 WVM720975 E852047 JA786511 SW786511 ACS786511 AMO786511 AWK786511 BGG786511 BQC786511 BZY786511 CJU786511 CTQ786511 DDM786511 DNI786511 DXE786511 EHA786511 EQW786511 FAS786511 FKO786511 FUK786511 GEG786511 GOC786511 GXY786511 HHU786511 HRQ786511 IBM786511 ILI786511 IVE786511 JFA786511 JOW786511 JYS786511 KIO786511 KSK786511 LCG786511 LMC786511 LVY786511 MFU786511 MPQ786511 MZM786511 NJI786511 NTE786511 ODA786511 OMW786511 OWS786511 PGO786511 PQK786511 QAG786511 QKC786511 QTY786511 RDU786511 RNQ786511 RXM786511 SHI786511 SRE786511 TBA786511 TKW786511 TUS786511 UEO786511 UOK786511 UYG786511 VIC786511 VRY786511 WBU786511 WLQ786511 WVM786511 E917583 JA852047 SW852047 ACS852047 AMO852047 AWK852047 BGG852047 BQC852047 BZY852047 CJU852047 CTQ852047 DDM852047 DNI852047 DXE852047 EHA852047 EQW852047 FAS852047 FKO852047 FUK852047 GEG852047 GOC852047 GXY852047 HHU852047 HRQ852047 IBM852047 ILI852047 IVE852047 JFA852047 JOW852047 JYS852047 KIO852047 KSK852047 LCG852047 LMC852047 LVY852047 MFU852047 MPQ852047 MZM852047 NJI852047 NTE852047 ODA852047 OMW852047 OWS852047 PGO852047 PQK852047 QAG852047 QKC852047 QTY852047 RDU852047 RNQ852047 RXM852047 SHI852047 SRE852047 TBA852047 TKW852047 TUS852047 UEO852047 UOK852047 UYG852047 VIC852047 VRY852047 WBU852047 WLQ852047 WVM852047 E983119 JA917583 SW917583 ACS917583 AMO917583 AWK917583 BGG917583 BQC917583 BZY917583 CJU917583 CTQ917583 DDM917583 DNI917583 DXE917583 EHA917583 EQW917583 FAS917583 FKO917583 FUK917583 GEG917583 GOC917583 GXY917583 HHU917583 HRQ917583 IBM917583 ILI917583 IVE917583 JFA917583 JOW917583 JYS917583 KIO917583 KSK917583 LCG917583 LMC917583 LVY917583 MFU917583 MPQ917583 MZM917583 NJI917583 NTE917583 ODA917583 OMW917583 OWS917583 PGO917583 PQK917583 QAG917583 QKC917583 QTY917583 RDU917583 RNQ917583 RXM917583 SHI917583 SRE917583 TBA917583 TKW917583 TUS917583 UEO917583 UOK917583 UYG917583 VIC917583 VRY917583 WBU917583 WLQ917583 WVM917583 WVM983119 JA983119 SW983119 ACS983119 AMO983119 AWK983119 BGG983119 BQC983119 BZY983119 CJU983119 CTQ983119 DDM983119 DNI983119 DXE983119 EHA983119 EQW983119 FAS983119 FKO983119 FUK983119 GEG983119 GOC983119 GXY983119 HHU983119 HRQ983119 IBM983119 ILI983119 IVE983119 JFA983119 JOW983119 JYS983119 KIO983119 KSK983119 LCG983119 LMC983119 LVY983119 MFU983119 MPQ983119 MZM983119 NJI983119 NTE983119 ODA983119 OMW983119 OWS983119 PGO983119 PQK983119 QAG983119 QKC983119 QTY983119 RDU983119 RNQ983119 RXM983119 SHI983119 SRE983119 TBA983119 TKW983119 TUS983119 UEO983119 UOK983119 UYG983119 VIC983119 VRY983119 WBU983119">
      <formula1>Fonctions</formula1>
    </dataValidation>
    <dataValidation type="list" allowBlank="1" showInputMessage="1" showErrorMessage="1" sqref="WVJ983119 WLN983119 F65615 IX65615 ST65615 ACP65615 AML65615 AWH65615 BGD65615 BPZ65615 BZV65615 CJR65615 CTN65615 DDJ65615 DNF65615 DXB65615 EGX65615 EQT65615 FAP65615 FKL65615 FUH65615 GED65615 GNZ65615 GXV65615 HHR65615 HRN65615 IBJ65615 ILF65615 IVB65615 JEX65615 JOT65615 JYP65615 KIL65615 KSH65615 LCD65615 LLZ65615 LVV65615 MFR65615 MPN65615 MZJ65615 NJF65615 NTB65615 OCX65615 OMT65615 OWP65615 PGL65615 PQH65615 QAD65615 QJZ65615 QTV65615 RDR65615 RNN65615 RXJ65615 SHF65615 SRB65615 TAX65615 TKT65615 TUP65615 UEL65615 UOH65615 UYD65615 VHZ65615 VRV65615 WBR65615 WLN65615 WVJ65615 F131151 IX131151 ST131151 ACP131151 AML131151 AWH131151 BGD131151 BPZ131151 BZV131151 CJR131151 CTN131151 DDJ131151 DNF131151 DXB131151 EGX131151 EQT131151 FAP131151 FKL131151 FUH131151 GED131151 GNZ131151 GXV131151 HHR131151 HRN131151 IBJ131151 ILF131151 IVB131151 JEX131151 JOT131151 JYP131151 KIL131151 KSH131151 LCD131151 LLZ131151 LVV131151 MFR131151 MPN131151 MZJ131151 NJF131151 NTB131151 OCX131151 OMT131151 OWP131151 PGL131151 PQH131151 QAD131151 QJZ131151 QTV131151 RDR131151 RNN131151 RXJ131151 SHF131151 SRB131151 TAX131151 TKT131151 TUP131151 UEL131151 UOH131151 UYD131151 VHZ131151 VRV131151 WBR131151 WLN131151 WVJ131151 F196687 IX196687 ST196687 ACP196687 AML196687 AWH196687 BGD196687 BPZ196687 BZV196687 CJR196687 CTN196687 DDJ196687 DNF196687 DXB196687 EGX196687 EQT196687 FAP196687 FKL196687 FUH196687 GED196687 GNZ196687 GXV196687 HHR196687 HRN196687 IBJ196687 ILF196687 IVB196687 JEX196687 JOT196687 JYP196687 KIL196687 KSH196687 LCD196687 LLZ196687 LVV196687 MFR196687 MPN196687 MZJ196687 NJF196687 NTB196687 OCX196687 OMT196687 OWP196687 PGL196687 PQH196687 QAD196687 QJZ196687 QTV196687 RDR196687 RNN196687 RXJ196687 SHF196687 SRB196687 TAX196687 TKT196687 TUP196687 UEL196687 UOH196687 UYD196687 VHZ196687 VRV196687 WBR196687 WLN196687 WVJ196687 F262223 IX262223 ST262223 ACP262223 AML262223 AWH262223 BGD262223 BPZ262223 BZV262223 CJR262223 CTN262223 DDJ262223 DNF262223 DXB262223 EGX262223 EQT262223 FAP262223 FKL262223 FUH262223 GED262223 GNZ262223 GXV262223 HHR262223 HRN262223 IBJ262223 ILF262223 IVB262223 JEX262223 JOT262223 JYP262223 KIL262223 KSH262223 LCD262223 LLZ262223 LVV262223 MFR262223 MPN262223 MZJ262223 NJF262223 NTB262223 OCX262223 OMT262223 OWP262223 PGL262223 PQH262223 QAD262223 QJZ262223 QTV262223 RDR262223 RNN262223 RXJ262223 SHF262223 SRB262223 TAX262223 TKT262223 TUP262223 UEL262223 UOH262223 UYD262223 VHZ262223 VRV262223 WBR262223 WLN262223 WVJ262223 F327759 IX327759 ST327759 ACP327759 AML327759 AWH327759 BGD327759 BPZ327759 BZV327759 CJR327759 CTN327759 DDJ327759 DNF327759 DXB327759 EGX327759 EQT327759 FAP327759 FKL327759 FUH327759 GED327759 GNZ327759 GXV327759 HHR327759 HRN327759 IBJ327759 ILF327759 IVB327759 JEX327759 JOT327759 JYP327759 KIL327759 KSH327759 LCD327759 LLZ327759 LVV327759 MFR327759 MPN327759 MZJ327759 NJF327759 NTB327759 OCX327759 OMT327759 OWP327759 PGL327759 PQH327759 QAD327759 QJZ327759 QTV327759 RDR327759 RNN327759 RXJ327759 SHF327759 SRB327759 TAX327759 TKT327759 TUP327759 UEL327759 UOH327759 UYD327759 VHZ327759 VRV327759 WBR327759 WLN327759 WVJ327759 F393295 IX393295 ST393295 ACP393295 AML393295 AWH393295 BGD393295 BPZ393295 BZV393295 CJR393295 CTN393295 DDJ393295 DNF393295 DXB393295 EGX393295 EQT393295 FAP393295 FKL393295 FUH393295 GED393295 GNZ393295 GXV393295 HHR393295 HRN393295 IBJ393295 ILF393295 IVB393295 JEX393295 JOT393295 JYP393295 KIL393295 KSH393295 LCD393295 LLZ393295 LVV393295 MFR393295 MPN393295 MZJ393295 NJF393295 NTB393295 OCX393295 OMT393295 OWP393295 PGL393295 PQH393295 QAD393295 QJZ393295 QTV393295 RDR393295 RNN393295 RXJ393295 SHF393295 SRB393295 TAX393295 TKT393295 TUP393295 UEL393295 UOH393295 UYD393295 VHZ393295 VRV393295 WBR393295 WLN393295 WVJ393295 F458831 IX458831 ST458831 ACP458831 AML458831 AWH458831 BGD458831 BPZ458831 BZV458831 CJR458831 CTN458831 DDJ458831 DNF458831 DXB458831 EGX458831 EQT458831 FAP458831 FKL458831 FUH458831 GED458831 GNZ458831 GXV458831 HHR458831 HRN458831 IBJ458831 ILF458831 IVB458831 JEX458831 JOT458831 JYP458831 KIL458831 KSH458831 LCD458831 LLZ458831 LVV458831 MFR458831 MPN458831 MZJ458831 NJF458831 NTB458831 OCX458831 OMT458831 OWP458831 PGL458831 PQH458831 QAD458831 QJZ458831 QTV458831 RDR458831 RNN458831 RXJ458831 SHF458831 SRB458831 TAX458831 TKT458831 TUP458831 UEL458831 UOH458831 UYD458831 VHZ458831 VRV458831 WBR458831 WLN458831 WVJ458831 F524367 IX524367 ST524367 ACP524367 AML524367 AWH524367 BGD524367 BPZ524367 BZV524367 CJR524367 CTN524367 DDJ524367 DNF524367 DXB524367 EGX524367 EQT524367 FAP524367 FKL524367 FUH524367 GED524367 GNZ524367 GXV524367 HHR524367 HRN524367 IBJ524367 ILF524367 IVB524367 JEX524367 JOT524367 JYP524367 KIL524367 KSH524367 LCD524367 LLZ524367 LVV524367 MFR524367 MPN524367 MZJ524367 NJF524367 NTB524367 OCX524367 OMT524367 OWP524367 PGL524367 PQH524367 QAD524367 QJZ524367 QTV524367 RDR524367 RNN524367 RXJ524367 SHF524367 SRB524367 TAX524367 TKT524367 TUP524367 UEL524367 UOH524367 UYD524367 VHZ524367 VRV524367 WBR524367 WLN524367 WVJ524367 F589903 IX589903 ST589903 ACP589903 AML589903 AWH589903 BGD589903 BPZ589903 BZV589903 CJR589903 CTN589903 DDJ589903 DNF589903 DXB589903 EGX589903 EQT589903 FAP589903 FKL589903 FUH589903 GED589903 GNZ589903 GXV589903 HHR589903 HRN589903 IBJ589903 ILF589903 IVB589903 JEX589903 JOT589903 JYP589903 KIL589903 KSH589903 LCD589903 LLZ589903 LVV589903 MFR589903 MPN589903 MZJ589903 NJF589903 NTB589903 OCX589903 OMT589903 OWP589903 PGL589903 PQH589903 QAD589903 QJZ589903 QTV589903 RDR589903 RNN589903 RXJ589903 SHF589903 SRB589903 TAX589903 TKT589903 TUP589903 UEL589903 UOH589903 UYD589903 VHZ589903 VRV589903 WBR589903 WLN589903 WVJ589903 F655439 IX655439 ST655439 ACP655439 AML655439 AWH655439 BGD655439 BPZ655439 BZV655439 CJR655439 CTN655439 DDJ655439 DNF655439 DXB655439 EGX655439 EQT655439 FAP655439 FKL655439 FUH655439 GED655439 GNZ655439 GXV655439 HHR655439 HRN655439 IBJ655439 ILF655439 IVB655439 JEX655439 JOT655439 JYP655439 KIL655439 KSH655439 LCD655439 LLZ655439 LVV655439 MFR655439 MPN655439 MZJ655439 NJF655439 NTB655439 OCX655439 OMT655439 OWP655439 PGL655439 PQH655439 QAD655439 QJZ655439 QTV655439 RDR655439 RNN655439 RXJ655439 SHF655439 SRB655439 TAX655439 TKT655439 TUP655439 UEL655439 UOH655439 UYD655439 VHZ655439 VRV655439 WBR655439 WLN655439 WVJ655439 F720975 IX720975 ST720975 ACP720975 AML720975 AWH720975 BGD720975 BPZ720975 BZV720975 CJR720975 CTN720975 DDJ720975 DNF720975 DXB720975 EGX720975 EQT720975 FAP720975 FKL720975 FUH720975 GED720975 GNZ720975 GXV720975 HHR720975 HRN720975 IBJ720975 ILF720975 IVB720975 JEX720975 JOT720975 JYP720975 KIL720975 KSH720975 LCD720975 LLZ720975 LVV720975 MFR720975 MPN720975 MZJ720975 NJF720975 NTB720975 OCX720975 OMT720975 OWP720975 PGL720975 PQH720975 QAD720975 QJZ720975 QTV720975 RDR720975 RNN720975 RXJ720975 SHF720975 SRB720975 TAX720975 TKT720975 TUP720975 UEL720975 UOH720975 UYD720975 VHZ720975 VRV720975 WBR720975 WLN720975 WVJ720975 F786511 IX786511 ST786511 ACP786511 AML786511 AWH786511 BGD786511 BPZ786511 BZV786511 CJR786511 CTN786511 DDJ786511 DNF786511 DXB786511 EGX786511 EQT786511 FAP786511 FKL786511 FUH786511 GED786511 GNZ786511 GXV786511 HHR786511 HRN786511 IBJ786511 ILF786511 IVB786511 JEX786511 JOT786511 JYP786511 KIL786511 KSH786511 LCD786511 LLZ786511 LVV786511 MFR786511 MPN786511 MZJ786511 NJF786511 NTB786511 OCX786511 OMT786511 OWP786511 PGL786511 PQH786511 QAD786511 QJZ786511 QTV786511 RDR786511 RNN786511 RXJ786511 SHF786511 SRB786511 TAX786511 TKT786511 TUP786511 UEL786511 UOH786511 UYD786511 VHZ786511 VRV786511 WBR786511 WLN786511 WVJ786511 F852047 IX852047 ST852047 ACP852047 AML852047 AWH852047 BGD852047 BPZ852047 BZV852047 CJR852047 CTN852047 DDJ852047 DNF852047 DXB852047 EGX852047 EQT852047 FAP852047 FKL852047 FUH852047 GED852047 GNZ852047 GXV852047 HHR852047 HRN852047 IBJ852047 ILF852047 IVB852047 JEX852047 JOT852047 JYP852047 KIL852047 KSH852047 LCD852047 LLZ852047 LVV852047 MFR852047 MPN852047 MZJ852047 NJF852047 NTB852047 OCX852047 OMT852047 OWP852047 PGL852047 PQH852047 QAD852047 QJZ852047 QTV852047 RDR852047 RNN852047 RXJ852047 SHF852047 SRB852047 TAX852047 TKT852047 TUP852047 UEL852047 UOH852047 UYD852047 VHZ852047 VRV852047 WBR852047 WLN852047 WVJ852047 F917583 IX917583 ST917583 ACP917583 AML917583 AWH917583 BGD917583 BPZ917583 BZV917583 CJR917583 CTN917583 DDJ917583 DNF917583 DXB917583 EGX917583 EQT917583 FAP917583 FKL917583 FUH917583 GED917583 GNZ917583 GXV917583 HHR917583 HRN917583 IBJ917583 ILF917583 IVB917583 JEX917583 JOT917583 JYP917583 KIL917583 KSH917583 LCD917583 LLZ917583 LVV917583 MFR917583 MPN917583 MZJ917583 NJF917583 NTB917583 OCX917583 OMT917583 OWP917583 PGL917583 PQH917583 QAD917583 QJZ917583 QTV917583 RDR917583 RNN917583 RXJ917583 SHF917583 SRB917583 TAX917583 TKT917583 TUP917583 UEL917583 UOH917583 UYD917583 VHZ917583 VRV917583 WBR917583 WLN917583 WVJ917583 F983119 IX983119 ST983119 ACP983119 AML983119 AWH983119 BGD983119 BPZ983119 BZV983119 CJR983119 CTN983119 DDJ983119 DNF983119 DXB983119 EGX983119 EQT983119 FAP983119 FKL983119 FUH983119 GED983119 GNZ983119 GXV983119 HHR983119 HRN983119 IBJ983119 ILF983119 IVB983119 JEX983119 JOT983119 JYP983119 KIL983119 KSH983119 LCD983119 LLZ983119 LVV983119 MFR983119 MPN983119 MZJ983119 NJF983119 NTB983119 OCX983119 OMT983119 OWP983119 PGL983119 PQH983119 QAD983119 QJZ983119 QTV983119 RDR983119 RNN983119 RXJ983119 SHF983119 SRB983119 TAX983119 TKT983119 TUP983119 UEL983119 UOH983119 UYD983119 VHZ983119 VRV983119 WBR983119">
      <formula1>Services</formula1>
    </dataValidation>
    <dataValidation type="list" allowBlank="1" showInputMessage="1" showErrorMessage="1" sqref="WVI983119 IW65615 SS65615 ACO65615 AMK65615 AWG65615 BGC65615 BPY65615 BZU65615 CJQ65615 CTM65615 DDI65615 DNE65615 DXA65615 EGW65615 EQS65615 FAO65615 FKK65615 FUG65615 GEC65615 GNY65615 GXU65615 HHQ65615 HRM65615 IBI65615 ILE65615 IVA65615 JEW65615 JOS65615 JYO65615 KIK65615 KSG65615 LCC65615 LLY65615 LVU65615 MFQ65615 MPM65615 MZI65615 NJE65615 NTA65615 OCW65615 OMS65615 OWO65615 PGK65615 PQG65615 QAC65615 QJY65615 QTU65615 RDQ65615 RNM65615 RXI65615 SHE65615 SRA65615 TAW65615 TKS65615 TUO65615 UEK65615 UOG65615 UYC65615 VHY65615 VRU65615 WBQ65615 WLM65615 WVI65615 IW131151 SS131151 ACO131151 AMK131151 AWG131151 BGC131151 BPY131151 BZU131151 CJQ131151 CTM131151 DDI131151 DNE131151 DXA131151 EGW131151 EQS131151 FAO131151 FKK131151 FUG131151 GEC131151 GNY131151 GXU131151 HHQ131151 HRM131151 IBI131151 ILE131151 IVA131151 JEW131151 JOS131151 JYO131151 KIK131151 KSG131151 LCC131151 LLY131151 LVU131151 MFQ131151 MPM131151 MZI131151 NJE131151 NTA131151 OCW131151 OMS131151 OWO131151 PGK131151 PQG131151 QAC131151 QJY131151 QTU131151 RDQ131151 RNM131151 RXI131151 SHE131151 SRA131151 TAW131151 TKS131151 TUO131151 UEK131151 UOG131151 UYC131151 VHY131151 VRU131151 WBQ131151 WLM131151 WVI131151 IW196687 SS196687 ACO196687 AMK196687 AWG196687 BGC196687 BPY196687 BZU196687 CJQ196687 CTM196687 DDI196687 DNE196687 DXA196687 EGW196687 EQS196687 FAO196687 FKK196687 FUG196687 GEC196687 GNY196687 GXU196687 HHQ196687 HRM196687 IBI196687 ILE196687 IVA196687 JEW196687 JOS196687 JYO196687 KIK196687 KSG196687 LCC196687 LLY196687 LVU196687 MFQ196687 MPM196687 MZI196687 NJE196687 NTA196687 OCW196687 OMS196687 OWO196687 PGK196687 PQG196687 QAC196687 QJY196687 QTU196687 RDQ196687 RNM196687 RXI196687 SHE196687 SRA196687 TAW196687 TKS196687 TUO196687 UEK196687 UOG196687 UYC196687 VHY196687 VRU196687 WBQ196687 WLM196687 WVI196687 IW262223 SS262223 ACO262223 AMK262223 AWG262223 BGC262223 BPY262223 BZU262223 CJQ262223 CTM262223 DDI262223 DNE262223 DXA262223 EGW262223 EQS262223 FAO262223 FKK262223 FUG262223 GEC262223 GNY262223 GXU262223 HHQ262223 HRM262223 IBI262223 ILE262223 IVA262223 JEW262223 JOS262223 JYO262223 KIK262223 KSG262223 LCC262223 LLY262223 LVU262223 MFQ262223 MPM262223 MZI262223 NJE262223 NTA262223 OCW262223 OMS262223 OWO262223 PGK262223 PQG262223 QAC262223 QJY262223 QTU262223 RDQ262223 RNM262223 RXI262223 SHE262223 SRA262223 TAW262223 TKS262223 TUO262223 UEK262223 UOG262223 UYC262223 VHY262223 VRU262223 WBQ262223 WLM262223 WVI262223 IW327759 SS327759 ACO327759 AMK327759 AWG327759 BGC327759 BPY327759 BZU327759 CJQ327759 CTM327759 DDI327759 DNE327759 DXA327759 EGW327759 EQS327759 FAO327759 FKK327759 FUG327759 GEC327759 GNY327759 GXU327759 HHQ327759 HRM327759 IBI327759 ILE327759 IVA327759 JEW327759 JOS327759 JYO327759 KIK327759 KSG327759 LCC327759 LLY327759 LVU327759 MFQ327759 MPM327759 MZI327759 NJE327759 NTA327759 OCW327759 OMS327759 OWO327759 PGK327759 PQG327759 QAC327759 QJY327759 QTU327759 RDQ327759 RNM327759 RXI327759 SHE327759 SRA327759 TAW327759 TKS327759 TUO327759 UEK327759 UOG327759 UYC327759 VHY327759 VRU327759 WBQ327759 WLM327759 WVI327759 IW393295 SS393295 ACO393295 AMK393295 AWG393295 BGC393295 BPY393295 BZU393295 CJQ393295 CTM393295 DDI393295 DNE393295 DXA393295 EGW393295 EQS393295 FAO393295 FKK393295 FUG393295 GEC393295 GNY393295 GXU393295 HHQ393295 HRM393295 IBI393295 ILE393295 IVA393295 JEW393295 JOS393295 JYO393295 KIK393295 KSG393295 LCC393295 LLY393295 LVU393295 MFQ393295 MPM393295 MZI393295 NJE393295 NTA393295 OCW393295 OMS393295 OWO393295 PGK393295 PQG393295 QAC393295 QJY393295 QTU393295 RDQ393295 RNM393295 RXI393295 SHE393295 SRA393295 TAW393295 TKS393295 TUO393295 UEK393295 UOG393295 UYC393295 VHY393295 VRU393295 WBQ393295 WLM393295 WVI393295 IW458831 SS458831 ACO458831 AMK458831 AWG458831 BGC458831 BPY458831 BZU458831 CJQ458831 CTM458831 DDI458831 DNE458831 DXA458831 EGW458831 EQS458831 FAO458831 FKK458831 FUG458831 GEC458831 GNY458831 GXU458831 HHQ458831 HRM458831 IBI458831 ILE458831 IVA458831 JEW458831 JOS458831 JYO458831 KIK458831 KSG458831 LCC458831 LLY458831 LVU458831 MFQ458831 MPM458831 MZI458831 NJE458831 NTA458831 OCW458831 OMS458831 OWO458831 PGK458831 PQG458831 QAC458831 QJY458831 QTU458831 RDQ458831 RNM458831 RXI458831 SHE458831 SRA458831 TAW458831 TKS458831 TUO458831 UEK458831 UOG458831 UYC458831 VHY458831 VRU458831 WBQ458831 WLM458831 WVI458831 IW524367 SS524367 ACO524367 AMK524367 AWG524367 BGC524367 BPY524367 BZU524367 CJQ524367 CTM524367 DDI524367 DNE524367 DXA524367 EGW524367 EQS524367 FAO524367 FKK524367 FUG524367 GEC524367 GNY524367 GXU524367 HHQ524367 HRM524367 IBI524367 ILE524367 IVA524367 JEW524367 JOS524367 JYO524367 KIK524367 KSG524367 LCC524367 LLY524367 LVU524367 MFQ524367 MPM524367 MZI524367 NJE524367 NTA524367 OCW524367 OMS524367 OWO524367 PGK524367 PQG524367 QAC524367 QJY524367 QTU524367 RDQ524367 RNM524367 RXI524367 SHE524367 SRA524367 TAW524367 TKS524367 TUO524367 UEK524367 UOG524367 UYC524367 VHY524367 VRU524367 WBQ524367 WLM524367 WVI524367 IW589903 SS589903 ACO589903 AMK589903 AWG589903 BGC589903 BPY589903 BZU589903 CJQ589903 CTM589903 DDI589903 DNE589903 DXA589903 EGW589903 EQS589903 FAO589903 FKK589903 FUG589903 GEC589903 GNY589903 GXU589903 HHQ589903 HRM589903 IBI589903 ILE589903 IVA589903 JEW589903 JOS589903 JYO589903 KIK589903 KSG589903 LCC589903 LLY589903 LVU589903 MFQ589903 MPM589903 MZI589903 NJE589903 NTA589903 OCW589903 OMS589903 OWO589903 PGK589903 PQG589903 QAC589903 QJY589903 QTU589903 RDQ589903 RNM589903 RXI589903 SHE589903 SRA589903 TAW589903 TKS589903 TUO589903 UEK589903 UOG589903 UYC589903 VHY589903 VRU589903 WBQ589903 WLM589903 WVI589903 IW655439 SS655439 ACO655439 AMK655439 AWG655439 BGC655439 BPY655439 BZU655439 CJQ655439 CTM655439 DDI655439 DNE655439 DXA655439 EGW655439 EQS655439 FAO655439 FKK655439 FUG655439 GEC655439 GNY655439 GXU655439 HHQ655439 HRM655439 IBI655439 ILE655439 IVA655439 JEW655439 JOS655439 JYO655439 KIK655439 KSG655439 LCC655439 LLY655439 LVU655439 MFQ655439 MPM655439 MZI655439 NJE655439 NTA655439 OCW655439 OMS655439 OWO655439 PGK655439 PQG655439 QAC655439 QJY655439 QTU655439 RDQ655439 RNM655439 RXI655439 SHE655439 SRA655439 TAW655439 TKS655439 TUO655439 UEK655439 UOG655439 UYC655439 VHY655439 VRU655439 WBQ655439 WLM655439 WVI655439 IW720975 SS720975 ACO720975 AMK720975 AWG720975 BGC720975 BPY720975 BZU720975 CJQ720975 CTM720975 DDI720975 DNE720975 DXA720975 EGW720975 EQS720975 FAO720975 FKK720975 FUG720975 GEC720975 GNY720975 GXU720975 HHQ720975 HRM720975 IBI720975 ILE720975 IVA720975 JEW720975 JOS720975 JYO720975 KIK720975 KSG720975 LCC720975 LLY720975 LVU720975 MFQ720975 MPM720975 MZI720975 NJE720975 NTA720975 OCW720975 OMS720975 OWO720975 PGK720975 PQG720975 QAC720975 QJY720975 QTU720975 RDQ720975 RNM720975 RXI720975 SHE720975 SRA720975 TAW720975 TKS720975 TUO720975 UEK720975 UOG720975 UYC720975 VHY720975 VRU720975 WBQ720975 WLM720975 WVI720975 IW786511 SS786511 ACO786511 AMK786511 AWG786511 BGC786511 BPY786511 BZU786511 CJQ786511 CTM786511 DDI786511 DNE786511 DXA786511 EGW786511 EQS786511 FAO786511 FKK786511 FUG786511 GEC786511 GNY786511 GXU786511 HHQ786511 HRM786511 IBI786511 ILE786511 IVA786511 JEW786511 JOS786511 JYO786511 KIK786511 KSG786511 LCC786511 LLY786511 LVU786511 MFQ786511 MPM786511 MZI786511 NJE786511 NTA786511 OCW786511 OMS786511 OWO786511 PGK786511 PQG786511 QAC786511 QJY786511 QTU786511 RDQ786511 RNM786511 RXI786511 SHE786511 SRA786511 TAW786511 TKS786511 TUO786511 UEK786511 UOG786511 UYC786511 VHY786511 VRU786511 WBQ786511 WLM786511 WVI786511 IW852047 SS852047 ACO852047 AMK852047 AWG852047 BGC852047 BPY852047 BZU852047 CJQ852047 CTM852047 DDI852047 DNE852047 DXA852047 EGW852047 EQS852047 FAO852047 FKK852047 FUG852047 GEC852047 GNY852047 GXU852047 HHQ852047 HRM852047 IBI852047 ILE852047 IVA852047 JEW852047 JOS852047 JYO852047 KIK852047 KSG852047 LCC852047 LLY852047 LVU852047 MFQ852047 MPM852047 MZI852047 NJE852047 NTA852047 OCW852047 OMS852047 OWO852047 PGK852047 PQG852047 QAC852047 QJY852047 QTU852047 RDQ852047 RNM852047 RXI852047 SHE852047 SRA852047 TAW852047 TKS852047 TUO852047 UEK852047 UOG852047 UYC852047 VHY852047 VRU852047 WBQ852047 WLM852047 WVI852047 IW917583 SS917583 ACO917583 AMK917583 AWG917583 BGC917583 BPY917583 BZU917583 CJQ917583 CTM917583 DDI917583 DNE917583 DXA917583 EGW917583 EQS917583 FAO917583 FKK917583 FUG917583 GEC917583 GNY917583 GXU917583 HHQ917583 HRM917583 IBI917583 ILE917583 IVA917583 JEW917583 JOS917583 JYO917583 KIK917583 KSG917583 LCC917583 LLY917583 LVU917583 MFQ917583 MPM917583 MZI917583 NJE917583 NTA917583 OCW917583 OMS917583 OWO917583 PGK917583 PQG917583 QAC917583 QJY917583 QTU917583 RDQ917583 RNM917583 RXI917583 SHE917583 SRA917583 TAW917583 TKS917583 TUO917583 UEK917583 UOG917583 UYC917583 VHY917583 VRU917583 WBQ917583 WLM917583 WVI917583 IW983119 SS983119 ACO983119 AMK983119 AWG983119 BGC983119 BPY983119 BZU983119 CJQ983119 CTM983119 DDI983119 DNE983119 DXA983119 EGW983119 EQS983119 FAO983119 FKK983119 FUG983119 GEC983119 GNY983119 GXU983119 HHQ983119 HRM983119 IBI983119 ILE983119 IVA983119 JEW983119 JOS983119 JYO983119 KIK983119 KSG983119 LCC983119 LLY983119 LVU983119 MFQ983119 MPM983119 MZI983119 NJE983119 NTA983119 OCW983119 OMS983119 OWO983119 PGK983119 PQG983119 QAC983119 QJY983119 QTU983119 RDQ983119 RNM983119 RXI983119 SHE983119 SRA983119 TAW983119 TKS983119 TUO983119 UEK983119 UOG983119 UYC983119 VHY983119 VRU983119 WBQ983119 WLM983119">
      <formula1>Entité</formula1>
    </dataValidation>
    <dataValidation type="list" allowBlank="1" showInputMessage="1" showErrorMessage="1" sqref="WVG983119 WLK983119 IU65615 SQ65615 ACM65615 AMI65615 AWE65615 BGA65615 BPW65615 BZS65615 CJO65615 CTK65615 DDG65615 DNC65615 DWY65615 EGU65615 EQQ65615 FAM65615 FKI65615 FUE65615 GEA65615 GNW65615 GXS65615 HHO65615 HRK65615 IBG65615 ILC65615 IUY65615 JEU65615 JOQ65615 JYM65615 KII65615 KSE65615 LCA65615 LLW65615 LVS65615 MFO65615 MPK65615 MZG65615 NJC65615 NSY65615 OCU65615 OMQ65615 OWM65615 PGI65615 PQE65615 QAA65615 QJW65615 QTS65615 RDO65615 RNK65615 RXG65615 SHC65615 SQY65615 TAU65615 TKQ65615 TUM65615 UEI65615 UOE65615 UYA65615 VHW65615 VRS65615 WBO65615 WLK65615 WVG65615 IU131151 SQ131151 ACM131151 AMI131151 AWE131151 BGA131151 BPW131151 BZS131151 CJO131151 CTK131151 DDG131151 DNC131151 DWY131151 EGU131151 EQQ131151 FAM131151 FKI131151 FUE131151 GEA131151 GNW131151 GXS131151 HHO131151 HRK131151 IBG131151 ILC131151 IUY131151 JEU131151 JOQ131151 JYM131151 KII131151 KSE131151 LCA131151 LLW131151 LVS131151 MFO131151 MPK131151 MZG131151 NJC131151 NSY131151 OCU131151 OMQ131151 OWM131151 PGI131151 PQE131151 QAA131151 QJW131151 QTS131151 RDO131151 RNK131151 RXG131151 SHC131151 SQY131151 TAU131151 TKQ131151 TUM131151 UEI131151 UOE131151 UYA131151 VHW131151 VRS131151 WBO131151 WLK131151 WVG131151 IU196687 SQ196687 ACM196687 AMI196687 AWE196687 BGA196687 BPW196687 BZS196687 CJO196687 CTK196687 DDG196687 DNC196687 DWY196687 EGU196687 EQQ196687 FAM196687 FKI196687 FUE196687 GEA196687 GNW196687 GXS196687 HHO196687 HRK196687 IBG196687 ILC196687 IUY196687 JEU196687 JOQ196687 JYM196687 KII196687 KSE196687 LCA196687 LLW196687 LVS196687 MFO196687 MPK196687 MZG196687 NJC196687 NSY196687 OCU196687 OMQ196687 OWM196687 PGI196687 PQE196687 QAA196687 QJW196687 QTS196687 RDO196687 RNK196687 RXG196687 SHC196687 SQY196687 TAU196687 TKQ196687 TUM196687 UEI196687 UOE196687 UYA196687 VHW196687 VRS196687 WBO196687 WLK196687 WVG196687 IU262223 SQ262223 ACM262223 AMI262223 AWE262223 BGA262223 BPW262223 BZS262223 CJO262223 CTK262223 DDG262223 DNC262223 DWY262223 EGU262223 EQQ262223 FAM262223 FKI262223 FUE262223 GEA262223 GNW262223 GXS262223 HHO262223 HRK262223 IBG262223 ILC262223 IUY262223 JEU262223 JOQ262223 JYM262223 KII262223 KSE262223 LCA262223 LLW262223 LVS262223 MFO262223 MPK262223 MZG262223 NJC262223 NSY262223 OCU262223 OMQ262223 OWM262223 PGI262223 PQE262223 QAA262223 QJW262223 QTS262223 RDO262223 RNK262223 RXG262223 SHC262223 SQY262223 TAU262223 TKQ262223 TUM262223 UEI262223 UOE262223 UYA262223 VHW262223 VRS262223 WBO262223 WLK262223 WVG262223 IU327759 SQ327759 ACM327759 AMI327759 AWE327759 BGA327759 BPW327759 BZS327759 CJO327759 CTK327759 DDG327759 DNC327759 DWY327759 EGU327759 EQQ327759 FAM327759 FKI327759 FUE327759 GEA327759 GNW327759 GXS327759 HHO327759 HRK327759 IBG327759 ILC327759 IUY327759 JEU327759 JOQ327759 JYM327759 KII327759 KSE327759 LCA327759 LLW327759 LVS327759 MFO327759 MPK327759 MZG327759 NJC327759 NSY327759 OCU327759 OMQ327759 OWM327759 PGI327759 PQE327759 QAA327759 QJW327759 QTS327759 RDO327759 RNK327759 RXG327759 SHC327759 SQY327759 TAU327759 TKQ327759 TUM327759 UEI327759 UOE327759 UYA327759 VHW327759 VRS327759 WBO327759 WLK327759 WVG327759 IU393295 SQ393295 ACM393295 AMI393295 AWE393295 BGA393295 BPW393295 BZS393295 CJO393295 CTK393295 DDG393295 DNC393295 DWY393295 EGU393295 EQQ393295 FAM393295 FKI393295 FUE393295 GEA393295 GNW393295 GXS393295 HHO393295 HRK393295 IBG393295 ILC393295 IUY393295 JEU393295 JOQ393295 JYM393295 KII393295 KSE393295 LCA393295 LLW393295 LVS393295 MFO393295 MPK393295 MZG393295 NJC393295 NSY393295 OCU393295 OMQ393295 OWM393295 PGI393295 PQE393295 QAA393295 QJW393295 QTS393295 RDO393295 RNK393295 RXG393295 SHC393295 SQY393295 TAU393295 TKQ393295 TUM393295 UEI393295 UOE393295 UYA393295 VHW393295 VRS393295 WBO393295 WLK393295 WVG393295 IU458831 SQ458831 ACM458831 AMI458831 AWE458831 BGA458831 BPW458831 BZS458831 CJO458831 CTK458831 DDG458831 DNC458831 DWY458831 EGU458831 EQQ458831 FAM458831 FKI458831 FUE458831 GEA458831 GNW458831 GXS458831 HHO458831 HRK458831 IBG458831 ILC458831 IUY458831 JEU458831 JOQ458831 JYM458831 KII458831 KSE458831 LCA458831 LLW458831 LVS458831 MFO458831 MPK458831 MZG458831 NJC458831 NSY458831 OCU458831 OMQ458831 OWM458831 PGI458831 PQE458831 QAA458831 QJW458831 QTS458831 RDO458831 RNK458831 RXG458831 SHC458831 SQY458831 TAU458831 TKQ458831 TUM458831 UEI458831 UOE458831 UYA458831 VHW458831 VRS458831 WBO458831 WLK458831 WVG458831 IU524367 SQ524367 ACM524367 AMI524367 AWE524367 BGA524367 BPW524367 BZS524367 CJO524367 CTK524367 DDG524367 DNC524367 DWY524367 EGU524367 EQQ524367 FAM524367 FKI524367 FUE524367 GEA524367 GNW524367 GXS524367 HHO524367 HRK524367 IBG524367 ILC524367 IUY524367 JEU524367 JOQ524367 JYM524367 KII524367 KSE524367 LCA524367 LLW524367 LVS524367 MFO524367 MPK524367 MZG524367 NJC524367 NSY524367 OCU524367 OMQ524367 OWM524367 PGI524367 PQE524367 QAA524367 QJW524367 QTS524367 RDO524367 RNK524367 RXG524367 SHC524367 SQY524367 TAU524367 TKQ524367 TUM524367 UEI524367 UOE524367 UYA524367 VHW524367 VRS524367 WBO524367 WLK524367 WVG524367 IU589903 SQ589903 ACM589903 AMI589903 AWE589903 BGA589903 BPW589903 BZS589903 CJO589903 CTK589903 DDG589903 DNC589903 DWY589903 EGU589903 EQQ589903 FAM589903 FKI589903 FUE589903 GEA589903 GNW589903 GXS589903 HHO589903 HRK589903 IBG589903 ILC589903 IUY589903 JEU589903 JOQ589903 JYM589903 KII589903 KSE589903 LCA589903 LLW589903 LVS589903 MFO589903 MPK589903 MZG589903 NJC589903 NSY589903 OCU589903 OMQ589903 OWM589903 PGI589903 PQE589903 QAA589903 QJW589903 QTS589903 RDO589903 RNK589903 RXG589903 SHC589903 SQY589903 TAU589903 TKQ589903 TUM589903 UEI589903 UOE589903 UYA589903 VHW589903 VRS589903 WBO589903 WLK589903 WVG589903 IU655439 SQ655439 ACM655439 AMI655439 AWE655439 BGA655439 BPW655439 BZS655439 CJO655439 CTK655439 DDG655439 DNC655439 DWY655439 EGU655439 EQQ655439 FAM655439 FKI655439 FUE655439 GEA655439 GNW655439 GXS655439 HHO655439 HRK655439 IBG655439 ILC655439 IUY655439 JEU655439 JOQ655439 JYM655439 KII655439 KSE655439 LCA655439 LLW655439 LVS655439 MFO655439 MPK655439 MZG655439 NJC655439 NSY655439 OCU655439 OMQ655439 OWM655439 PGI655439 PQE655439 QAA655439 QJW655439 QTS655439 RDO655439 RNK655439 RXG655439 SHC655439 SQY655439 TAU655439 TKQ655439 TUM655439 UEI655439 UOE655439 UYA655439 VHW655439 VRS655439 WBO655439 WLK655439 WVG655439 IU720975 SQ720975 ACM720975 AMI720975 AWE720975 BGA720975 BPW720975 BZS720975 CJO720975 CTK720975 DDG720975 DNC720975 DWY720975 EGU720975 EQQ720975 FAM720975 FKI720975 FUE720975 GEA720975 GNW720975 GXS720975 HHO720975 HRK720975 IBG720975 ILC720975 IUY720975 JEU720975 JOQ720975 JYM720975 KII720975 KSE720975 LCA720975 LLW720975 LVS720975 MFO720975 MPK720975 MZG720975 NJC720975 NSY720975 OCU720975 OMQ720975 OWM720975 PGI720975 PQE720975 QAA720975 QJW720975 QTS720975 RDO720975 RNK720975 RXG720975 SHC720975 SQY720975 TAU720975 TKQ720975 TUM720975 UEI720975 UOE720975 UYA720975 VHW720975 VRS720975 WBO720975 WLK720975 WVG720975 IU786511 SQ786511 ACM786511 AMI786511 AWE786511 BGA786511 BPW786511 BZS786511 CJO786511 CTK786511 DDG786511 DNC786511 DWY786511 EGU786511 EQQ786511 FAM786511 FKI786511 FUE786511 GEA786511 GNW786511 GXS786511 HHO786511 HRK786511 IBG786511 ILC786511 IUY786511 JEU786511 JOQ786511 JYM786511 KII786511 KSE786511 LCA786511 LLW786511 LVS786511 MFO786511 MPK786511 MZG786511 NJC786511 NSY786511 OCU786511 OMQ786511 OWM786511 PGI786511 PQE786511 QAA786511 QJW786511 QTS786511 RDO786511 RNK786511 RXG786511 SHC786511 SQY786511 TAU786511 TKQ786511 TUM786511 UEI786511 UOE786511 UYA786511 VHW786511 VRS786511 WBO786511 WLK786511 WVG786511 IU852047 SQ852047 ACM852047 AMI852047 AWE852047 BGA852047 BPW852047 BZS852047 CJO852047 CTK852047 DDG852047 DNC852047 DWY852047 EGU852047 EQQ852047 FAM852047 FKI852047 FUE852047 GEA852047 GNW852047 GXS852047 HHO852047 HRK852047 IBG852047 ILC852047 IUY852047 JEU852047 JOQ852047 JYM852047 KII852047 KSE852047 LCA852047 LLW852047 LVS852047 MFO852047 MPK852047 MZG852047 NJC852047 NSY852047 OCU852047 OMQ852047 OWM852047 PGI852047 PQE852047 QAA852047 QJW852047 QTS852047 RDO852047 RNK852047 RXG852047 SHC852047 SQY852047 TAU852047 TKQ852047 TUM852047 UEI852047 UOE852047 UYA852047 VHW852047 VRS852047 WBO852047 WLK852047 WVG852047 IU917583 SQ917583 ACM917583 AMI917583 AWE917583 BGA917583 BPW917583 BZS917583 CJO917583 CTK917583 DDG917583 DNC917583 DWY917583 EGU917583 EQQ917583 FAM917583 FKI917583 FUE917583 GEA917583 GNW917583 GXS917583 HHO917583 HRK917583 IBG917583 ILC917583 IUY917583 JEU917583 JOQ917583 JYM917583 KII917583 KSE917583 LCA917583 LLW917583 LVS917583 MFO917583 MPK917583 MZG917583 NJC917583 NSY917583 OCU917583 OMQ917583 OWM917583 PGI917583 PQE917583 QAA917583 QJW917583 QTS917583 RDO917583 RNK917583 RXG917583 SHC917583 SQY917583 TAU917583 TKQ917583 TUM917583 UEI917583 UOE917583 UYA917583 VHW917583 VRS917583 WBO917583 WLK917583 WVG917583 IU983119 SQ983119 ACM983119 AMI983119 AWE983119 BGA983119 BPW983119 BZS983119 CJO983119 CTK983119 DDG983119 DNC983119 DWY983119 EGU983119 EQQ983119 FAM983119 FKI983119 FUE983119 GEA983119 GNW983119 GXS983119 HHO983119 HRK983119 IBG983119 ILC983119 IUY983119 JEU983119 JOQ983119 JYM983119 KII983119 KSE983119 LCA983119 LLW983119 LVS983119 MFO983119 MPK983119 MZG983119 NJC983119 NSY983119 OCU983119 OMQ983119 OWM983119 PGI983119 PQE983119 QAA983119 QJW983119 QTS983119 RDO983119 RNK983119 RXG983119 SHC983119 SQY983119 TAU983119 TKQ983119 TUM983119 UEI983119 UOE983119 UYA983119 VHW983119 VRS983119 WBO983119">
      <formula1>Agence</formula1>
    </dataValidation>
    <dataValidation type="list" allowBlank="1" showInputMessage="1" sqref="S14:S100">
      <formula1>"NA"</formula1>
    </dataValidation>
    <dataValidation type="date" allowBlank="1" showInputMessage="1" showErrorMessage="1" sqref="AE14:AE100 AJ14:AJ100 N14:N100 BA14:BA100 AO14:AP100 BC14:BC100 I14:I100 BG14:BG100 BE14:BE100 X14:X100">
      <formula1>43466</formula1>
      <formula2>43830</formula2>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x14:formula1>
            <xm:f>'Données (ne pas toucher)'!$L$2:$L$3</xm:f>
          </x14:formula1>
          <xm:sqref>E3:E4 H14:H100</xm:sqref>
        </x14:dataValidation>
        <x14:dataValidation type="list" allowBlank="1" showInputMessage="1" showErrorMessage="1">
          <x14:formula1>
            <xm:f>'Données (ne pas toucher)'!$L$2:$L$3</xm:f>
          </x14:formula1>
          <xm:sqref>J14:J100</xm:sqref>
        </x14:dataValidation>
        <x14:dataValidation type="list" allowBlank="1" showInputMessage="1" showErrorMessage="1">
          <x14:formula1>
            <xm:f>'Données (ne pas toucher)'!$L$2:$L$4</xm:f>
          </x14:formula1>
          <xm:sqref>Z14:Z100 T14:T100 AG14:AG100 AL14:AL100 P14:P100 AQ14:AQ100 AX14:AX112</xm:sqref>
        </x14:dataValidation>
        <x14:dataValidation type="list" allowBlank="1" showInputMessage="1">
          <x14:formula1>
            <xm:f>'Données (ne pas toucher)'!$G$2:$G$6</xm:f>
          </x14:formula1>
          <xm:sqref>G14:G100</xm:sqref>
        </x14:dataValidation>
        <x14:dataValidation type="list" allowBlank="1" showInputMessage="1">
          <x14:formula1>
            <xm:f>'Données (ne pas toucher)'!$H$2:$H$6</xm:f>
          </x14:formula1>
          <xm:sqref>V14:V100 L14:L100 AC14:AC100</xm:sqref>
        </x14:dataValidation>
        <x14:dataValidation type="list" allowBlank="1" showInputMessage="1" showErrorMessage="1">
          <x14:formula1>
            <xm:f>'Données (ne pas toucher)'!$O$2:$O$25</xm:f>
          </x14:formula1>
          <xm:sqref>E14:E100</xm:sqref>
        </x14:dataValidation>
        <x14:dataValidation type="list" allowBlank="1" showInputMessage="1" showErrorMessage="1">
          <x14:formula1>
            <xm:f>'Données (ne pas toucher)'!$P$2:$P$10</xm:f>
          </x14:formula1>
          <xm:sqref>F14:F108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rgb="FFFFC000"/>
  </sheetPr>
  <dimension ref="A1:AC312"/>
  <sheetViews>
    <sheetView zoomScale="85" zoomScaleNormal="85" workbookViewId="0">
      <pane xSplit="1" ySplit="6" topLeftCell="B7" activePane="bottomRight" state="frozen"/>
      <selection pane="topRight" activeCell="B1" sqref="B1"/>
      <selection pane="bottomLeft" activeCell="A7" sqref="A7"/>
      <selection pane="bottomRight" activeCell="F12" sqref="F12"/>
    </sheetView>
  </sheetViews>
  <sheetFormatPr baseColWidth="10" defaultColWidth="11.42578125" defaultRowHeight="15" x14ac:dyDescent="0.25"/>
  <cols>
    <col min="1" max="1" width="2.7109375" style="106" customWidth="1"/>
    <col min="2" max="2" width="10.42578125" style="1" customWidth="1"/>
    <col min="3" max="3" width="12.85546875" style="106" customWidth="1"/>
    <col min="4" max="4" width="12.42578125" style="1" customWidth="1"/>
    <col min="5" max="5" width="38.7109375" style="1" customWidth="1"/>
    <col min="6" max="6" width="23.28515625" style="1" customWidth="1"/>
    <col min="7" max="7" width="6.140625" style="106" bestFit="1" customWidth="1"/>
    <col min="8" max="8" width="12.42578125" style="1" customWidth="1"/>
    <col min="9" max="9" width="13.85546875" style="1" bestFit="1" customWidth="1"/>
    <col min="10" max="10" width="38.7109375" style="1" customWidth="1"/>
    <col min="11" max="11" width="13.5703125" style="1" customWidth="1"/>
    <col min="12" max="12" width="8.42578125" style="1" bestFit="1" customWidth="1"/>
    <col min="13" max="13" width="8.42578125" style="105" customWidth="1"/>
    <col min="14" max="14" width="13" style="1" customWidth="1"/>
    <col min="15" max="15" width="26.85546875" style="106" customWidth="1"/>
    <col min="16" max="16" width="13.7109375" style="1" customWidth="1"/>
    <col min="17" max="19" width="11.42578125" style="1" hidden="1" customWidth="1"/>
    <col min="20" max="20" width="9.140625" style="1" bestFit="1" customWidth="1"/>
    <col min="21" max="21" width="9.85546875" style="1" customWidth="1"/>
    <col min="22" max="22" width="9.140625" style="1" customWidth="1"/>
    <col min="23" max="23" width="8.5703125" style="1" bestFit="1" customWidth="1"/>
    <col min="24" max="24" width="18.28515625" style="1" customWidth="1"/>
    <col min="25" max="28" width="11.42578125" style="1"/>
    <col min="29" max="29" width="23" style="1" customWidth="1"/>
    <col min="30" max="16384" width="11.42578125" style="1"/>
  </cols>
  <sheetData>
    <row r="1" spans="1:29" ht="43.5" customHeight="1" thickBot="1" x14ac:dyDescent="0.4">
      <c r="A1" s="595" t="s">
        <v>53</v>
      </c>
      <c r="B1" s="595"/>
      <c r="C1" s="595"/>
      <c r="D1" s="595"/>
      <c r="E1" s="595"/>
      <c r="F1" s="595"/>
      <c r="G1" s="595"/>
      <c r="H1" s="595"/>
      <c r="I1" s="595"/>
      <c r="J1" s="595"/>
      <c r="K1" s="595"/>
      <c r="L1" s="595"/>
      <c r="M1" s="595"/>
      <c r="N1" s="595"/>
      <c r="O1" s="595"/>
      <c r="P1" s="595"/>
      <c r="Q1" s="595"/>
      <c r="R1" s="595"/>
      <c r="S1" s="595"/>
      <c r="T1" s="595"/>
      <c r="U1" s="595"/>
      <c r="V1" s="595"/>
      <c r="W1" s="595"/>
      <c r="X1" s="595"/>
      <c r="Y1" s="595"/>
      <c r="Z1" s="595"/>
      <c r="AA1" s="595"/>
      <c r="AB1" s="595"/>
      <c r="AC1" s="595"/>
    </row>
    <row r="2" spans="1:29" ht="15.75" thickBot="1" x14ac:dyDescent="0.3">
      <c r="B2" s="613" t="s">
        <v>21</v>
      </c>
      <c r="C2" s="613"/>
      <c r="D2" s="613"/>
      <c r="E2" s="9">
        <f ca="1">TODAY()</f>
        <v>43503</v>
      </c>
      <c r="F2" s="10"/>
      <c r="G2" s="205"/>
      <c r="H2" s="10"/>
      <c r="I2" s="10"/>
      <c r="J2" s="10"/>
      <c r="K2" s="10"/>
      <c r="L2" s="10"/>
      <c r="M2" s="10"/>
      <c r="N2" s="10"/>
      <c r="O2" s="10"/>
      <c r="P2" s="10"/>
    </row>
    <row r="3" spans="1:29" ht="33" customHeight="1" x14ac:dyDescent="0.25">
      <c r="B3" s="258" t="s">
        <v>314</v>
      </c>
      <c r="C3" s="268" t="s">
        <v>353</v>
      </c>
      <c r="D3" s="352" t="s">
        <v>398</v>
      </c>
      <c r="E3" s="591" t="s">
        <v>386</v>
      </c>
      <c r="F3" s="592"/>
      <c r="G3" s="602" t="s">
        <v>98</v>
      </c>
      <c r="H3" s="606"/>
      <c r="I3" s="603"/>
      <c r="J3" s="596" t="s">
        <v>178</v>
      </c>
      <c r="K3" s="597"/>
      <c r="L3" s="597"/>
      <c r="M3" s="597"/>
      <c r="N3" s="602" t="s">
        <v>20</v>
      </c>
      <c r="O3" s="603"/>
      <c r="P3" s="10"/>
    </row>
    <row r="4" spans="1:29" ht="35.1" customHeight="1" thickBot="1" x14ac:dyDescent="0.3">
      <c r="B4" s="259">
        <f>COUNTA(E7:E300)</f>
        <v>0</v>
      </c>
      <c r="C4" s="252">
        <f ca="1">SUM(Q7:Q300)</f>
        <v>0</v>
      </c>
      <c r="D4" s="312">
        <f>SUM(S7:S300)</f>
        <v>0</v>
      </c>
      <c r="E4" s="593"/>
      <c r="F4" s="594"/>
      <c r="G4" s="607">
        <f>COUNTIF(G7:G530,"Oui")</f>
        <v>0</v>
      </c>
      <c r="H4" s="608"/>
      <c r="I4" s="609"/>
      <c r="J4" s="598"/>
      <c r="K4" s="599"/>
      <c r="L4" s="599"/>
      <c r="M4" s="599"/>
      <c r="N4" s="604" t="e">
        <f>SUBTOTAL(1,N7:N470)</f>
        <v>#DIV/0!</v>
      </c>
      <c r="O4" s="605"/>
      <c r="P4" s="10"/>
    </row>
    <row r="5" spans="1:29" ht="26.25" customHeight="1" x14ac:dyDescent="0.25">
      <c r="B5" s="585" t="s">
        <v>4</v>
      </c>
      <c r="C5" s="600" t="s">
        <v>463</v>
      </c>
      <c r="D5" s="581" t="s">
        <v>0</v>
      </c>
      <c r="E5" s="581" t="s">
        <v>186</v>
      </c>
      <c r="F5" s="583" t="s">
        <v>5</v>
      </c>
      <c r="G5" s="610" t="s">
        <v>82</v>
      </c>
      <c r="H5" s="611"/>
      <c r="I5" s="612"/>
      <c r="J5" s="585" t="s">
        <v>6</v>
      </c>
      <c r="K5" s="581" t="s">
        <v>7</v>
      </c>
      <c r="L5" s="581" t="s">
        <v>93</v>
      </c>
      <c r="M5" s="600" t="s">
        <v>1</v>
      </c>
      <c r="N5" s="581" t="s">
        <v>9</v>
      </c>
      <c r="O5" s="600" t="s">
        <v>101</v>
      </c>
      <c r="P5" s="589" t="s">
        <v>94</v>
      </c>
      <c r="Q5" s="106" t="s">
        <v>231</v>
      </c>
      <c r="R5" s="106" t="s">
        <v>396</v>
      </c>
      <c r="S5" s="106" t="s">
        <v>397</v>
      </c>
      <c r="T5" s="585" t="s">
        <v>387</v>
      </c>
      <c r="U5" s="581"/>
      <c r="V5" s="581"/>
      <c r="W5" s="581"/>
      <c r="X5" s="589"/>
      <c r="Y5" s="497" t="s">
        <v>391</v>
      </c>
      <c r="Z5" s="500"/>
      <c r="AA5" s="587"/>
      <c r="AB5" s="587"/>
      <c r="AC5" s="588"/>
    </row>
    <row r="6" spans="1:29" ht="34.5" thickBot="1" x14ac:dyDescent="0.3">
      <c r="B6" s="586"/>
      <c r="C6" s="601"/>
      <c r="D6" s="582"/>
      <c r="E6" s="582"/>
      <c r="F6" s="584"/>
      <c r="G6" s="310" t="s">
        <v>8</v>
      </c>
      <c r="H6" s="310" t="s">
        <v>232</v>
      </c>
      <c r="I6" s="311" t="s">
        <v>179</v>
      </c>
      <c r="J6" s="586"/>
      <c r="K6" s="582"/>
      <c r="L6" s="582"/>
      <c r="M6" s="601"/>
      <c r="N6" s="582"/>
      <c r="O6" s="601"/>
      <c r="P6" s="590"/>
      <c r="Q6" s="133"/>
      <c r="R6" s="106"/>
      <c r="S6" s="106"/>
      <c r="T6" s="307" t="s">
        <v>388</v>
      </c>
      <c r="U6" s="308" t="s">
        <v>303</v>
      </c>
      <c r="V6" s="308" t="s">
        <v>417</v>
      </c>
      <c r="W6" s="308" t="s">
        <v>389</v>
      </c>
      <c r="X6" s="309" t="s">
        <v>390</v>
      </c>
      <c r="Y6" s="307" t="s">
        <v>392</v>
      </c>
      <c r="Z6" s="308" t="s">
        <v>393</v>
      </c>
      <c r="AA6" s="308" t="s">
        <v>394</v>
      </c>
      <c r="AB6" s="308" t="s">
        <v>395</v>
      </c>
      <c r="AC6" s="309" t="s">
        <v>28</v>
      </c>
    </row>
    <row r="7" spans="1:29" s="106" customFormat="1" ht="15.75" thickBot="1" x14ac:dyDescent="0.3">
      <c r="B7" s="368"/>
      <c r="C7" s="361"/>
      <c r="D7" s="362"/>
      <c r="E7" s="237"/>
      <c r="F7" s="321"/>
      <c r="G7" s="237"/>
      <c r="H7" s="237"/>
      <c r="I7" s="237"/>
      <c r="J7" s="363"/>
      <c r="K7" s="320"/>
      <c r="L7" s="237"/>
      <c r="M7" s="322"/>
      <c r="N7" s="238"/>
      <c r="O7" s="324"/>
      <c r="P7" s="371"/>
      <c r="Q7" s="239">
        <f t="shared" ref="Q7:Q71" ca="1" si="0">IF(N7=100%,0,IF(M7&gt;=TODAY(),0,IF(ISBLANK(M7),0,1)))</f>
        <v>0</v>
      </c>
      <c r="R7" s="355">
        <f t="shared" ref="R7:R70" si="1">IF(COUNTBLANK(E7),0,1)</f>
        <v>0</v>
      </c>
      <c r="S7" s="2">
        <f t="shared" ref="S7:S71" si="2">IF(AND(R7=1,COUNTBLANK(M7),N7&lt;100%),1,0)</f>
        <v>0</v>
      </c>
      <c r="T7" s="305"/>
      <c r="U7" s="290"/>
      <c r="V7" s="362"/>
      <c r="W7" s="290"/>
      <c r="X7" s="306"/>
      <c r="Y7" s="87"/>
      <c r="Z7" s="248"/>
      <c r="AA7" s="248"/>
      <c r="AB7" s="248"/>
      <c r="AC7" s="377"/>
    </row>
    <row r="8" spans="1:29" s="106" customFormat="1" ht="15.75" thickBot="1" x14ac:dyDescent="0.3">
      <c r="B8" s="368"/>
      <c r="C8" s="361"/>
      <c r="D8" s="362"/>
      <c r="E8" s="235"/>
      <c r="F8" s="321"/>
      <c r="G8" s="235"/>
      <c r="H8" s="235"/>
      <c r="I8" s="320"/>
      <c r="J8" s="363"/>
      <c r="K8" s="320"/>
      <c r="L8" s="235"/>
      <c r="M8" s="323"/>
      <c r="N8" s="236"/>
      <c r="O8" s="324"/>
      <c r="P8" s="371"/>
      <c r="Q8" s="239">
        <f t="shared" ca="1" si="0"/>
        <v>0</v>
      </c>
      <c r="R8" s="355">
        <f t="shared" si="1"/>
        <v>0</v>
      </c>
      <c r="S8" s="2">
        <f t="shared" si="2"/>
        <v>0</v>
      </c>
      <c r="T8" s="305"/>
      <c r="U8" s="235"/>
      <c r="V8" s="362"/>
      <c r="W8" s="235"/>
      <c r="X8" s="306"/>
      <c r="Y8" s="79"/>
      <c r="Z8" s="230"/>
      <c r="AA8" s="230"/>
      <c r="AB8" s="230"/>
      <c r="AC8" s="378"/>
    </row>
    <row r="9" spans="1:29" s="106" customFormat="1" ht="15.75" thickBot="1" x14ac:dyDescent="0.3">
      <c r="B9" s="368"/>
      <c r="C9" s="361"/>
      <c r="D9" s="362"/>
      <c r="E9" s="235"/>
      <c r="F9" s="321"/>
      <c r="G9" s="235"/>
      <c r="H9" s="235"/>
      <c r="I9" s="320"/>
      <c r="J9" s="363"/>
      <c r="K9" s="320"/>
      <c r="L9" s="235"/>
      <c r="M9" s="323"/>
      <c r="N9" s="236"/>
      <c r="O9" s="324"/>
      <c r="P9" s="371"/>
      <c r="Q9" s="239">
        <f t="shared" ca="1" si="0"/>
        <v>0</v>
      </c>
      <c r="R9" s="355">
        <f t="shared" si="1"/>
        <v>0</v>
      </c>
      <c r="S9" s="2">
        <f t="shared" si="2"/>
        <v>0</v>
      </c>
      <c r="T9" s="305"/>
      <c r="U9" s="235"/>
      <c r="V9" s="362"/>
      <c r="W9" s="235"/>
      <c r="X9" s="306"/>
      <c r="Y9" s="79"/>
      <c r="Z9" s="230"/>
      <c r="AA9" s="230"/>
      <c r="AB9" s="230"/>
      <c r="AC9" s="378"/>
    </row>
    <row r="10" spans="1:29" s="106" customFormat="1" ht="15.75" thickBot="1" x14ac:dyDescent="0.3">
      <c r="B10" s="368"/>
      <c r="C10" s="284"/>
      <c r="D10" s="235"/>
      <c r="E10" s="235"/>
      <c r="F10" s="93"/>
      <c r="G10" s="235"/>
      <c r="H10" s="235"/>
      <c r="I10" s="320"/>
      <c r="J10" s="235"/>
      <c r="K10" s="320"/>
      <c r="L10" s="235"/>
      <c r="M10" s="323"/>
      <c r="N10" s="236"/>
      <c r="O10" s="324"/>
      <c r="P10" s="371"/>
      <c r="Q10" s="239">
        <f t="shared" ca="1" si="0"/>
        <v>0</v>
      </c>
      <c r="R10" s="355">
        <f t="shared" si="1"/>
        <v>0</v>
      </c>
      <c r="S10" s="2">
        <f t="shared" si="2"/>
        <v>0</v>
      </c>
      <c r="T10" s="305"/>
      <c r="U10" s="235"/>
      <c r="V10" s="362"/>
      <c r="W10" s="235"/>
      <c r="X10" s="306"/>
      <c r="Y10" s="79"/>
      <c r="Z10" s="230"/>
      <c r="AA10" s="230"/>
      <c r="AB10" s="230"/>
      <c r="AC10" s="378"/>
    </row>
    <row r="11" spans="1:29" s="106" customFormat="1" ht="15.75" thickBot="1" x14ac:dyDescent="0.3">
      <c r="B11" s="368"/>
      <c r="C11" s="284"/>
      <c r="D11" s="235"/>
      <c r="E11" s="235"/>
      <c r="F11" s="230"/>
      <c r="G11" s="235"/>
      <c r="H11" s="235"/>
      <c r="I11" s="320"/>
      <c r="J11" s="235"/>
      <c r="K11" s="235"/>
      <c r="L11" s="235"/>
      <c r="M11" s="375"/>
      <c r="N11" s="236"/>
      <c r="O11" s="235"/>
      <c r="P11" s="371"/>
      <c r="Q11" s="239">
        <f t="shared" ca="1" si="0"/>
        <v>0</v>
      </c>
      <c r="R11" s="106">
        <f t="shared" si="1"/>
        <v>0</v>
      </c>
      <c r="S11" s="2">
        <f t="shared" si="2"/>
        <v>0</v>
      </c>
      <c r="T11" s="305"/>
      <c r="U11" s="235"/>
      <c r="V11" s="362"/>
      <c r="W11" s="235"/>
      <c r="X11" s="306"/>
      <c r="Y11" s="79"/>
      <c r="Z11" s="230"/>
      <c r="AA11" s="230"/>
      <c r="AB11" s="230"/>
      <c r="AC11" s="378"/>
    </row>
    <row r="12" spans="1:29" s="106" customFormat="1" ht="15.75" thickBot="1" x14ac:dyDescent="0.3">
      <c r="B12" s="368"/>
      <c r="C12" s="284"/>
      <c r="D12" s="235"/>
      <c r="E12" s="235"/>
      <c r="F12" s="230"/>
      <c r="G12" s="235"/>
      <c r="H12" s="235"/>
      <c r="I12" s="320"/>
      <c r="J12" s="235"/>
      <c r="K12" s="235"/>
      <c r="L12" s="235"/>
      <c r="M12" s="375"/>
      <c r="N12" s="236"/>
      <c r="O12" s="235"/>
      <c r="P12" s="371"/>
      <c r="Q12" s="239">
        <f t="shared" ca="1" si="0"/>
        <v>0</v>
      </c>
      <c r="R12" s="106">
        <f t="shared" si="1"/>
        <v>0</v>
      </c>
      <c r="S12" s="2">
        <f t="shared" si="2"/>
        <v>0</v>
      </c>
      <c r="T12" s="305"/>
      <c r="U12" s="235"/>
      <c r="V12" s="362"/>
      <c r="W12" s="235"/>
      <c r="X12" s="241"/>
      <c r="Y12" s="79"/>
      <c r="Z12" s="230"/>
      <c r="AA12" s="230"/>
      <c r="AB12" s="230"/>
      <c r="AC12" s="378"/>
    </row>
    <row r="13" spans="1:29" s="106" customFormat="1" ht="15.75" thickBot="1" x14ac:dyDescent="0.3">
      <c r="B13" s="370"/>
      <c r="C13" s="284"/>
      <c r="D13" s="235"/>
      <c r="E13" s="235"/>
      <c r="F13" s="230"/>
      <c r="G13" s="235"/>
      <c r="H13" s="235"/>
      <c r="I13" s="320"/>
      <c r="J13" s="235"/>
      <c r="K13" s="235"/>
      <c r="L13" s="235"/>
      <c r="M13" s="375"/>
      <c r="N13" s="236"/>
      <c r="O13" s="235"/>
      <c r="P13" s="372"/>
      <c r="Q13" s="239">
        <f t="shared" ca="1" si="0"/>
        <v>0</v>
      </c>
      <c r="R13" s="106">
        <f t="shared" si="1"/>
        <v>0</v>
      </c>
      <c r="S13" s="2">
        <f t="shared" si="2"/>
        <v>0</v>
      </c>
      <c r="T13" s="305"/>
      <c r="U13" s="235"/>
      <c r="V13" s="362"/>
      <c r="W13" s="235"/>
      <c r="X13" s="241"/>
      <c r="Y13" s="79"/>
      <c r="Z13" s="230"/>
      <c r="AA13" s="230"/>
      <c r="AB13" s="230"/>
      <c r="AC13" s="378"/>
    </row>
    <row r="14" spans="1:29" ht="15.75" thickBot="1" x14ac:dyDescent="0.3">
      <c r="B14" s="370"/>
      <c r="C14" s="284"/>
      <c r="D14" s="235"/>
      <c r="E14" s="235"/>
      <c r="F14" s="230"/>
      <c r="G14" s="235"/>
      <c r="H14" s="235"/>
      <c r="I14" s="320"/>
      <c r="J14" s="235"/>
      <c r="K14" s="235"/>
      <c r="L14" s="235"/>
      <c r="M14" s="375"/>
      <c r="N14" s="236"/>
      <c r="O14" s="235"/>
      <c r="P14" s="372"/>
      <c r="Q14" s="239">
        <f t="shared" ca="1" si="0"/>
        <v>0</v>
      </c>
      <c r="R14" s="106">
        <f t="shared" si="1"/>
        <v>0</v>
      </c>
      <c r="S14" s="2">
        <f t="shared" si="2"/>
        <v>0</v>
      </c>
      <c r="T14" s="305"/>
      <c r="U14" s="235"/>
      <c r="V14" s="235"/>
      <c r="W14" s="235"/>
      <c r="X14" s="241"/>
      <c r="Y14" s="79"/>
      <c r="Z14" s="230"/>
      <c r="AA14" s="230"/>
      <c r="AB14" s="230"/>
      <c r="AC14" s="188"/>
    </row>
    <row r="15" spans="1:29" ht="15.75" thickBot="1" x14ac:dyDescent="0.3">
      <c r="B15" s="370"/>
      <c r="C15" s="284"/>
      <c r="D15" s="235"/>
      <c r="E15" s="235"/>
      <c r="F15" s="230"/>
      <c r="G15" s="235"/>
      <c r="H15" s="235"/>
      <c r="I15" s="320"/>
      <c r="J15" s="235"/>
      <c r="K15" s="235"/>
      <c r="L15" s="235"/>
      <c r="M15" s="375"/>
      <c r="N15" s="236"/>
      <c r="O15" s="235"/>
      <c r="P15" s="372"/>
      <c r="Q15" s="239">
        <f t="shared" ca="1" si="0"/>
        <v>0</v>
      </c>
      <c r="R15" s="106">
        <f t="shared" si="1"/>
        <v>0</v>
      </c>
      <c r="S15" s="2">
        <f t="shared" si="2"/>
        <v>0</v>
      </c>
      <c r="T15" s="305"/>
      <c r="U15" s="235"/>
      <c r="V15" s="235"/>
      <c r="W15" s="235"/>
      <c r="X15" s="241"/>
      <c r="Y15" s="79"/>
      <c r="Z15" s="230"/>
      <c r="AA15" s="230"/>
      <c r="AB15" s="230"/>
      <c r="AC15" s="188"/>
    </row>
    <row r="16" spans="1:29" ht="15.75" thickBot="1" x14ac:dyDescent="0.3">
      <c r="B16" s="370"/>
      <c r="C16" s="284"/>
      <c r="D16" s="235"/>
      <c r="E16" s="235"/>
      <c r="F16" s="230"/>
      <c r="G16" s="235"/>
      <c r="H16" s="235"/>
      <c r="I16" s="320"/>
      <c r="J16" s="235"/>
      <c r="K16" s="235"/>
      <c r="L16" s="235"/>
      <c r="M16" s="375"/>
      <c r="N16" s="236"/>
      <c r="O16" s="235"/>
      <c r="P16" s="372"/>
      <c r="Q16" s="239">
        <f t="shared" ca="1" si="0"/>
        <v>0</v>
      </c>
      <c r="R16" s="106">
        <f t="shared" si="1"/>
        <v>0</v>
      </c>
      <c r="S16" s="2">
        <f t="shared" si="2"/>
        <v>0</v>
      </c>
      <c r="T16" s="305"/>
      <c r="U16" s="235"/>
      <c r="V16" s="235"/>
      <c r="W16" s="235"/>
      <c r="X16" s="241"/>
      <c r="Y16" s="79"/>
      <c r="Z16" s="230"/>
      <c r="AA16" s="230"/>
      <c r="AB16" s="230"/>
      <c r="AC16" s="188"/>
    </row>
    <row r="17" spans="2:29" ht="15.75" thickBot="1" x14ac:dyDescent="0.3">
      <c r="B17" s="369"/>
      <c r="C17" s="284"/>
      <c r="D17" s="235"/>
      <c r="E17" s="235"/>
      <c r="F17" s="230"/>
      <c r="G17" s="235"/>
      <c r="H17" s="235"/>
      <c r="I17" s="320"/>
      <c r="J17" s="235"/>
      <c r="K17" s="235"/>
      <c r="L17" s="235"/>
      <c r="M17" s="375"/>
      <c r="N17" s="236"/>
      <c r="O17" s="235"/>
      <c r="P17" s="241"/>
      <c r="Q17" s="239">
        <f t="shared" ca="1" si="0"/>
        <v>0</v>
      </c>
      <c r="R17" s="106">
        <f t="shared" si="1"/>
        <v>0</v>
      </c>
      <c r="S17" s="2">
        <f t="shared" si="2"/>
        <v>0</v>
      </c>
      <c r="T17" s="305"/>
      <c r="U17" s="235"/>
      <c r="V17" s="235"/>
      <c r="W17" s="235"/>
      <c r="X17" s="241"/>
      <c r="Y17" s="79"/>
      <c r="Z17" s="230"/>
      <c r="AA17" s="230"/>
      <c r="AB17" s="230"/>
      <c r="AC17" s="188"/>
    </row>
    <row r="18" spans="2:29" ht="15.75" thickBot="1" x14ac:dyDescent="0.3">
      <c r="B18" s="369"/>
      <c r="C18" s="284"/>
      <c r="D18" s="235"/>
      <c r="E18" s="235"/>
      <c r="F18" s="230"/>
      <c r="G18" s="235"/>
      <c r="H18" s="235"/>
      <c r="I18" s="320"/>
      <c r="J18" s="235"/>
      <c r="K18" s="235"/>
      <c r="L18" s="235"/>
      <c r="M18" s="375"/>
      <c r="N18" s="236"/>
      <c r="O18" s="235"/>
      <c r="P18" s="241"/>
      <c r="Q18" s="239">
        <f t="shared" ca="1" si="0"/>
        <v>0</v>
      </c>
      <c r="R18" s="106">
        <f t="shared" si="1"/>
        <v>0</v>
      </c>
      <c r="S18" s="2">
        <f t="shared" si="2"/>
        <v>0</v>
      </c>
      <c r="T18" s="305"/>
      <c r="U18" s="235"/>
      <c r="V18" s="235"/>
      <c r="W18" s="235"/>
      <c r="X18" s="241"/>
      <c r="Y18" s="79"/>
      <c r="Z18" s="230"/>
      <c r="AA18" s="230"/>
      <c r="AB18" s="230"/>
      <c r="AC18" s="188"/>
    </row>
    <row r="19" spans="2:29" ht="15.75" thickBot="1" x14ac:dyDescent="0.3">
      <c r="B19" s="369"/>
      <c r="C19" s="284"/>
      <c r="D19" s="235"/>
      <c r="E19" s="235"/>
      <c r="F19" s="230"/>
      <c r="G19" s="235"/>
      <c r="H19" s="235"/>
      <c r="I19" s="320"/>
      <c r="J19" s="235"/>
      <c r="K19" s="235"/>
      <c r="L19" s="235"/>
      <c r="M19" s="375"/>
      <c r="N19" s="236"/>
      <c r="O19" s="235"/>
      <c r="P19" s="241"/>
      <c r="Q19" s="239">
        <f t="shared" ca="1" si="0"/>
        <v>0</v>
      </c>
      <c r="R19" s="106">
        <f t="shared" si="1"/>
        <v>0</v>
      </c>
      <c r="S19" s="2">
        <f t="shared" si="2"/>
        <v>0</v>
      </c>
      <c r="T19" s="305"/>
      <c r="U19" s="235"/>
      <c r="V19" s="235"/>
      <c r="W19" s="235"/>
      <c r="X19" s="241"/>
      <c r="Y19" s="79"/>
      <c r="Z19" s="230"/>
      <c r="AA19" s="230"/>
      <c r="AB19" s="230"/>
      <c r="AC19" s="188"/>
    </row>
    <row r="20" spans="2:29" ht="15.75" thickBot="1" x14ac:dyDescent="0.3">
      <c r="B20" s="369"/>
      <c r="C20" s="284"/>
      <c r="D20" s="235"/>
      <c r="E20" s="235"/>
      <c r="F20" s="230"/>
      <c r="G20" s="235"/>
      <c r="H20" s="235"/>
      <c r="I20" s="320"/>
      <c r="J20" s="235"/>
      <c r="K20" s="235"/>
      <c r="L20" s="235"/>
      <c r="M20" s="375"/>
      <c r="N20" s="236"/>
      <c r="O20" s="235"/>
      <c r="P20" s="241"/>
      <c r="Q20" s="239">
        <f t="shared" ca="1" si="0"/>
        <v>0</v>
      </c>
      <c r="R20" s="106">
        <f t="shared" si="1"/>
        <v>0</v>
      </c>
      <c r="S20" s="2">
        <f t="shared" si="2"/>
        <v>0</v>
      </c>
      <c r="T20" s="305"/>
      <c r="U20" s="235"/>
      <c r="V20" s="235"/>
      <c r="W20" s="235"/>
      <c r="X20" s="241"/>
      <c r="Y20" s="79"/>
      <c r="Z20" s="230"/>
      <c r="AA20" s="230"/>
      <c r="AB20" s="230"/>
      <c r="AC20" s="188"/>
    </row>
    <row r="21" spans="2:29" ht="15.75" thickBot="1" x14ac:dyDescent="0.3">
      <c r="B21" s="369"/>
      <c r="C21" s="284"/>
      <c r="D21" s="235"/>
      <c r="E21" s="235"/>
      <c r="F21" s="230"/>
      <c r="G21" s="235"/>
      <c r="H21" s="235"/>
      <c r="I21" s="320"/>
      <c r="J21" s="235"/>
      <c r="K21" s="235"/>
      <c r="L21" s="235"/>
      <c r="M21" s="375"/>
      <c r="N21" s="236"/>
      <c r="O21" s="235"/>
      <c r="P21" s="241"/>
      <c r="Q21" s="239">
        <f t="shared" ca="1" si="0"/>
        <v>0</v>
      </c>
      <c r="R21" s="106">
        <f t="shared" si="1"/>
        <v>0</v>
      </c>
      <c r="S21" s="2">
        <f t="shared" si="2"/>
        <v>0</v>
      </c>
      <c r="T21" s="305"/>
      <c r="U21" s="235"/>
      <c r="V21" s="235"/>
      <c r="W21" s="235"/>
      <c r="X21" s="241"/>
      <c r="Y21" s="79"/>
      <c r="Z21" s="230"/>
      <c r="AA21" s="230"/>
      <c r="AB21" s="230"/>
      <c r="AC21" s="188"/>
    </row>
    <row r="22" spans="2:29" ht="15.75" thickBot="1" x14ac:dyDescent="0.3">
      <c r="B22" s="369"/>
      <c r="C22" s="284"/>
      <c r="D22" s="235"/>
      <c r="E22" s="235"/>
      <c r="F22" s="230"/>
      <c r="G22" s="235"/>
      <c r="H22" s="235"/>
      <c r="I22" s="320"/>
      <c r="J22" s="235"/>
      <c r="K22" s="235"/>
      <c r="L22" s="235"/>
      <c r="M22" s="375"/>
      <c r="N22" s="236"/>
      <c r="O22" s="235"/>
      <c r="P22" s="241"/>
      <c r="Q22" s="239">
        <f t="shared" ca="1" si="0"/>
        <v>0</v>
      </c>
      <c r="R22" s="106">
        <f t="shared" si="1"/>
        <v>0</v>
      </c>
      <c r="S22" s="2">
        <f t="shared" si="2"/>
        <v>0</v>
      </c>
      <c r="T22" s="305"/>
      <c r="U22" s="235"/>
      <c r="V22" s="235"/>
      <c r="W22" s="235"/>
      <c r="X22" s="241"/>
      <c r="Y22" s="79"/>
      <c r="Z22" s="230"/>
      <c r="AA22" s="230"/>
      <c r="AB22" s="230"/>
      <c r="AC22" s="188"/>
    </row>
    <row r="23" spans="2:29" ht="15.75" thickBot="1" x14ac:dyDescent="0.3">
      <c r="B23" s="369"/>
      <c r="C23" s="284"/>
      <c r="D23" s="235"/>
      <c r="E23" s="235"/>
      <c r="F23" s="230"/>
      <c r="G23" s="235"/>
      <c r="H23" s="235"/>
      <c r="I23" s="320"/>
      <c r="J23" s="235"/>
      <c r="K23" s="235"/>
      <c r="L23" s="235"/>
      <c r="M23" s="375"/>
      <c r="N23" s="236"/>
      <c r="O23" s="235"/>
      <c r="P23" s="241"/>
      <c r="Q23" s="239">
        <f t="shared" ca="1" si="0"/>
        <v>0</v>
      </c>
      <c r="R23" s="106">
        <f t="shared" si="1"/>
        <v>0</v>
      </c>
      <c r="S23" s="2">
        <f t="shared" si="2"/>
        <v>0</v>
      </c>
      <c r="T23" s="305"/>
      <c r="U23" s="235"/>
      <c r="V23" s="235"/>
      <c r="W23" s="235"/>
      <c r="X23" s="241"/>
      <c r="Y23" s="79"/>
      <c r="Z23" s="230"/>
      <c r="AA23" s="230"/>
      <c r="AB23" s="230"/>
      <c r="AC23" s="188"/>
    </row>
    <row r="24" spans="2:29" ht="15.75" thickBot="1" x14ac:dyDescent="0.3">
      <c r="B24" s="240"/>
      <c r="C24" s="284"/>
      <c r="D24" s="235"/>
      <c r="E24" s="235"/>
      <c r="F24" s="230"/>
      <c r="G24" s="235"/>
      <c r="H24" s="235"/>
      <c r="I24" s="320"/>
      <c r="J24" s="235"/>
      <c r="K24" s="235"/>
      <c r="L24" s="235"/>
      <c r="M24" s="375"/>
      <c r="N24" s="236"/>
      <c r="O24" s="235"/>
      <c r="P24" s="241"/>
      <c r="Q24" s="239">
        <f t="shared" ca="1" si="0"/>
        <v>0</v>
      </c>
      <c r="R24" s="106">
        <f t="shared" si="1"/>
        <v>0</v>
      </c>
      <c r="S24" s="2">
        <f t="shared" si="2"/>
        <v>0</v>
      </c>
      <c r="T24" s="305"/>
      <c r="U24" s="235"/>
      <c r="V24" s="235"/>
      <c r="W24" s="235"/>
      <c r="X24" s="241"/>
      <c r="Y24" s="79"/>
      <c r="Z24" s="230"/>
      <c r="AA24" s="230"/>
      <c r="AB24" s="230"/>
      <c r="AC24" s="188"/>
    </row>
    <row r="25" spans="2:29" ht="15.75" thickBot="1" x14ac:dyDescent="0.3">
      <c r="B25" s="240"/>
      <c r="C25" s="284"/>
      <c r="D25" s="235"/>
      <c r="E25" s="235"/>
      <c r="F25" s="230"/>
      <c r="G25" s="235"/>
      <c r="H25" s="235"/>
      <c r="I25" s="320"/>
      <c r="J25" s="235"/>
      <c r="K25" s="235"/>
      <c r="L25" s="235"/>
      <c r="M25" s="375"/>
      <c r="N25" s="236"/>
      <c r="O25" s="235"/>
      <c r="P25" s="241"/>
      <c r="Q25" s="239">
        <f t="shared" ca="1" si="0"/>
        <v>0</v>
      </c>
      <c r="R25" s="106">
        <f t="shared" si="1"/>
        <v>0</v>
      </c>
      <c r="S25" s="2">
        <f t="shared" si="2"/>
        <v>0</v>
      </c>
      <c r="T25" s="305"/>
      <c r="U25" s="235"/>
      <c r="V25" s="235"/>
      <c r="W25" s="235"/>
      <c r="X25" s="241"/>
      <c r="Y25" s="79"/>
      <c r="Z25" s="230"/>
      <c r="AA25" s="230"/>
      <c r="AB25" s="230"/>
      <c r="AC25" s="188"/>
    </row>
    <row r="26" spans="2:29" ht="15.75" thickBot="1" x14ac:dyDescent="0.3">
      <c r="B26" s="240"/>
      <c r="C26" s="284"/>
      <c r="D26" s="235"/>
      <c r="E26" s="235"/>
      <c r="F26" s="230"/>
      <c r="G26" s="235"/>
      <c r="H26" s="235"/>
      <c r="I26" s="320"/>
      <c r="J26" s="235"/>
      <c r="K26" s="235"/>
      <c r="L26" s="235"/>
      <c r="M26" s="375"/>
      <c r="N26" s="236"/>
      <c r="O26" s="235"/>
      <c r="P26" s="241"/>
      <c r="Q26" s="239">
        <f t="shared" ca="1" si="0"/>
        <v>0</v>
      </c>
      <c r="R26" s="106">
        <f t="shared" si="1"/>
        <v>0</v>
      </c>
      <c r="S26" s="2">
        <f t="shared" si="2"/>
        <v>0</v>
      </c>
      <c r="T26" s="305"/>
      <c r="U26" s="235"/>
      <c r="V26" s="235"/>
      <c r="W26" s="235"/>
      <c r="X26" s="241"/>
      <c r="Y26" s="79"/>
      <c r="Z26" s="230"/>
      <c r="AA26" s="230"/>
      <c r="AB26" s="230"/>
      <c r="AC26" s="188"/>
    </row>
    <row r="27" spans="2:29" ht="15.75" thickBot="1" x14ac:dyDescent="0.3">
      <c r="B27" s="240"/>
      <c r="C27" s="284"/>
      <c r="D27" s="235"/>
      <c r="E27" s="235"/>
      <c r="F27" s="230"/>
      <c r="G27" s="235"/>
      <c r="H27" s="235"/>
      <c r="I27" s="320"/>
      <c r="J27" s="235"/>
      <c r="K27" s="235"/>
      <c r="L27" s="235"/>
      <c r="M27" s="375"/>
      <c r="N27" s="236"/>
      <c r="O27" s="235"/>
      <c r="P27" s="241"/>
      <c r="Q27" s="239">
        <f t="shared" ca="1" si="0"/>
        <v>0</v>
      </c>
      <c r="R27" s="106">
        <f t="shared" si="1"/>
        <v>0</v>
      </c>
      <c r="S27" s="2">
        <f t="shared" si="2"/>
        <v>0</v>
      </c>
      <c r="T27" s="305"/>
      <c r="U27" s="235"/>
      <c r="V27" s="235"/>
      <c r="W27" s="235"/>
      <c r="X27" s="241"/>
      <c r="Y27" s="79"/>
      <c r="Z27" s="230"/>
      <c r="AA27" s="230"/>
      <c r="AB27" s="230"/>
      <c r="AC27" s="188"/>
    </row>
    <row r="28" spans="2:29" ht="15.75" thickBot="1" x14ac:dyDescent="0.3">
      <c r="B28" s="240"/>
      <c r="C28" s="284"/>
      <c r="D28" s="235"/>
      <c r="E28" s="235"/>
      <c r="F28" s="230"/>
      <c r="G28" s="235"/>
      <c r="H28" s="235"/>
      <c r="I28" s="320"/>
      <c r="J28" s="235"/>
      <c r="K28" s="235"/>
      <c r="L28" s="235"/>
      <c r="M28" s="375"/>
      <c r="N28" s="236"/>
      <c r="O28" s="235"/>
      <c r="P28" s="241"/>
      <c r="Q28" s="239">
        <f t="shared" ca="1" si="0"/>
        <v>0</v>
      </c>
      <c r="R28" s="106">
        <f t="shared" si="1"/>
        <v>0</v>
      </c>
      <c r="S28" s="2">
        <f t="shared" si="2"/>
        <v>0</v>
      </c>
      <c r="T28" s="305"/>
      <c r="U28" s="235"/>
      <c r="V28" s="235"/>
      <c r="W28" s="235"/>
      <c r="X28" s="241"/>
      <c r="Y28" s="79"/>
      <c r="Z28" s="230"/>
      <c r="AA28" s="230"/>
      <c r="AB28" s="230"/>
      <c r="AC28" s="188"/>
    </row>
    <row r="29" spans="2:29" ht="15.75" thickBot="1" x14ac:dyDescent="0.3">
      <c r="B29" s="240"/>
      <c r="C29" s="284"/>
      <c r="D29" s="235"/>
      <c r="E29" s="235"/>
      <c r="F29" s="230"/>
      <c r="G29" s="235"/>
      <c r="H29" s="235"/>
      <c r="I29" s="320"/>
      <c r="J29" s="235"/>
      <c r="K29" s="235"/>
      <c r="L29" s="235"/>
      <c r="M29" s="375"/>
      <c r="N29" s="236"/>
      <c r="O29" s="235"/>
      <c r="P29" s="241"/>
      <c r="Q29" s="239">
        <f t="shared" ca="1" si="0"/>
        <v>0</v>
      </c>
      <c r="R29" s="106">
        <f t="shared" si="1"/>
        <v>0</v>
      </c>
      <c r="S29" s="2">
        <f t="shared" si="2"/>
        <v>0</v>
      </c>
      <c r="T29" s="305"/>
      <c r="U29" s="235"/>
      <c r="V29" s="235"/>
      <c r="W29" s="235"/>
      <c r="X29" s="241"/>
      <c r="Y29" s="79"/>
      <c r="Z29" s="230"/>
      <c r="AA29" s="230"/>
      <c r="AB29" s="230"/>
      <c r="AC29" s="188"/>
    </row>
    <row r="30" spans="2:29" ht="15.75" thickBot="1" x14ac:dyDescent="0.3">
      <c r="B30" s="240"/>
      <c r="C30" s="284"/>
      <c r="D30" s="235"/>
      <c r="E30" s="235"/>
      <c r="F30" s="230"/>
      <c r="G30" s="235"/>
      <c r="H30" s="235"/>
      <c r="I30" s="320"/>
      <c r="J30" s="235"/>
      <c r="K30" s="235"/>
      <c r="L30" s="235"/>
      <c r="M30" s="375"/>
      <c r="N30" s="236"/>
      <c r="O30" s="235"/>
      <c r="P30" s="241"/>
      <c r="Q30" s="239">
        <f t="shared" ca="1" si="0"/>
        <v>0</v>
      </c>
      <c r="R30" s="106">
        <f t="shared" si="1"/>
        <v>0</v>
      </c>
      <c r="S30" s="2">
        <f t="shared" si="2"/>
        <v>0</v>
      </c>
      <c r="T30" s="305"/>
      <c r="U30" s="235"/>
      <c r="V30" s="235"/>
      <c r="W30" s="235"/>
      <c r="X30" s="241"/>
      <c r="Y30" s="79"/>
      <c r="Z30" s="230"/>
      <c r="AA30" s="230"/>
      <c r="AB30" s="230"/>
      <c r="AC30" s="188"/>
    </row>
    <row r="31" spans="2:29" ht="15.75" thickBot="1" x14ac:dyDescent="0.3">
      <c r="B31" s="240"/>
      <c r="C31" s="284"/>
      <c r="D31" s="235"/>
      <c r="E31" s="235"/>
      <c r="F31" s="230"/>
      <c r="G31" s="235"/>
      <c r="H31" s="235"/>
      <c r="I31" s="320"/>
      <c r="J31" s="235"/>
      <c r="K31" s="235"/>
      <c r="L31" s="235"/>
      <c r="M31" s="375"/>
      <c r="N31" s="236"/>
      <c r="O31" s="235"/>
      <c r="P31" s="241"/>
      <c r="Q31" s="239">
        <f t="shared" ca="1" si="0"/>
        <v>0</v>
      </c>
      <c r="R31" s="106">
        <f t="shared" si="1"/>
        <v>0</v>
      </c>
      <c r="S31" s="2">
        <f t="shared" si="2"/>
        <v>0</v>
      </c>
      <c r="T31" s="305"/>
      <c r="U31" s="235"/>
      <c r="V31" s="235"/>
      <c r="W31" s="235"/>
      <c r="X31" s="241"/>
      <c r="Y31" s="79"/>
      <c r="Z31" s="230"/>
      <c r="AA31" s="230"/>
      <c r="AB31" s="230"/>
      <c r="AC31" s="188"/>
    </row>
    <row r="32" spans="2:29" ht="15.75" thickBot="1" x14ac:dyDescent="0.3">
      <c r="B32" s="240"/>
      <c r="C32" s="284"/>
      <c r="D32" s="235"/>
      <c r="E32" s="235"/>
      <c r="F32" s="230"/>
      <c r="G32" s="235"/>
      <c r="H32" s="235"/>
      <c r="I32" s="320"/>
      <c r="J32" s="235"/>
      <c r="K32" s="235"/>
      <c r="L32" s="235"/>
      <c r="M32" s="375"/>
      <c r="N32" s="236"/>
      <c r="O32" s="235"/>
      <c r="P32" s="241"/>
      <c r="Q32" s="239">
        <f t="shared" ca="1" si="0"/>
        <v>0</v>
      </c>
      <c r="R32" s="106">
        <f t="shared" si="1"/>
        <v>0</v>
      </c>
      <c r="S32" s="2">
        <f t="shared" si="2"/>
        <v>0</v>
      </c>
      <c r="T32" s="305"/>
      <c r="U32" s="235"/>
      <c r="V32" s="235"/>
      <c r="W32" s="235"/>
      <c r="X32" s="241"/>
      <c r="Y32" s="79"/>
      <c r="Z32" s="230"/>
      <c r="AA32" s="230"/>
      <c r="AB32" s="230"/>
      <c r="AC32" s="188"/>
    </row>
    <row r="33" spans="2:29" ht="15.75" thickBot="1" x14ac:dyDescent="0.3">
      <c r="B33" s="240"/>
      <c r="C33" s="284"/>
      <c r="D33" s="235"/>
      <c r="E33" s="235"/>
      <c r="F33" s="230"/>
      <c r="G33" s="235"/>
      <c r="H33" s="235"/>
      <c r="I33" s="320"/>
      <c r="J33" s="235"/>
      <c r="K33" s="235"/>
      <c r="L33" s="235"/>
      <c r="M33" s="375"/>
      <c r="N33" s="236"/>
      <c r="O33" s="235"/>
      <c r="P33" s="241"/>
      <c r="Q33" s="239">
        <f t="shared" ca="1" si="0"/>
        <v>0</v>
      </c>
      <c r="R33" s="106">
        <f t="shared" si="1"/>
        <v>0</v>
      </c>
      <c r="S33" s="2">
        <f t="shared" si="2"/>
        <v>0</v>
      </c>
      <c r="T33" s="305"/>
      <c r="U33" s="235"/>
      <c r="V33" s="235"/>
      <c r="W33" s="235"/>
      <c r="X33" s="241"/>
      <c r="Y33" s="79"/>
      <c r="Z33" s="230"/>
      <c r="AA33" s="230"/>
      <c r="AB33" s="230"/>
      <c r="AC33" s="188"/>
    </row>
    <row r="34" spans="2:29" ht="15.75" thickBot="1" x14ac:dyDescent="0.3">
      <c r="B34" s="240"/>
      <c r="C34" s="284"/>
      <c r="D34" s="235"/>
      <c r="E34" s="235"/>
      <c r="F34" s="230"/>
      <c r="G34" s="235"/>
      <c r="H34" s="235"/>
      <c r="I34" s="320"/>
      <c r="J34" s="235"/>
      <c r="K34" s="235"/>
      <c r="L34" s="235"/>
      <c r="M34" s="375"/>
      <c r="N34" s="236"/>
      <c r="O34" s="235"/>
      <c r="P34" s="241"/>
      <c r="Q34" s="239">
        <f t="shared" ca="1" si="0"/>
        <v>0</v>
      </c>
      <c r="R34" s="106">
        <f t="shared" si="1"/>
        <v>0</v>
      </c>
      <c r="S34" s="2">
        <f t="shared" si="2"/>
        <v>0</v>
      </c>
      <c r="T34" s="305"/>
      <c r="U34" s="235"/>
      <c r="V34" s="235"/>
      <c r="W34" s="235"/>
      <c r="X34" s="241"/>
      <c r="Y34" s="79"/>
      <c r="Z34" s="230"/>
      <c r="AA34" s="230"/>
      <c r="AB34" s="230"/>
      <c r="AC34" s="188"/>
    </row>
    <row r="35" spans="2:29" ht="15.75" thickBot="1" x14ac:dyDescent="0.3">
      <c r="B35" s="240"/>
      <c r="C35" s="284"/>
      <c r="D35" s="235"/>
      <c r="E35" s="235"/>
      <c r="F35" s="230"/>
      <c r="G35" s="235"/>
      <c r="H35" s="235"/>
      <c r="I35" s="320"/>
      <c r="J35" s="235"/>
      <c r="K35" s="235"/>
      <c r="L35" s="235"/>
      <c r="M35" s="375"/>
      <c r="N35" s="236"/>
      <c r="O35" s="235"/>
      <c r="P35" s="241"/>
      <c r="Q35" s="239">
        <f t="shared" ca="1" si="0"/>
        <v>0</v>
      </c>
      <c r="R35" s="106">
        <f t="shared" si="1"/>
        <v>0</v>
      </c>
      <c r="S35" s="2">
        <f t="shared" si="2"/>
        <v>0</v>
      </c>
      <c r="T35" s="305"/>
      <c r="U35" s="235"/>
      <c r="V35" s="235"/>
      <c r="W35" s="235"/>
      <c r="X35" s="241"/>
      <c r="Y35" s="79"/>
      <c r="Z35" s="230"/>
      <c r="AA35" s="230"/>
      <c r="AB35" s="230"/>
      <c r="AC35" s="188"/>
    </row>
    <row r="36" spans="2:29" ht="15.75" thickBot="1" x14ac:dyDescent="0.3">
      <c r="B36" s="240"/>
      <c r="C36" s="284"/>
      <c r="D36" s="235"/>
      <c r="E36" s="235"/>
      <c r="F36" s="230"/>
      <c r="G36" s="235"/>
      <c r="H36" s="235"/>
      <c r="I36" s="320"/>
      <c r="J36" s="235"/>
      <c r="K36" s="235"/>
      <c r="L36" s="235"/>
      <c r="M36" s="375"/>
      <c r="N36" s="236"/>
      <c r="O36" s="235"/>
      <c r="P36" s="241"/>
      <c r="Q36" s="239">
        <f t="shared" ca="1" si="0"/>
        <v>0</v>
      </c>
      <c r="R36" s="106">
        <f t="shared" si="1"/>
        <v>0</v>
      </c>
      <c r="S36" s="2">
        <f t="shared" si="2"/>
        <v>0</v>
      </c>
      <c r="T36" s="305"/>
      <c r="U36" s="235"/>
      <c r="V36" s="235"/>
      <c r="W36" s="235"/>
      <c r="X36" s="241"/>
      <c r="Y36" s="79"/>
      <c r="Z36" s="230"/>
      <c r="AA36" s="230"/>
      <c r="AB36" s="230"/>
      <c r="AC36" s="188"/>
    </row>
    <row r="37" spans="2:29" ht="15.75" thickBot="1" x14ac:dyDescent="0.3">
      <c r="B37" s="240"/>
      <c r="C37" s="284"/>
      <c r="D37" s="235"/>
      <c r="E37" s="235"/>
      <c r="F37" s="230"/>
      <c r="G37" s="235"/>
      <c r="H37" s="235"/>
      <c r="I37" s="320"/>
      <c r="J37" s="235"/>
      <c r="K37" s="235"/>
      <c r="L37" s="235"/>
      <c r="M37" s="375"/>
      <c r="N37" s="236"/>
      <c r="O37" s="235"/>
      <c r="P37" s="241"/>
      <c r="Q37" s="239">
        <f t="shared" ca="1" si="0"/>
        <v>0</v>
      </c>
      <c r="R37" s="106">
        <f t="shared" si="1"/>
        <v>0</v>
      </c>
      <c r="S37" s="2">
        <f t="shared" si="2"/>
        <v>0</v>
      </c>
      <c r="T37" s="305"/>
      <c r="U37" s="235"/>
      <c r="V37" s="235"/>
      <c r="W37" s="235"/>
      <c r="X37" s="241"/>
      <c r="Y37" s="79"/>
      <c r="Z37" s="230"/>
      <c r="AA37" s="230"/>
      <c r="AB37" s="230"/>
      <c r="AC37" s="188"/>
    </row>
    <row r="38" spans="2:29" ht="15.75" thickBot="1" x14ac:dyDescent="0.3">
      <c r="B38" s="240"/>
      <c r="C38" s="284"/>
      <c r="D38" s="235"/>
      <c r="E38" s="235"/>
      <c r="F38" s="230"/>
      <c r="G38" s="235"/>
      <c r="H38" s="235"/>
      <c r="I38" s="320"/>
      <c r="J38" s="235"/>
      <c r="K38" s="235"/>
      <c r="L38" s="235"/>
      <c r="M38" s="375"/>
      <c r="N38" s="236"/>
      <c r="O38" s="235"/>
      <c r="P38" s="241"/>
      <c r="Q38" s="239">
        <f t="shared" ca="1" si="0"/>
        <v>0</v>
      </c>
      <c r="R38" s="106">
        <f t="shared" si="1"/>
        <v>0</v>
      </c>
      <c r="S38" s="2">
        <f t="shared" si="2"/>
        <v>0</v>
      </c>
      <c r="T38" s="305"/>
      <c r="U38" s="235"/>
      <c r="V38" s="235"/>
      <c r="W38" s="235"/>
      <c r="X38" s="241"/>
      <c r="Y38" s="79"/>
      <c r="Z38" s="230"/>
      <c r="AA38" s="230"/>
      <c r="AB38" s="230"/>
      <c r="AC38" s="188"/>
    </row>
    <row r="39" spans="2:29" ht="15.75" thickBot="1" x14ac:dyDescent="0.3">
      <c r="B39" s="240"/>
      <c r="C39" s="284"/>
      <c r="D39" s="235"/>
      <c r="E39" s="235"/>
      <c r="F39" s="230"/>
      <c r="G39" s="235"/>
      <c r="H39" s="235"/>
      <c r="I39" s="320"/>
      <c r="J39" s="235"/>
      <c r="K39" s="235"/>
      <c r="L39" s="235"/>
      <c r="M39" s="375"/>
      <c r="N39" s="236"/>
      <c r="O39" s="235"/>
      <c r="P39" s="241"/>
      <c r="Q39" s="239">
        <f t="shared" ca="1" si="0"/>
        <v>0</v>
      </c>
      <c r="R39" s="106">
        <f t="shared" si="1"/>
        <v>0</v>
      </c>
      <c r="S39" s="2">
        <f t="shared" si="2"/>
        <v>0</v>
      </c>
      <c r="T39" s="305"/>
      <c r="U39" s="235"/>
      <c r="V39" s="235"/>
      <c r="W39" s="235"/>
      <c r="X39" s="241"/>
      <c r="Y39" s="79"/>
      <c r="Z39" s="230"/>
      <c r="AA39" s="230"/>
      <c r="AB39" s="230"/>
      <c r="AC39" s="188"/>
    </row>
    <row r="40" spans="2:29" ht="15.75" thickBot="1" x14ac:dyDescent="0.3">
      <c r="B40" s="240"/>
      <c r="C40" s="284"/>
      <c r="D40" s="235"/>
      <c r="E40" s="235"/>
      <c r="F40" s="230"/>
      <c r="G40" s="235"/>
      <c r="H40" s="235"/>
      <c r="I40" s="320"/>
      <c r="J40" s="235"/>
      <c r="K40" s="235"/>
      <c r="L40" s="235"/>
      <c r="M40" s="375"/>
      <c r="N40" s="236"/>
      <c r="O40" s="235"/>
      <c r="P40" s="241"/>
      <c r="Q40" s="239">
        <f t="shared" ca="1" si="0"/>
        <v>0</v>
      </c>
      <c r="R40" s="106">
        <f t="shared" si="1"/>
        <v>0</v>
      </c>
      <c r="S40" s="2">
        <f t="shared" si="2"/>
        <v>0</v>
      </c>
      <c r="T40" s="305"/>
      <c r="U40" s="235"/>
      <c r="V40" s="235"/>
      <c r="W40" s="235"/>
      <c r="X40" s="241"/>
      <c r="Y40" s="79"/>
      <c r="Z40" s="230"/>
      <c r="AA40" s="230"/>
      <c r="AB40" s="230"/>
      <c r="AC40" s="188"/>
    </row>
    <row r="41" spans="2:29" ht="15.75" thickBot="1" x14ac:dyDescent="0.3">
      <c r="B41" s="240"/>
      <c r="C41" s="284"/>
      <c r="D41" s="235"/>
      <c r="E41" s="235"/>
      <c r="F41" s="230"/>
      <c r="G41" s="235"/>
      <c r="H41" s="235"/>
      <c r="I41" s="320"/>
      <c r="J41" s="235"/>
      <c r="K41" s="235"/>
      <c r="L41" s="235"/>
      <c r="M41" s="375"/>
      <c r="N41" s="236"/>
      <c r="O41" s="235"/>
      <c r="P41" s="241"/>
      <c r="Q41" s="239">
        <f t="shared" ca="1" si="0"/>
        <v>0</v>
      </c>
      <c r="R41" s="106">
        <f t="shared" si="1"/>
        <v>0</v>
      </c>
      <c r="S41" s="2">
        <f t="shared" si="2"/>
        <v>0</v>
      </c>
      <c r="T41" s="305"/>
      <c r="U41" s="235"/>
      <c r="V41" s="235"/>
      <c r="W41" s="235"/>
      <c r="X41" s="241"/>
      <c r="Y41" s="79"/>
      <c r="Z41" s="230"/>
      <c r="AA41" s="230"/>
      <c r="AB41" s="230"/>
      <c r="AC41" s="188"/>
    </row>
    <row r="42" spans="2:29" ht="15.75" thickBot="1" x14ac:dyDescent="0.3">
      <c r="B42" s="240"/>
      <c r="C42" s="284"/>
      <c r="D42" s="235"/>
      <c r="E42" s="235"/>
      <c r="F42" s="230"/>
      <c r="G42" s="235"/>
      <c r="H42" s="235"/>
      <c r="I42" s="320"/>
      <c r="J42" s="235"/>
      <c r="K42" s="235"/>
      <c r="L42" s="235"/>
      <c r="M42" s="375"/>
      <c r="N42" s="236"/>
      <c r="O42" s="235"/>
      <c r="P42" s="241"/>
      <c r="Q42" s="239">
        <f t="shared" ca="1" si="0"/>
        <v>0</v>
      </c>
      <c r="R42" s="106">
        <f t="shared" si="1"/>
        <v>0</v>
      </c>
      <c r="S42" s="2">
        <f t="shared" si="2"/>
        <v>0</v>
      </c>
      <c r="T42" s="305"/>
      <c r="U42" s="235"/>
      <c r="V42" s="235"/>
      <c r="W42" s="235"/>
      <c r="X42" s="241"/>
      <c r="Y42" s="79"/>
      <c r="Z42" s="230"/>
      <c r="AA42" s="230"/>
      <c r="AB42" s="230"/>
      <c r="AC42" s="188"/>
    </row>
    <row r="43" spans="2:29" ht="15.75" thickBot="1" x14ac:dyDescent="0.3">
      <c r="B43" s="240"/>
      <c r="C43" s="284"/>
      <c r="D43" s="235"/>
      <c r="E43" s="235"/>
      <c r="F43" s="230"/>
      <c r="G43" s="235"/>
      <c r="H43" s="235"/>
      <c r="I43" s="320"/>
      <c r="J43" s="235"/>
      <c r="K43" s="235"/>
      <c r="L43" s="235"/>
      <c r="M43" s="375"/>
      <c r="N43" s="236"/>
      <c r="O43" s="235"/>
      <c r="P43" s="241"/>
      <c r="Q43" s="239">
        <f t="shared" ca="1" si="0"/>
        <v>0</v>
      </c>
      <c r="R43" s="106">
        <f t="shared" si="1"/>
        <v>0</v>
      </c>
      <c r="S43" s="2">
        <f t="shared" si="2"/>
        <v>0</v>
      </c>
      <c r="T43" s="305"/>
      <c r="U43" s="235"/>
      <c r="V43" s="235"/>
      <c r="W43" s="235"/>
      <c r="X43" s="241"/>
      <c r="Y43" s="79"/>
      <c r="Z43" s="230"/>
      <c r="AA43" s="230"/>
      <c r="AB43" s="230"/>
      <c r="AC43" s="188"/>
    </row>
    <row r="44" spans="2:29" ht="15.75" thickBot="1" x14ac:dyDescent="0.3">
      <c r="B44" s="240"/>
      <c r="C44" s="284"/>
      <c r="D44" s="235"/>
      <c r="E44" s="235"/>
      <c r="F44" s="230"/>
      <c r="G44" s="235"/>
      <c r="H44" s="235"/>
      <c r="I44" s="320"/>
      <c r="J44" s="235"/>
      <c r="K44" s="235"/>
      <c r="L44" s="235"/>
      <c r="M44" s="375"/>
      <c r="N44" s="236"/>
      <c r="O44" s="235"/>
      <c r="P44" s="241"/>
      <c r="Q44" s="239">
        <f t="shared" ca="1" si="0"/>
        <v>0</v>
      </c>
      <c r="R44" s="106">
        <f t="shared" si="1"/>
        <v>0</v>
      </c>
      <c r="S44" s="2">
        <f t="shared" si="2"/>
        <v>0</v>
      </c>
      <c r="T44" s="305"/>
      <c r="U44" s="235"/>
      <c r="V44" s="235"/>
      <c r="W44" s="235"/>
      <c r="X44" s="241"/>
      <c r="Y44" s="79"/>
      <c r="Z44" s="230"/>
      <c r="AA44" s="230"/>
      <c r="AB44" s="230"/>
      <c r="AC44" s="188"/>
    </row>
    <row r="45" spans="2:29" ht="15.75" thickBot="1" x14ac:dyDescent="0.3">
      <c r="B45" s="240"/>
      <c r="C45" s="284"/>
      <c r="D45" s="235"/>
      <c r="E45" s="235"/>
      <c r="F45" s="230"/>
      <c r="G45" s="235"/>
      <c r="H45" s="235"/>
      <c r="I45" s="320"/>
      <c r="J45" s="235"/>
      <c r="K45" s="235"/>
      <c r="L45" s="235"/>
      <c r="M45" s="375"/>
      <c r="N45" s="236"/>
      <c r="O45" s="235"/>
      <c r="P45" s="241"/>
      <c r="Q45" s="239">
        <f t="shared" ca="1" si="0"/>
        <v>0</v>
      </c>
      <c r="R45" s="106">
        <f t="shared" si="1"/>
        <v>0</v>
      </c>
      <c r="S45" s="2">
        <f t="shared" si="2"/>
        <v>0</v>
      </c>
      <c r="T45" s="305"/>
      <c r="U45" s="235"/>
      <c r="V45" s="235"/>
      <c r="W45" s="235"/>
      <c r="X45" s="241"/>
      <c r="Y45" s="79"/>
      <c r="Z45" s="230"/>
      <c r="AA45" s="230"/>
      <c r="AB45" s="230"/>
      <c r="AC45" s="188"/>
    </row>
    <row r="46" spans="2:29" ht="15.75" thickBot="1" x14ac:dyDescent="0.3">
      <c r="B46" s="240"/>
      <c r="C46" s="284"/>
      <c r="D46" s="235"/>
      <c r="E46" s="235"/>
      <c r="F46" s="230"/>
      <c r="G46" s="235"/>
      <c r="H46" s="235"/>
      <c r="I46" s="320"/>
      <c r="J46" s="235"/>
      <c r="K46" s="235"/>
      <c r="L46" s="235"/>
      <c r="M46" s="375"/>
      <c r="N46" s="236"/>
      <c r="O46" s="235"/>
      <c r="P46" s="241"/>
      <c r="Q46" s="239">
        <f t="shared" ca="1" si="0"/>
        <v>0</v>
      </c>
      <c r="R46" s="106">
        <f t="shared" si="1"/>
        <v>0</v>
      </c>
      <c r="S46" s="2">
        <f t="shared" si="2"/>
        <v>0</v>
      </c>
      <c r="T46" s="305"/>
      <c r="U46" s="235"/>
      <c r="V46" s="235"/>
      <c r="W46" s="235"/>
      <c r="X46" s="241"/>
      <c r="Y46" s="79"/>
      <c r="Z46" s="230"/>
      <c r="AA46" s="230"/>
      <c r="AB46" s="230"/>
      <c r="AC46" s="188"/>
    </row>
    <row r="47" spans="2:29" ht="15.75" thickBot="1" x14ac:dyDescent="0.3">
      <c r="B47" s="240"/>
      <c r="C47" s="284"/>
      <c r="D47" s="235"/>
      <c r="E47" s="235"/>
      <c r="F47" s="230"/>
      <c r="G47" s="235"/>
      <c r="H47" s="235"/>
      <c r="I47" s="320"/>
      <c r="J47" s="235"/>
      <c r="K47" s="235"/>
      <c r="L47" s="235"/>
      <c r="M47" s="375"/>
      <c r="N47" s="236"/>
      <c r="O47" s="235"/>
      <c r="P47" s="241"/>
      <c r="Q47" s="239">
        <f t="shared" ca="1" si="0"/>
        <v>0</v>
      </c>
      <c r="R47" s="106">
        <f t="shared" si="1"/>
        <v>0</v>
      </c>
      <c r="S47" s="2">
        <f t="shared" si="2"/>
        <v>0</v>
      </c>
      <c r="T47" s="305"/>
      <c r="U47" s="235"/>
      <c r="V47" s="235"/>
      <c r="W47" s="235"/>
      <c r="X47" s="241"/>
      <c r="Y47" s="79"/>
      <c r="Z47" s="230"/>
      <c r="AA47" s="230"/>
      <c r="AB47" s="230"/>
      <c r="AC47" s="188"/>
    </row>
    <row r="48" spans="2:29" ht="15.75" thickBot="1" x14ac:dyDescent="0.3">
      <c r="B48" s="240"/>
      <c r="C48" s="284"/>
      <c r="D48" s="235"/>
      <c r="E48" s="235"/>
      <c r="F48" s="230"/>
      <c r="G48" s="235"/>
      <c r="H48" s="235"/>
      <c r="I48" s="320"/>
      <c r="J48" s="235"/>
      <c r="K48" s="235"/>
      <c r="L48" s="235"/>
      <c r="M48" s="375"/>
      <c r="N48" s="236"/>
      <c r="O48" s="235"/>
      <c r="P48" s="241"/>
      <c r="Q48" s="239">
        <f t="shared" ca="1" si="0"/>
        <v>0</v>
      </c>
      <c r="R48" s="106">
        <f t="shared" si="1"/>
        <v>0</v>
      </c>
      <c r="S48" s="2">
        <f t="shared" si="2"/>
        <v>0</v>
      </c>
      <c r="T48" s="305"/>
      <c r="U48" s="235"/>
      <c r="V48" s="235"/>
      <c r="W48" s="235"/>
      <c r="X48" s="241"/>
      <c r="Y48" s="79"/>
      <c r="Z48" s="230"/>
      <c r="AA48" s="230"/>
      <c r="AB48" s="230"/>
      <c r="AC48" s="188"/>
    </row>
    <row r="49" spans="2:29" ht="15.75" thickBot="1" x14ac:dyDescent="0.3">
      <c r="B49" s="240"/>
      <c r="C49" s="284"/>
      <c r="D49" s="235"/>
      <c r="E49" s="235"/>
      <c r="F49" s="230"/>
      <c r="G49" s="235"/>
      <c r="H49" s="235"/>
      <c r="I49" s="320"/>
      <c r="J49" s="235"/>
      <c r="K49" s="235"/>
      <c r="L49" s="235"/>
      <c r="M49" s="375"/>
      <c r="N49" s="236"/>
      <c r="O49" s="235"/>
      <c r="P49" s="241"/>
      <c r="Q49" s="239">
        <f t="shared" ca="1" si="0"/>
        <v>0</v>
      </c>
      <c r="R49" s="106">
        <f t="shared" si="1"/>
        <v>0</v>
      </c>
      <c r="S49" s="2">
        <f t="shared" si="2"/>
        <v>0</v>
      </c>
      <c r="T49" s="305"/>
      <c r="U49" s="235"/>
      <c r="V49" s="235"/>
      <c r="W49" s="235"/>
      <c r="X49" s="241"/>
      <c r="Y49" s="79"/>
      <c r="Z49" s="230"/>
      <c r="AA49" s="230"/>
      <c r="AB49" s="230"/>
      <c r="AC49" s="188"/>
    </row>
    <row r="50" spans="2:29" ht="15.75" thickBot="1" x14ac:dyDescent="0.3">
      <c r="B50" s="240"/>
      <c r="C50" s="284"/>
      <c r="D50" s="235"/>
      <c r="E50" s="235"/>
      <c r="F50" s="230"/>
      <c r="G50" s="235"/>
      <c r="H50" s="235"/>
      <c r="I50" s="320"/>
      <c r="J50" s="235"/>
      <c r="K50" s="235"/>
      <c r="L50" s="235"/>
      <c r="M50" s="375"/>
      <c r="N50" s="236"/>
      <c r="O50" s="235"/>
      <c r="P50" s="241"/>
      <c r="Q50" s="239">
        <f t="shared" ca="1" si="0"/>
        <v>0</v>
      </c>
      <c r="R50" s="106">
        <f t="shared" si="1"/>
        <v>0</v>
      </c>
      <c r="S50" s="2">
        <f t="shared" si="2"/>
        <v>0</v>
      </c>
      <c r="T50" s="305"/>
      <c r="U50" s="235"/>
      <c r="V50" s="235"/>
      <c r="W50" s="235"/>
      <c r="X50" s="241"/>
      <c r="Y50" s="79"/>
      <c r="Z50" s="230"/>
      <c r="AA50" s="230"/>
      <c r="AB50" s="230"/>
      <c r="AC50" s="188"/>
    </row>
    <row r="51" spans="2:29" ht="15.75" thickBot="1" x14ac:dyDescent="0.3">
      <c r="B51" s="240"/>
      <c r="C51" s="284"/>
      <c r="D51" s="235"/>
      <c r="E51" s="235"/>
      <c r="F51" s="230"/>
      <c r="G51" s="235"/>
      <c r="H51" s="235"/>
      <c r="I51" s="320"/>
      <c r="J51" s="235"/>
      <c r="K51" s="235"/>
      <c r="L51" s="235"/>
      <c r="M51" s="375"/>
      <c r="N51" s="236"/>
      <c r="O51" s="235"/>
      <c r="P51" s="241"/>
      <c r="Q51" s="239">
        <f t="shared" ca="1" si="0"/>
        <v>0</v>
      </c>
      <c r="R51" s="106">
        <f t="shared" si="1"/>
        <v>0</v>
      </c>
      <c r="S51" s="2">
        <f t="shared" si="2"/>
        <v>0</v>
      </c>
      <c r="T51" s="305"/>
      <c r="U51" s="235"/>
      <c r="V51" s="235"/>
      <c r="W51" s="235"/>
      <c r="X51" s="241"/>
      <c r="Y51" s="79"/>
      <c r="Z51" s="230"/>
      <c r="AA51" s="230"/>
      <c r="AB51" s="230"/>
      <c r="AC51" s="188"/>
    </row>
    <row r="52" spans="2:29" ht="15.75" thickBot="1" x14ac:dyDescent="0.3">
      <c r="B52" s="240"/>
      <c r="C52" s="284"/>
      <c r="D52" s="235"/>
      <c r="E52" s="235"/>
      <c r="F52" s="230"/>
      <c r="G52" s="235"/>
      <c r="H52" s="235"/>
      <c r="I52" s="320"/>
      <c r="J52" s="235"/>
      <c r="K52" s="235"/>
      <c r="L52" s="235"/>
      <c r="M52" s="375"/>
      <c r="N52" s="236"/>
      <c r="O52" s="235"/>
      <c r="P52" s="241"/>
      <c r="Q52" s="239">
        <f t="shared" ca="1" si="0"/>
        <v>0</v>
      </c>
      <c r="R52" s="106">
        <f t="shared" si="1"/>
        <v>0</v>
      </c>
      <c r="S52" s="2">
        <f t="shared" si="2"/>
        <v>0</v>
      </c>
      <c r="T52" s="305"/>
      <c r="U52" s="235"/>
      <c r="V52" s="235"/>
      <c r="W52" s="235"/>
      <c r="X52" s="241"/>
      <c r="Y52" s="79"/>
      <c r="Z52" s="230"/>
      <c r="AA52" s="230"/>
      <c r="AB52" s="230"/>
      <c r="AC52" s="188"/>
    </row>
    <row r="53" spans="2:29" ht="15.75" thickBot="1" x14ac:dyDescent="0.3">
      <c r="B53" s="240"/>
      <c r="C53" s="284"/>
      <c r="D53" s="235"/>
      <c r="E53" s="235"/>
      <c r="F53" s="230"/>
      <c r="G53" s="235"/>
      <c r="H53" s="235"/>
      <c r="I53" s="320"/>
      <c r="J53" s="235"/>
      <c r="K53" s="235"/>
      <c r="L53" s="235"/>
      <c r="M53" s="375"/>
      <c r="N53" s="236"/>
      <c r="O53" s="235"/>
      <c r="P53" s="241"/>
      <c r="Q53" s="239">
        <f t="shared" ca="1" si="0"/>
        <v>0</v>
      </c>
      <c r="R53" s="106">
        <f t="shared" si="1"/>
        <v>0</v>
      </c>
      <c r="S53" s="2">
        <f t="shared" si="2"/>
        <v>0</v>
      </c>
      <c r="T53" s="305"/>
      <c r="U53" s="235"/>
      <c r="V53" s="235"/>
      <c r="W53" s="235"/>
      <c r="X53" s="241"/>
      <c r="Y53" s="79"/>
      <c r="Z53" s="230"/>
      <c r="AA53" s="230"/>
      <c r="AB53" s="230"/>
      <c r="AC53" s="188"/>
    </row>
    <row r="54" spans="2:29" ht="15.75" thickBot="1" x14ac:dyDescent="0.3">
      <c r="B54" s="240"/>
      <c r="C54" s="284"/>
      <c r="D54" s="235"/>
      <c r="E54" s="235"/>
      <c r="F54" s="230"/>
      <c r="G54" s="235"/>
      <c r="H54" s="235"/>
      <c r="I54" s="320"/>
      <c r="J54" s="235"/>
      <c r="K54" s="235"/>
      <c r="L54" s="235"/>
      <c r="M54" s="375"/>
      <c r="N54" s="236"/>
      <c r="O54" s="235"/>
      <c r="P54" s="241"/>
      <c r="Q54" s="239">
        <f t="shared" ca="1" si="0"/>
        <v>0</v>
      </c>
      <c r="R54" s="106">
        <f t="shared" si="1"/>
        <v>0</v>
      </c>
      <c r="S54" s="2">
        <f t="shared" si="2"/>
        <v>0</v>
      </c>
      <c r="T54" s="305"/>
      <c r="U54" s="235"/>
      <c r="V54" s="235"/>
      <c r="W54" s="235"/>
      <c r="X54" s="241"/>
      <c r="Y54" s="79"/>
      <c r="Z54" s="230"/>
      <c r="AA54" s="230"/>
      <c r="AB54" s="230"/>
      <c r="AC54" s="188"/>
    </row>
    <row r="55" spans="2:29" ht="15.75" thickBot="1" x14ac:dyDescent="0.3">
      <c r="B55" s="240"/>
      <c r="C55" s="284"/>
      <c r="D55" s="235"/>
      <c r="E55" s="235"/>
      <c r="F55" s="230"/>
      <c r="G55" s="235"/>
      <c r="H55" s="235"/>
      <c r="I55" s="320"/>
      <c r="J55" s="235"/>
      <c r="K55" s="235"/>
      <c r="L55" s="235"/>
      <c r="M55" s="375"/>
      <c r="N55" s="236"/>
      <c r="O55" s="235"/>
      <c r="P55" s="241"/>
      <c r="Q55" s="239">
        <f t="shared" ca="1" si="0"/>
        <v>0</v>
      </c>
      <c r="R55" s="106">
        <f t="shared" si="1"/>
        <v>0</v>
      </c>
      <c r="S55" s="2">
        <f t="shared" si="2"/>
        <v>0</v>
      </c>
      <c r="T55" s="305"/>
      <c r="U55" s="235"/>
      <c r="V55" s="235"/>
      <c r="W55" s="235"/>
      <c r="X55" s="241"/>
      <c r="Y55" s="79"/>
      <c r="Z55" s="230"/>
      <c r="AA55" s="230"/>
      <c r="AB55" s="230"/>
      <c r="AC55" s="188"/>
    </row>
    <row r="56" spans="2:29" ht="15.75" thickBot="1" x14ac:dyDescent="0.3">
      <c r="B56" s="240"/>
      <c r="C56" s="284"/>
      <c r="D56" s="235"/>
      <c r="E56" s="235"/>
      <c r="F56" s="230"/>
      <c r="G56" s="235"/>
      <c r="H56" s="235"/>
      <c r="I56" s="320"/>
      <c r="J56" s="235"/>
      <c r="K56" s="235"/>
      <c r="L56" s="235"/>
      <c r="M56" s="375"/>
      <c r="N56" s="236"/>
      <c r="O56" s="235"/>
      <c r="P56" s="241"/>
      <c r="Q56" s="239">
        <f t="shared" ca="1" si="0"/>
        <v>0</v>
      </c>
      <c r="R56" s="106">
        <f t="shared" si="1"/>
        <v>0</v>
      </c>
      <c r="S56" s="2">
        <f t="shared" si="2"/>
        <v>0</v>
      </c>
      <c r="T56" s="305"/>
      <c r="U56" s="235"/>
      <c r="V56" s="235"/>
      <c r="W56" s="235"/>
      <c r="X56" s="241"/>
      <c r="Y56" s="79"/>
      <c r="Z56" s="230"/>
      <c r="AA56" s="230"/>
      <c r="AB56" s="230"/>
      <c r="AC56" s="188"/>
    </row>
    <row r="57" spans="2:29" ht="15.75" thickBot="1" x14ac:dyDescent="0.3">
      <c r="B57" s="240"/>
      <c r="C57" s="284"/>
      <c r="D57" s="235"/>
      <c r="E57" s="235"/>
      <c r="F57" s="230"/>
      <c r="G57" s="235"/>
      <c r="H57" s="235"/>
      <c r="I57" s="320"/>
      <c r="J57" s="235"/>
      <c r="K57" s="235"/>
      <c r="L57" s="235"/>
      <c r="M57" s="375"/>
      <c r="N57" s="236"/>
      <c r="O57" s="235"/>
      <c r="P57" s="241"/>
      <c r="Q57" s="239">
        <f t="shared" ca="1" si="0"/>
        <v>0</v>
      </c>
      <c r="R57" s="106">
        <f t="shared" si="1"/>
        <v>0</v>
      </c>
      <c r="S57" s="2">
        <f t="shared" si="2"/>
        <v>0</v>
      </c>
      <c r="T57" s="305"/>
      <c r="U57" s="235"/>
      <c r="V57" s="235"/>
      <c r="W57" s="235"/>
      <c r="X57" s="241"/>
      <c r="Y57" s="79"/>
      <c r="Z57" s="230"/>
      <c r="AA57" s="230"/>
      <c r="AB57" s="230"/>
      <c r="AC57" s="188"/>
    </row>
    <row r="58" spans="2:29" ht="15.75" thickBot="1" x14ac:dyDescent="0.3">
      <c r="B58" s="240"/>
      <c r="C58" s="284"/>
      <c r="D58" s="235"/>
      <c r="E58" s="235"/>
      <c r="F58" s="230"/>
      <c r="G58" s="235"/>
      <c r="H58" s="235"/>
      <c r="I58" s="320"/>
      <c r="J58" s="235"/>
      <c r="K58" s="235"/>
      <c r="L58" s="235"/>
      <c r="M58" s="375"/>
      <c r="N58" s="236"/>
      <c r="O58" s="235"/>
      <c r="P58" s="241"/>
      <c r="Q58" s="239">
        <f t="shared" ca="1" si="0"/>
        <v>0</v>
      </c>
      <c r="R58" s="106">
        <f t="shared" si="1"/>
        <v>0</v>
      </c>
      <c r="S58" s="2">
        <f t="shared" si="2"/>
        <v>0</v>
      </c>
      <c r="T58" s="305"/>
      <c r="U58" s="235"/>
      <c r="V58" s="235"/>
      <c r="W58" s="235"/>
      <c r="X58" s="241"/>
      <c r="Y58" s="79"/>
      <c r="Z58" s="230"/>
      <c r="AA58" s="230"/>
      <c r="AB58" s="230"/>
      <c r="AC58" s="188"/>
    </row>
    <row r="59" spans="2:29" ht="15.75" thickBot="1" x14ac:dyDescent="0.3">
      <c r="B59" s="240"/>
      <c r="C59" s="284"/>
      <c r="D59" s="235"/>
      <c r="E59" s="235"/>
      <c r="F59" s="230"/>
      <c r="G59" s="235"/>
      <c r="H59" s="235"/>
      <c r="I59" s="320"/>
      <c r="J59" s="235"/>
      <c r="K59" s="235"/>
      <c r="L59" s="235"/>
      <c r="M59" s="375"/>
      <c r="N59" s="236"/>
      <c r="O59" s="235"/>
      <c r="P59" s="241"/>
      <c r="Q59" s="239">
        <f t="shared" ca="1" si="0"/>
        <v>0</v>
      </c>
      <c r="R59" s="106">
        <f t="shared" si="1"/>
        <v>0</v>
      </c>
      <c r="S59" s="2">
        <f t="shared" si="2"/>
        <v>0</v>
      </c>
      <c r="T59" s="305"/>
      <c r="U59" s="235"/>
      <c r="V59" s="235"/>
      <c r="W59" s="235"/>
      <c r="X59" s="241"/>
      <c r="Y59" s="79"/>
      <c r="Z59" s="230"/>
      <c r="AA59" s="230"/>
      <c r="AB59" s="230"/>
      <c r="AC59" s="188"/>
    </row>
    <row r="60" spans="2:29" ht="15.75" thickBot="1" x14ac:dyDescent="0.3">
      <c r="B60" s="240"/>
      <c r="C60" s="284"/>
      <c r="D60" s="235"/>
      <c r="E60" s="235"/>
      <c r="F60" s="230"/>
      <c r="G60" s="235"/>
      <c r="H60" s="235"/>
      <c r="I60" s="320"/>
      <c r="J60" s="235"/>
      <c r="K60" s="235"/>
      <c r="L60" s="235"/>
      <c r="M60" s="375"/>
      <c r="N60" s="236"/>
      <c r="O60" s="235"/>
      <c r="P60" s="241"/>
      <c r="Q60" s="239">
        <f t="shared" ca="1" si="0"/>
        <v>0</v>
      </c>
      <c r="R60" s="106">
        <f t="shared" si="1"/>
        <v>0</v>
      </c>
      <c r="S60" s="2">
        <f t="shared" si="2"/>
        <v>0</v>
      </c>
      <c r="T60" s="305"/>
      <c r="U60" s="235"/>
      <c r="V60" s="235"/>
      <c r="W60" s="235"/>
      <c r="X60" s="241"/>
      <c r="Y60" s="79"/>
      <c r="Z60" s="230"/>
      <c r="AA60" s="230"/>
      <c r="AB60" s="230"/>
      <c r="AC60" s="188"/>
    </row>
    <row r="61" spans="2:29" ht="15.75" thickBot="1" x14ac:dyDescent="0.3">
      <c r="B61" s="240"/>
      <c r="C61" s="284"/>
      <c r="D61" s="235"/>
      <c r="E61" s="235"/>
      <c r="F61" s="230"/>
      <c r="G61" s="235"/>
      <c r="H61" s="235"/>
      <c r="I61" s="320"/>
      <c r="J61" s="235"/>
      <c r="K61" s="235"/>
      <c r="L61" s="235"/>
      <c r="M61" s="375"/>
      <c r="N61" s="236"/>
      <c r="O61" s="235"/>
      <c r="P61" s="241"/>
      <c r="Q61" s="239">
        <f t="shared" ca="1" si="0"/>
        <v>0</v>
      </c>
      <c r="R61" s="106">
        <f t="shared" si="1"/>
        <v>0</v>
      </c>
      <c r="S61" s="2">
        <f t="shared" si="2"/>
        <v>0</v>
      </c>
      <c r="T61" s="305"/>
      <c r="U61" s="235"/>
      <c r="V61" s="235"/>
      <c r="W61" s="235"/>
      <c r="X61" s="241"/>
      <c r="Y61" s="79"/>
      <c r="Z61" s="230"/>
      <c r="AA61" s="230"/>
      <c r="AB61" s="230"/>
      <c r="AC61" s="188"/>
    </row>
    <row r="62" spans="2:29" ht="15.75" thickBot="1" x14ac:dyDescent="0.3">
      <c r="B62" s="240"/>
      <c r="C62" s="284"/>
      <c r="D62" s="235"/>
      <c r="E62" s="235"/>
      <c r="F62" s="230"/>
      <c r="G62" s="235"/>
      <c r="H62" s="235"/>
      <c r="I62" s="320"/>
      <c r="J62" s="235"/>
      <c r="K62" s="235"/>
      <c r="L62" s="235"/>
      <c r="M62" s="375"/>
      <c r="N62" s="236"/>
      <c r="O62" s="235"/>
      <c r="P62" s="241"/>
      <c r="Q62" s="239">
        <f t="shared" ca="1" si="0"/>
        <v>0</v>
      </c>
      <c r="R62" s="106">
        <f t="shared" si="1"/>
        <v>0</v>
      </c>
      <c r="S62" s="2">
        <f t="shared" si="2"/>
        <v>0</v>
      </c>
      <c r="T62" s="305"/>
      <c r="U62" s="235"/>
      <c r="V62" s="235"/>
      <c r="W62" s="235"/>
      <c r="X62" s="241"/>
      <c r="Y62" s="79"/>
      <c r="Z62" s="230"/>
      <c r="AA62" s="230"/>
      <c r="AB62" s="230"/>
      <c r="AC62" s="188"/>
    </row>
    <row r="63" spans="2:29" ht="15.75" thickBot="1" x14ac:dyDescent="0.3">
      <c r="B63" s="240"/>
      <c r="C63" s="284"/>
      <c r="D63" s="235"/>
      <c r="E63" s="235"/>
      <c r="F63" s="230"/>
      <c r="G63" s="235"/>
      <c r="H63" s="235"/>
      <c r="I63" s="320"/>
      <c r="J63" s="235"/>
      <c r="K63" s="235"/>
      <c r="L63" s="235"/>
      <c r="M63" s="375"/>
      <c r="N63" s="236"/>
      <c r="O63" s="235"/>
      <c r="P63" s="241"/>
      <c r="Q63" s="239">
        <f t="shared" ca="1" si="0"/>
        <v>0</v>
      </c>
      <c r="R63" s="106">
        <f t="shared" si="1"/>
        <v>0</v>
      </c>
      <c r="S63" s="2">
        <f t="shared" si="2"/>
        <v>0</v>
      </c>
      <c r="T63" s="305"/>
      <c r="U63" s="235"/>
      <c r="V63" s="235"/>
      <c r="W63" s="235"/>
      <c r="X63" s="241"/>
      <c r="Y63" s="79"/>
      <c r="Z63" s="230"/>
      <c r="AA63" s="230"/>
      <c r="AB63" s="230"/>
      <c r="AC63" s="188"/>
    </row>
    <row r="64" spans="2:29" ht="15.75" thickBot="1" x14ac:dyDescent="0.3">
      <c r="B64" s="240"/>
      <c r="C64" s="284"/>
      <c r="D64" s="235"/>
      <c r="E64" s="235"/>
      <c r="F64" s="230"/>
      <c r="G64" s="235"/>
      <c r="H64" s="235"/>
      <c r="I64" s="320"/>
      <c r="J64" s="235"/>
      <c r="K64" s="235"/>
      <c r="L64" s="235"/>
      <c r="M64" s="375"/>
      <c r="N64" s="236"/>
      <c r="O64" s="235"/>
      <c r="P64" s="241"/>
      <c r="Q64" s="239">
        <f t="shared" ca="1" si="0"/>
        <v>0</v>
      </c>
      <c r="R64" s="106">
        <f t="shared" si="1"/>
        <v>0</v>
      </c>
      <c r="S64" s="2">
        <f t="shared" si="2"/>
        <v>0</v>
      </c>
      <c r="T64" s="305"/>
      <c r="U64" s="235"/>
      <c r="V64" s="235"/>
      <c r="W64" s="235"/>
      <c r="X64" s="241"/>
      <c r="Y64" s="79"/>
      <c r="Z64" s="230"/>
      <c r="AA64" s="230"/>
      <c r="AB64" s="230"/>
      <c r="AC64" s="188"/>
    </row>
    <row r="65" spans="2:29" ht="15.75" thickBot="1" x14ac:dyDescent="0.3">
      <c r="B65" s="240"/>
      <c r="C65" s="284"/>
      <c r="D65" s="235"/>
      <c r="E65" s="235"/>
      <c r="F65" s="230"/>
      <c r="G65" s="235"/>
      <c r="H65" s="235"/>
      <c r="I65" s="320"/>
      <c r="J65" s="235"/>
      <c r="K65" s="235"/>
      <c r="L65" s="235"/>
      <c r="M65" s="375"/>
      <c r="N65" s="236"/>
      <c r="O65" s="235"/>
      <c r="P65" s="241"/>
      <c r="Q65" s="239">
        <f t="shared" ca="1" si="0"/>
        <v>0</v>
      </c>
      <c r="R65" s="106">
        <f t="shared" si="1"/>
        <v>0</v>
      </c>
      <c r="S65" s="2">
        <f t="shared" si="2"/>
        <v>0</v>
      </c>
      <c r="T65" s="305"/>
      <c r="U65" s="235"/>
      <c r="V65" s="235"/>
      <c r="W65" s="235"/>
      <c r="X65" s="241"/>
      <c r="Y65" s="79"/>
      <c r="Z65" s="230"/>
      <c r="AA65" s="230"/>
      <c r="AB65" s="230"/>
      <c r="AC65" s="188"/>
    </row>
    <row r="66" spans="2:29" ht="15.75" thickBot="1" x14ac:dyDescent="0.3">
      <c r="B66" s="240"/>
      <c r="C66" s="284"/>
      <c r="D66" s="235"/>
      <c r="E66" s="235"/>
      <c r="F66" s="230"/>
      <c r="G66" s="235"/>
      <c r="H66" s="235"/>
      <c r="I66" s="320"/>
      <c r="J66" s="235"/>
      <c r="K66" s="235"/>
      <c r="L66" s="235"/>
      <c r="M66" s="375"/>
      <c r="N66" s="236"/>
      <c r="O66" s="235"/>
      <c r="P66" s="241"/>
      <c r="Q66" s="239">
        <f t="shared" ca="1" si="0"/>
        <v>0</v>
      </c>
      <c r="R66" s="106">
        <f t="shared" si="1"/>
        <v>0</v>
      </c>
      <c r="S66" s="2">
        <f t="shared" si="2"/>
        <v>0</v>
      </c>
      <c r="T66" s="305"/>
      <c r="U66" s="235"/>
      <c r="V66" s="235"/>
      <c r="W66" s="235"/>
      <c r="X66" s="241"/>
      <c r="Y66" s="79"/>
      <c r="Z66" s="230"/>
      <c r="AA66" s="230"/>
      <c r="AB66" s="230"/>
      <c r="AC66" s="188"/>
    </row>
    <row r="67" spans="2:29" ht="15.75" thickBot="1" x14ac:dyDescent="0.3">
      <c r="B67" s="240"/>
      <c r="C67" s="284"/>
      <c r="D67" s="235"/>
      <c r="E67" s="235"/>
      <c r="F67" s="230"/>
      <c r="G67" s="235"/>
      <c r="H67" s="235"/>
      <c r="I67" s="320"/>
      <c r="J67" s="235"/>
      <c r="K67" s="235"/>
      <c r="L67" s="235"/>
      <c r="M67" s="375"/>
      <c r="N67" s="236"/>
      <c r="O67" s="235"/>
      <c r="P67" s="241"/>
      <c r="Q67" s="239">
        <f t="shared" ca="1" si="0"/>
        <v>0</v>
      </c>
      <c r="R67" s="106">
        <f t="shared" si="1"/>
        <v>0</v>
      </c>
      <c r="S67" s="2">
        <f t="shared" si="2"/>
        <v>0</v>
      </c>
      <c r="T67" s="305"/>
      <c r="U67" s="235"/>
      <c r="V67" s="235"/>
      <c r="W67" s="235"/>
      <c r="X67" s="241"/>
      <c r="Y67" s="79"/>
      <c r="Z67" s="230"/>
      <c r="AA67" s="230"/>
      <c r="AB67" s="230"/>
      <c r="AC67" s="188"/>
    </row>
    <row r="68" spans="2:29" ht="15.75" thickBot="1" x14ac:dyDescent="0.3">
      <c r="B68" s="240"/>
      <c r="C68" s="284"/>
      <c r="D68" s="235"/>
      <c r="E68" s="235"/>
      <c r="F68" s="230"/>
      <c r="G68" s="235"/>
      <c r="H68" s="235"/>
      <c r="I68" s="320"/>
      <c r="J68" s="235"/>
      <c r="K68" s="235"/>
      <c r="L68" s="235"/>
      <c r="M68" s="375"/>
      <c r="N68" s="236"/>
      <c r="O68" s="235"/>
      <c r="P68" s="241"/>
      <c r="Q68" s="239">
        <f t="shared" ca="1" si="0"/>
        <v>0</v>
      </c>
      <c r="R68" s="106">
        <f t="shared" si="1"/>
        <v>0</v>
      </c>
      <c r="S68" s="2">
        <f t="shared" si="2"/>
        <v>0</v>
      </c>
      <c r="T68" s="305"/>
      <c r="U68" s="235"/>
      <c r="V68" s="235"/>
      <c r="W68" s="235"/>
      <c r="X68" s="241"/>
      <c r="Y68" s="79"/>
      <c r="Z68" s="230"/>
      <c r="AA68" s="230"/>
      <c r="AB68" s="230"/>
      <c r="AC68" s="188"/>
    </row>
    <row r="69" spans="2:29" ht="15.75" thickBot="1" x14ac:dyDescent="0.3">
      <c r="B69" s="240"/>
      <c r="C69" s="284"/>
      <c r="D69" s="235"/>
      <c r="E69" s="235"/>
      <c r="F69" s="230"/>
      <c r="G69" s="235"/>
      <c r="H69" s="235"/>
      <c r="I69" s="320"/>
      <c r="J69" s="235"/>
      <c r="K69" s="235"/>
      <c r="L69" s="235"/>
      <c r="M69" s="375"/>
      <c r="N69" s="236"/>
      <c r="O69" s="235"/>
      <c r="P69" s="241"/>
      <c r="Q69" s="239">
        <f t="shared" ca="1" si="0"/>
        <v>0</v>
      </c>
      <c r="R69" s="106">
        <f t="shared" si="1"/>
        <v>0</v>
      </c>
      <c r="S69" s="2">
        <f t="shared" si="2"/>
        <v>0</v>
      </c>
      <c r="T69" s="305"/>
      <c r="U69" s="235"/>
      <c r="V69" s="235"/>
      <c r="W69" s="235"/>
      <c r="X69" s="241"/>
      <c r="Y69" s="79"/>
      <c r="Z69" s="230"/>
      <c r="AA69" s="230"/>
      <c r="AB69" s="230"/>
      <c r="AC69" s="188"/>
    </row>
    <row r="70" spans="2:29" ht="15.75" thickBot="1" x14ac:dyDescent="0.3">
      <c r="B70" s="240"/>
      <c r="C70" s="284"/>
      <c r="D70" s="235"/>
      <c r="E70" s="235"/>
      <c r="F70" s="230"/>
      <c r="G70" s="235"/>
      <c r="H70" s="235"/>
      <c r="I70" s="320"/>
      <c r="J70" s="235"/>
      <c r="K70" s="235"/>
      <c r="L70" s="235"/>
      <c r="M70" s="375"/>
      <c r="N70" s="236"/>
      <c r="O70" s="235"/>
      <c r="P70" s="241"/>
      <c r="Q70" s="239">
        <f t="shared" ca="1" si="0"/>
        <v>0</v>
      </c>
      <c r="R70" s="106">
        <f t="shared" si="1"/>
        <v>0</v>
      </c>
      <c r="S70" s="2">
        <f t="shared" si="2"/>
        <v>0</v>
      </c>
      <c r="T70" s="305"/>
      <c r="U70" s="235"/>
      <c r="V70" s="235"/>
      <c r="W70" s="235"/>
      <c r="X70" s="241"/>
      <c r="Y70" s="79"/>
      <c r="Z70" s="230"/>
      <c r="AA70" s="230"/>
      <c r="AB70" s="230"/>
      <c r="AC70" s="188"/>
    </row>
    <row r="71" spans="2:29" ht="15.75" thickBot="1" x14ac:dyDescent="0.3">
      <c r="B71" s="240"/>
      <c r="C71" s="284"/>
      <c r="D71" s="235"/>
      <c r="E71" s="235"/>
      <c r="F71" s="230"/>
      <c r="G71" s="235"/>
      <c r="H71" s="235"/>
      <c r="I71" s="320"/>
      <c r="J71" s="235"/>
      <c r="K71" s="235"/>
      <c r="L71" s="235"/>
      <c r="M71" s="375"/>
      <c r="N71" s="236"/>
      <c r="O71" s="235"/>
      <c r="P71" s="241"/>
      <c r="Q71" s="239">
        <f t="shared" ca="1" si="0"/>
        <v>0</v>
      </c>
      <c r="R71" s="106">
        <f t="shared" ref="R71:R134" si="3">IF(COUNTBLANK(E71),0,1)</f>
        <v>0</v>
      </c>
      <c r="S71" s="2">
        <f t="shared" si="2"/>
        <v>0</v>
      </c>
      <c r="T71" s="305"/>
      <c r="U71" s="235"/>
      <c r="V71" s="235"/>
      <c r="W71" s="235"/>
      <c r="X71" s="241"/>
      <c r="Y71" s="79"/>
      <c r="Z71" s="230"/>
      <c r="AA71" s="230"/>
      <c r="AB71" s="230"/>
      <c r="AC71" s="188"/>
    </row>
    <row r="72" spans="2:29" ht="15.75" thickBot="1" x14ac:dyDescent="0.3">
      <c r="B72" s="240"/>
      <c r="C72" s="284"/>
      <c r="D72" s="235"/>
      <c r="E72" s="235"/>
      <c r="F72" s="230"/>
      <c r="G72" s="235"/>
      <c r="H72" s="235"/>
      <c r="I72" s="320"/>
      <c r="J72" s="235"/>
      <c r="K72" s="235"/>
      <c r="L72" s="235"/>
      <c r="M72" s="375"/>
      <c r="N72" s="236"/>
      <c r="O72" s="235"/>
      <c r="P72" s="241"/>
      <c r="Q72" s="239">
        <f t="shared" ref="Q72:Q135" ca="1" si="4">IF(N72=100%,0,IF(M72&gt;=TODAY(),0,IF(ISBLANK(M72),0,1)))</f>
        <v>0</v>
      </c>
      <c r="R72" s="106">
        <f t="shared" si="3"/>
        <v>0</v>
      </c>
      <c r="S72" s="2">
        <f t="shared" ref="S72:S135" si="5">IF(AND(R72=1,COUNTBLANK(M72),N72&lt;100%),1,0)</f>
        <v>0</v>
      </c>
      <c r="T72" s="305"/>
      <c r="U72" s="235"/>
      <c r="V72" s="235"/>
      <c r="W72" s="235"/>
      <c r="X72" s="241"/>
      <c r="Y72" s="79"/>
      <c r="Z72" s="230"/>
      <c r="AA72" s="230"/>
      <c r="AB72" s="230"/>
      <c r="AC72" s="188"/>
    </row>
    <row r="73" spans="2:29" ht="15.75" thickBot="1" x14ac:dyDescent="0.3">
      <c r="B73" s="240"/>
      <c r="C73" s="284"/>
      <c r="D73" s="235"/>
      <c r="E73" s="235"/>
      <c r="F73" s="230"/>
      <c r="G73" s="235"/>
      <c r="H73" s="235"/>
      <c r="I73" s="320"/>
      <c r="J73" s="235"/>
      <c r="K73" s="235"/>
      <c r="L73" s="235"/>
      <c r="M73" s="375"/>
      <c r="N73" s="236"/>
      <c r="O73" s="235"/>
      <c r="P73" s="241"/>
      <c r="Q73" s="239">
        <f t="shared" ca="1" si="4"/>
        <v>0</v>
      </c>
      <c r="R73" s="106">
        <f t="shared" si="3"/>
        <v>0</v>
      </c>
      <c r="S73" s="2">
        <f t="shared" si="5"/>
        <v>0</v>
      </c>
      <c r="T73" s="305"/>
      <c r="U73" s="235"/>
      <c r="V73" s="235"/>
      <c r="W73" s="235"/>
      <c r="X73" s="241"/>
      <c r="Y73" s="79"/>
      <c r="Z73" s="230"/>
      <c r="AA73" s="230"/>
      <c r="AB73" s="230"/>
      <c r="AC73" s="188"/>
    </row>
    <row r="74" spans="2:29" ht="15.75" thickBot="1" x14ac:dyDescent="0.3">
      <c r="B74" s="240"/>
      <c r="C74" s="284"/>
      <c r="D74" s="235"/>
      <c r="E74" s="235"/>
      <c r="F74" s="230"/>
      <c r="G74" s="235"/>
      <c r="H74" s="235"/>
      <c r="I74" s="320"/>
      <c r="J74" s="235"/>
      <c r="K74" s="235"/>
      <c r="L74" s="235"/>
      <c r="M74" s="375"/>
      <c r="N74" s="236"/>
      <c r="O74" s="235"/>
      <c r="P74" s="241"/>
      <c r="Q74" s="239">
        <f t="shared" ca="1" si="4"/>
        <v>0</v>
      </c>
      <c r="R74" s="106">
        <f t="shared" si="3"/>
        <v>0</v>
      </c>
      <c r="S74" s="2">
        <f t="shared" si="5"/>
        <v>0</v>
      </c>
      <c r="T74" s="305"/>
      <c r="U74" s="235"/>
      <c r="V74" s="235"/>
      <c r="W74" s="235"/>
      <c r="X74" s="241"/>
      <c r="Y74" s="79"/>
      <c r="Z74" s="230"/>
      <c r="AA74" s="230"/>
      <c r="AB74" s="230"/>
      <c r="AC74" s="188"/>
    </row>
    <row r="75" spans="2:29" ht="15.75" thickBot="1" x14ac:dyDescent="0.3">
      <c r="B75" s="240"/>
      <c r="C75" s="284"/>
      <c r="D75" s="235"/>
      <c r="E75" s="235"/>
      <c r="F75" s="230"/>
      <c r="G75" s="235"/>
      <c r="H75" s="235"/>
      <c r="I75" s="320"/>
      <c r="J75" s="235"/>
      <c r="K75" s="235"/>
      <c r="L75" s="235"/>
      <c r="M75" s="375"/>
      <c r="N75" s="236"/>
      <c r="O75" s="235"/>
      <c r="P75" s="241"/>
      <c r="Q75" s="239">
        <f t="shared" ca="1" si="4"/>
        <v>0</v>
      </c>
      <c r="R75" s="106">
        <f t="shared" si="3"/>
        <v>0</v>
      </c>
      <c r="S75" s="2">
        <f t="shared" si="5"/>
        <v>0</v>
      </c>
      <c r="T75" s="305"/>
      <c r="U75" s="235"/>
      <c r="V75" s="235"/>
      <c r="W75" s="235"/>
      <c r="X75" s="241"/>
      <c r="Y75" s="79"/>
      <c r="Z75" s="230"/>
      <c r="AA75" s="230"/>
      <c r="AB75" s="230"/>
      <c r="AC75" s="188"/>
    </row>
    <row r="76" spans="2:29" ht="15.75" thickBot="1" x14ac:dyDescent="0.3">
      <c r="B76" s="240"/>
      <c r="C76" s="284"/>
      <c r="D76" s="235"/>
      <c r="E76" s="235"/>
      <c r="F76" s="230"/>
      <c r="G76" s="235"/>
      <c r="H76" s="235"/>
      <c r="I76" s="320"/>
      <c r="J76" s="235"/>
      <c r="K76" s="235"/>
      <c r="L76" s="235"/>
      <c r="M76" s="375"/>
      <c r="N76" s="236"/>
      <c r="O76" s="235"/>
      <c r="P76" s="241"/>
      <c r="Q76" s="239">
        <f t="shared" ca="1" si="4"/>
        <v>0</v>
      </c>
      <c r="R76" s="106">
        <f t="shared" si="3"/>
        <v>0</v>
      </c>
      <c r="S76" s="2">
        <f t="shared" si="5"/>
        <v>0</v>
      </c>
      <c r="T76" s="305"/>
      <c r="U76" s="235"/>
      <c r="V76" s="235"/>
      <c r="W76" s="235"/>
      <c r="X76" s="241"/>
      <c r="Y76" s="79"/>
      <c r="Z76" s="230"/>
      <c r="AA76" s="230"/>
      <c r="AB76" s="230"/>
      <c r="AC76" s="188"/>
    </row>
    <row r="77" spans="2:29" ht="15.75" thickBot="1" x14ac:dyDescent="0.3">
      <c r="B77" s="240"/>
      <c r="C77" s="284"/>
      <c r="D77" s="235"/>
      <c r="E77" s="235"/>
      <c r="F77" s="230"/>
      <c r="G77" s="235"/>
      <c r="H77" s="235"/>
      <c r="I77" s="320"/>
      <c r="J77" s="235"/>
      <c r="K77" s="235"/>
      <c r="L77" s="235"/>
      <c r="M77" s="375"/>
      <c r="N77" s="236"/>
      <c r="O77" s="235"/>
      <c r="P77" s="241"/>
      <c r="Q77" s="239">
        <f t="shared" ca="1" si="4"/>
        <v>0</v>
      </c>
      <c r="R77" s="106">
        <f t="shared" si="3"/>
        <v>0</v>
      </c>
      <c r="S77" s="2">
        <f t="shared" si="5"/>
        <v>0</v>
      </c>
      <c r="T77" s="305"/>
      <c r="U77" s="235"/>
      <c r="V77" s="235"/>
      <c r="W77" s="235"/>
      <c r="X77" s="241"/>
      <c r="Y77" s="79"/>
      <c r="Z77" s="230"/>
      <c r="AA77" s="230"/>
      <c r="AB77" s="230"/>
      <c r="AC77" s="188"/>
    </row>
    <row r="78" spans="2:29" ht="15.75" thickBot="1" x14ac:dyDescent="0.3">
      <c r="B78" s="240"/>
      <c r="C78" s="284"/>
      <c r="D78" s="235"/>
      <c r="E78" s="235"/>
      <c r="F78" s="230"/>
      <c r="G78" s="235"/>
      <c r="H78" s="235"/>
      <c r="I78" s="320"/>
      <c r="J78" s="235"/>
      <c r="K78" s="235"/>
      <c r="L78" s="235"/>
      <c r="M78" s="375"/>
      <c r="N78" s="236"/>
      <c r="O78" s="235"/>
      <c r="P78" s="241"/>
      <c r="Q78" s="239">
        <f t="shared" ca="1" si="4"/>
        <v>0</v>
      </c>
      <c r="R78" s="106">
        <f t="shared" si="3"/>
        <v>0</v>
      </c>
      <c r="S78" s="2">
        <f t="shared" si="5"/>
        <v>0</v>
      </c>
      <c r="T78" s="305"/>
      <c r="U78" s="235"/>
      <c r="V78" s="235"/>
      <c r="W78" s="235"/>
      <c r="X78" s="241"/>
      <c r="Y78" s="79"/>
      <c r="Z78" s="230"/>
      <c r="AA78" s="230"/>
      <c r="AB78" s="230"/>
      <c r="AC78" s="188"/>
    </row>
    <row r="79" spans="2:29" ht="15.75" thickBot="1" x14ac:dyDescent="0.3">
      <c r="B79" s="240"/>
      <c r="C79" s="284"/>
      <c r="D79" s="235"/>
      <c r="E79" s="235"/>
      <c r="F79" s="230"/>
      <c r="G79" s="235"/>
      <c r="H79" s="235"/>
      <c r="I79" s="320"/>
      <c r="J79" s="235"/>
      <c r="K79" s="235"/>
      <c r="L79" s="235"/>
      <c r="M79" s="375"/>
      <c r="N79" s="236"/>
      <c r="O79" s="235"/>
      <c r="P79" s="241"/>
      <c r="Q79" s="239">
        <f t="shared" ca="1" si="4"/>
        <v>0</v>
      </c>
      <c r="R79" s="106">
        <f t="shared" si="3"/>
        <v>0</v>
      </c>
      <c r="S79" s="2">
        <f t="shared" si="5"/>
        <v>0</v>
      </c>
      <c r="T79" s="305"/>
      <c r="U79" s="235"/>
      <c r="V79" s="235"/>
      <c r="W79" s="235"/>
      <c r="X79" s="241"/>
      <c r="Y79" s="79"/>
      <c r="Z79" s="230"/>
      <c r="AA79" s="230"/>
      <c r="AB79" s="230"/>
      <c r="AC79" s="188"/>
    </row>
    <row r="80" spans="2:29" ht="15.75" thickBot="1" x14ac:dyDescent="0.3">
      <c r="B80" s="240"/>
      <c r="C80" s="284"/>
      <c r="D80" s="235"/>
      <c r="E80" s="235"/>
      <c r="F80" s="230"/>
      <c r="G80" s="235"/>
      <c r="H80" s="235"/>
      <c r="I80" s="320"/>
      <c r="J80" s="235"/>
      <c r="K80" s="235"/>
      <c r="L80" s="235"/>
      <c r="M80" s="375"/>
      <c r="N80" s="236"/>
      <c r="O80" s="235"/>
      <c r="P80" s="241"/>
      <c r="Q80" s="239">
        <f t="shared" ca="1" si="4"/>
        <v>0</v>
      </c>
      <c r="R80" s="106">
        <f t="shared" si="3"/>
        <v>0</v>
      </c>
      <c r="S80" s="2">
        <f t="shared" si="5"/>
        <v>0</v>
      </c>
      <c r="T80" s="305"/>
      <c r="U80" s="235"/>
      <c r="V80" s="235"/>
      <c r="W80" s="235"/>
      <c r="X80" s="241"/>
      <c r="Y80" s="79"/>
      <c r="Z80" s="230"/>
      <c r="AA80" s="230"/>
      <c r="AB80" s="230"/>
      <c r="AC80" s="188"/>
    </row>
    <row r="81" spans="2:29" ht="15.75" thickBot="1" x14ac:dyDescent="0.3">
      <c r="B81" s="240"/>
      <c r="C81" s="284"/>
      <c r="D81" s="235"/>
      <c r="E81" s="235"/>
      <c r="F81" s="230"/>
      <c r="G81" s="235"/>
      <c r="H81" s="235"/>
      <c r="I81" s="320"/>
      <c r="J81" s="235"/>
      <c r="K81" s="235"/>
      <c r="L81" s="235"/>
      <c r="M81" s="375"/>
      <c r="N81" s="236"/>
      <c r="O81" s="235"/>
      <c r="P81" s="241"/>
      <c r="Q81" s="239">
        <f t="shared" ca="1" si="4"/>
        <v>0</v>
      </c>
      <c r="R81" s="106">
        <f t="shared" si="3"/>
        <v>0</v>
      </c>
      <c r="S81" s="2">
        <f t="shared" si="5"/>
        <v>0</v>
      </c>
      <c r="T81" s="305"/>
      <c r="U81" s="235"/>
      <c r="V81" s="235"/>
      <c r="W81" s="235"/>
      <c r="X81" s="241"/>
      <c r="Y81" s="79"/>
      <c r="Z81" s="230"/>
      <c r="AA81" s="230"/>
      <c r="AB81" s="230"/>
      <c r="AC81" s="188"/>
    </row>
    <row r="82" spans="2:29" ht="15.75" thickBot="1" x14ac:dyDescent="0.3">
      <c r="B82" s="240"/>
      <c r="C82" s="284"/>
      <c r="D82" s="235"/>
      <c r="E82" s="235"/>
      <c r="F82" s="230"/>
      <c r="G82" s="235"/>
      <c r="H82" s="235"/>
      <c r="I82" s="320"/>
      <c r="J82" s="235"/>
      <c r="K82" s="235"/>
      <c r="L82" s="235"/>
      <c r="M82" s="375"/>
      <c r="N82" s="236"/>
      <c r="O82" s="235"/>
      <c r="P82" s="241"/>
      <c r="Q82" s="239">
        <f t="shared" ca="1" si="4"/>
        <v>0</v>
      </c>
      <c r="R82" s="106">
        <f t="shared" si="3"/>
        <v>0</v>
      </c>
      <c r="S82" s="2">
        <f t="shared" si="5"/>
        <v>0</v>
      </c>
      <c r="T82" s="305"/>
      <c r="U82" s="235"/>
      <c r="V82" s="235"/>
      <c r="W82" s="235"/>
      <c r="X82" s="241"/>
      <c r="Y82" s="79"/>
      <c r="Z82" s="230"/>
      <c r="AA82" s="230"/>
      <c r="AB82" s="230"/>
      <c r="AC82" s="188"/>
    </row>
    <row r="83" spans="2:29" ht="15.75" thickBot="1" x14ac:dyDescent="0.3">
      <c r="B83" s="240"/>
      <c r="C83" s="284"/>
      <c r="D83" s="235"/>
      <c r="E83" s="235"/>
      <c r="F83" s="230"/>
      <c r="G83" s="235"/>
      <c r="H83" s="235"/>
      <c r="I83" s="320"/>
      <c r="J83" s="235"/>
      <c r="K83" s="235"/>
      <c r="L83" s="235"/>
      <c r="M83" s="375"/>
      <c r="N83" s="236"/>
      <c r="O83" s="235"/>
      <c r="P83" s="241"/>
      <c r="Q83" s="239">
        <f t="shared" ca="1" si="4"/>
        <v>0</v>
      </c>
      <c r="R83" s="106">
        <f t="shared" si="3"/>
        <v>0</v>
      </c>
      <c r="S83" s="2">
        <f t="shared" si="5"/>
        <v>0</v>
      </c>
      <c r="T83" s="305"/>
      <c r="U83" s="235"/>
      <c r="V83" s="235"/>
      <c r="W83" s="235"/>
      <c r="X83" s="241"/>
      <c r="Y83" s="79"/>
      <c r="Z83" s="230"/>
      <c r="AA83" s="230"/>
      <c r="AB83" s="230"/>
      <c r="AC83" s="188"/>
    </row>
    <row r="84" spans="2:29" ht="15.75" thickBot="1" x14ac:dyDescent="0.3">
      <c r="B84" s="240"/>
      <c r="C84" s="284"/>
      <c r="D84" s="235"/>
      <c r="E84" s="235"/>
      <c r="F84" s="230"/>
      <c r="G84" s="235"/>
      <c r="H84" s="235"/>
      <c r="I84" s="320"/>
      <c r="J84" s="235"/>
      <c r="K84" s="235"/>
      <c r="L84" s="235"/>
      <c r="M84" s="375"/>
      <c r="N84" s="236"/>
      <c r="O84" s="235"/>
      <c r="P84" s="241"/>
      <c r="Q84" s="239">
        <f t="shared" ca="1" si="4"/>
        <v>0</v>
      </c>
      <c r="R84" s="106">
        <f t="shared" si="3"/>
        <v>0</v>
      </c>
      <c r="S84" s="2">
        <f t="shared" si="5"/>
        <v>0</v>
      </c>
      <c r="T84" s="305"/>
      <c r="U84" s="235"/>
      <c r="V84" s="235"/>
      <c r="W84" s="235"/>
      <c r="X84" s="241"/>
      <c r="Y84" s="79"/>
      <c r="Z84" s="230"/>
      <c r="AA84" s="230"/>
      <c r="AB84" s="230"/>
      <c r="AC84" s="188"/>
    </row>
    <row r="85" spans="2:29" ht="15.75" thickBot="1" x14ac:dyDescent="0.3">
      <c r="B85" s="240"/>
      <c r="C85" s="284"/>
      <c r="D85" s="235"/>
      <c r="E85" s="235"/>
      <c r="F85" s="230"/>
      <c r="G85" s="235"/>
      <c r="H85" s="235"/>
      <c r="I85" s="320"/>
      <c r="J85" s="235"/>
      <c r="K85" s="235"/>
      <c r="L85" s="235"/>
      <c r="M85" s="375"/>
      <c r="N85" s="236"/>
      <c r="O85" s="235"/>
      <c r="P85" s="241"/>
      <c r="Q85" s="239">
        <f t="shared" ca="1" si="4"/>
        <v>0</v>
      </c>
      <c r="R85" s="106">
        <f t="shared" si="3"/>
        <v>0</v>
      </c>
      <c r="S85" s="2">
        <f t="shared" si="5"/>
        <v>0</v>
      </c>
      <c r="T85" s="305"/>
      <c r="U85" s="235"/>
      <c r="V85" s="235"/>
      <c r="W85" s="235"/>
      <c r="X85" s="241"/>
      <c r="Y85" s="79"/>
      <c r="Z85" s="230"/>
      <c r="AA85" s="230"/>
      <c r="AB85" s="230"/>
      <c r="AC85" s="188"/>
    </row>
    <row r="86" spans="2:29" ht="15.75" thickBot="1" x14ac:dyDescent="0.3">
      <c r="B86" s="240"/>
      <c r="C86" s="284"/>
      <c r="D86" s="235"/>
      <c r="E86" s="235"/>
      <c r="F86" s="230"/>
      <c r="G86" s="235"/>
      <c r="H86" s="235"/>
      <c r="I86" s="320"/>
      <c r="J86" s="235"/>
      <c r="K86" s="235"/>
      <c r="L86" s="235"/>
      <c r="M86" s="375"/>
      <c r="N86" s="236"/>
      <c r="O86" s="235"/>
      <c r="P86" s="241"/>
      <c r="Q86" s="239">
        <f t="shared" ca="1" si="4"/>
        <v>0</v>
      </c>
      <c r="R86" s="106">
        <f t="shared" si="3"/>
        <v>0</v>
      </c>
      <c r="S86" s="2">
        <f t="shared" si="5"/>
        <v>0</v>
      </c>
      <c r="T86" s="305"/>
      <c r="U86" s="235"/>
      <c r="V86" s="235"/>
      <c r="W86" s="235"/>
      <c r="X86" s="241"/>
      <c r="Y86" s="79"/>
      <c r="Z86" s="230"/>
      <c r="AA86" s="230"/>
      <c r="AB86" s="230"/>
      <c r="AC86" s="188"/>
    </row>
    <row r="87" spans="2:29" ht="15.75" thickBot="1" x14ac:dyDescent="0.3">
      <c r="B87" s="240"/>
      <c r="C87" s="284"/>
      <c r="D87" s="235"/>
      <c r="E87" s="235"/>
      <c r="F87" s="230"/>
      <c r="G87" s="235"/>
      <c r="H87" s="235"/>
      <c r="I87" s="320"/>
      <c r="J87" s="235"/>
      <c r="K87" s="235"/>
      <c r="L87" s="235"/>
      <c r="M87" s="375"/>
      <c r="N87" s="236"/>
      <c r="O87" s="235"/>
      <c r="P87" s="241"/>
      <c r="Q87" s="239">
        <f t="shared" ca="1" si="4"/>
        <v>0</v>
      </c>
      <c r="R87" s="106">
        <f t="shared" si="3"/>
        <v>0</v>
      </c>
      <c r="S87" s="2">
        <f t="shared" si="5"/>
        <v>0</v>
      </c>
      <c r="T87" s="305"/>
      <c r="U87" s="235"/>
      <c r="V87" s="235"/>
      <c r="W87" s="235"/>
      <c r="X87" s="241"/>
      <c r="Y87" s="79"/>
      <c r="Z87" s="230"/>
      <c r="AA87" s="230"/>
      <c r="AB87" s="230"/>
      <c r="AC87" s="188"/>
    </row>
    <row r="88" spans="2:29" ht="15.75" thickBot="1" x14ac:dyDescent="0.3">
      <c r="B88" s="240"/>
      <c r="C88" s="284"/>
      <c r="D88" s="235"/>
      <c r="E88" s="235"/>
      <c r="F88" s="230"/>
      <c r="G88" s="235"/>
      <c r="H88" s="235"/>
      <c r="I88" s="320"/>
      <c r="J88" s="235"/>
      <c r="K88" s="235"/>
      <c r="L88" s="235"/>
      <c r="M88" s="375"/>
      <c r="N88" s="236"/>
      <c r="O88" s="235"/>
      <c r="P88" s="241"/>
      <c r="Q88" s="239">
        <f t="shared" ca="1" si="4"/>
        <v>0</v>
      </c>
      <c r="R88" s="106">
        <f t="shared" si="3"/>
        <v>0</v>
      </c>
      <c r="S88" s="2">
        <f t="shared" si="5"/>
        <v>0</v>
      </c>
      <c r="T88" s="305"/>
      <c r="U88" s="235"/>
      <c r="V88" s="235"/>
      <c r="W88" s="235"/>
      <c r="X88" s="241"/>
      <c r="Y88" s="79"/>
      <c r="Z88" s="230"/>
      <c r="AA88" s="230"/>
      <c r="AB88" s="230"/>
      <c r="AC88" s="188"/>
    </row>
    <row r="89" spans="2:29" ht="15.75" thickBot="1" x14ac:dyDescent="0.3">
      <c r="B89" s="240"/>
      <c r="C89" s="284"/>
      <c r="D89" s="235"/>
      <c r="E89" s="235"/>
      <c r="F89" s="230"/>
      <c r="G89" s="235"/>
      <c r="H89" s="235"/>
      <c r="I89" s="320"/>
      <c r="J89" s="235"/>
      <c r="K89" s="235"/>
      <c r="L89" s="235"/>
      <c r="M89" s="375"/>
      <c r="N89" s="236"/>
      <c r="O89" s="235"/>
      <c r="P89" s="241"/>
      <c r="Q89" s="239">
        <f t="shared" ca="1" si="4"/>
        <v>0</v>
      </c>
      <c r="R89" s="106">
        <f t="shared" si="3"/>
        <v>0</v>
      </c>
      <c r="S89" s="2">
        <f t="shared" si="5"/>
        <v>0</v>
      </c>
      <c r="T89" s="305"/>
      <c r="U89" s="235"/>
      <c r="V89" s="235"/>
      <c r="W89" s="235"/>
      <c r="X89" s="241"/>
      <c r="Y89" s="79"/>
      <c r="Z89" s="230"/>
      <c r="AA89" s="230"/>
      <c r="AB89" s="230"/>
      <c r="AC89" s="188"/>
    </row>
    <row r="90" spans="2:29" ht="15.75" thickBot="1" x14ac:dyDescent="0.3">
      <c r="B90" s="240"/>
      <c r="C90" s="284"/>
      <c r="D90" s="235"/>
      <c r="E90" s="235"/>
      <c r="F90" s="230"/>
      <c r="G90" s="235"/>
      <c r="H90" s="235"/>
      <c r="I90" s="320"/>
      <c r="J90" s="235"/>
      <c r="K90" s="235"/>
      <c r="L90" s="235"/>
      <c r="M90" s="375"/>
      <c r="N90" s="236"/>
      <c r="O90" s="235"/>
      <c r="P90" s="241"/>
      <c r="Q90" s="239">
        <f t="shared" ca="1" si="4"/>
        <v>0</v>
      </c>
      <c r="R90" s="106">
        <f t="shared" si="3"/>
        <v>0</v>
      </c>
      <c r="S90" s="2">
        <f t="shared" si="5"/>
        <v>0</v>
      </c>
      <c r="T90" s="305"/>
      <c r="U90" s="235"/>
      <c r="V90" s="235"/>
      <c r="W90" s="235"/>
      <c r="X90" s="241"/>
      <c r="Y90" s="79"/>
      <c r="Z90" s="230"/>
      <c r="AA90" s="230"/>
      <c r="AB90" s="230"/>
      <c r="AC90" s="188"/>
    </row>
    <row r="91" spans="2:29" ht="15.75" thickBot="1" x14ac:dyDescent="0.3">
      <c r="B91" s="240"/>
      <c r="C91" s="284"/>
      <c r="D91" s="235"/>
      <c r="E91" s="235"/>
      <c r="F91" s="230"/>
      <c r="G91" s="235"/>
      <c r="H91" s="235"/>
      <c r="I91" s="320"/>
      <c r="J91" s="235"/>
      <c r="K91" s="235"/>
      <c r="L91" s="235"/>
      <c r="M91" s="375"/>
      <c r="N91" s="236"/>
      <c r="O91" s="235"/>
      <c r="P91" s="241"/>
      <c r="Q91" s="239">
        <f t="shared" ca="1" si="4"/>
        <v>0</v>
      </c>
      <c r="R91" s="106">
        <f t="shared" si="3"/>
        <v>0</v>
      </c>
      <c r="S91" s="2">
        <f t="shared" si="5"/>
        <v>0</v>
      </c>
      <c r="T91" s="305"/>
      <c r="U91" s="235"/>
      <c r="V91" s="235"/>
      <c r="W91" s="235"/>
      <c r="X91" s="241"/>
      <c r="Y91" s="79"/>
      <c r="Z91" s="230"/>
      <c r="AA91" s="230"/>
      <c r="AB91" s="230"/>
      <c r="AC91" s="188"/>
    </row>
    <row r="92" spans="2:29" ht="15.75" thickBot="1" x14ac:dyDescent="0.3">
      <c r="B92" s="240"/>
      <c r="C92" s="284"/>
      <c r="D92" s="235"/>
      <c r="E92" s="235"/>
      <c r="F92" s="230"/>
      <c r="G92" s="235"/>
      <c r="H92" s="235"/>
      <c r="I92" s="320"/>
      <c r="J92" s="235"/>
      <c r="K92" s="235"/>
      <c r="L92" s="235"/>
      <c r="M92" s="375"/>
      <c r="N92" s="236"/>
      <c r="O92" s="235"/>
      <c r="P92" s="241"/>
      <c r="Q92" s="239">
        <f t="shared" ca="1" si="4"/>
        <v>0</v>
      </c>
      <c r="R92" s="106">
        <f t="shared" si="3"/>
        <v>0</v>
      </c>
      <c r="S92" s="2">
        <f t="shared" si="5"/>
        <v>0</v>
      </c>
      <c r="T92" s="305"/>
      <c r="U92" s="235"/>
      <c r="V92" s="235"/>
      <c r="W92" s="235"/>
      <c r="X92" s="241"/>
      <c r="Y92" s="79"/>
      <c r="Z92" s="230"/>
      <c r="AA92" s="230"/>
      <c r="AB92" s="230"/>
      <c r="AC92" s="188"/>
    </row>
    <row r="93" spans="2:29" ht="15.75" thickBot="1" x14ac:dyDescent="0.3">
      <c r="B93" s="240"/>
      <c r="C93" s="284"/>
      <c r="D93" s="235"/>
      <c r="E93" s="235"/>
      <c r="F93" s="230"/>
      <c r="G93" s="235"/>
      <c r="H93" s="235"/>
      <c r="I93" s="320"/>
      <c r="J93" s="235"/>
      <c r="K93" s="235"/>
      <c r="L93" s="235"/>
      <c r="M93" s="375"/>
      <c r="N93" s="236"/>
      <c r="O93" s="235"/>
      <c r="P93" s="241"/>
      <c r="Q93" s="239">
        <f t="shared" ca="1" si="4"/>
        <v>0</v>
      </c>
      <c r="R93" s="106">
        <f t="shared" si="3"/>
        <v>0</v>
      </c>
      <c r="S93" s="2">
        <f t="shared" si="5"/>
        <v>0</v>
      </c>
      <c r="T93" s="305"/>
      <c r="U93" s="235"/>
      <c r="V93" s="235"/>
      <c r="W93" s="235"/>
      <c r="X93" s="241"/>
      <c r="Y93" s="79"/>
      <c r="Z93" s="230"/>
      <c r="AA93" s="230"/>
      <c r="AB93" s="230"/>
      <c r="AC93" s="188"/>
    </row>
    <row r="94" spans="2:29" ht="15.75" thickBot="1" x14ac:dyDescent="0.3">
      <c r="B94" s="240"/>
      <c r="C94" s="284"/>
      <c r="D94" s="235"/>
      <c r="E94" s="235"/>
      <c r="F94" s="230"/>
      <c r="G94" s="235"/>
      <c r="H94" s="235"/>
      <c r="I94" s="320"/>
      <c r="J94" s="235"/>
      <c r="K94" s="235"/>
      <c r="L94" s="235"/>
      <c r="M94" s="375"/>
      <c r="N94" s="236"/>
      <c r="O94" s="235"/>
      <c r="P94" s="241"/>
      <c r="Q94" s="239">
        <f t="shared" ca="1" si="4"/>
        <v>0</v>
      </c>
      <c r="R94" s="106">
        <f t="shared" si="3"/>
        <v>0</v>
      </c>
      <c r="S94" s="2">
        <f t="shared" si="5"/>
        <v>0</v>
      </c>
      <c r="T94" s="305"/>
      <c r="U94" s="235"/>
      <c r="V94" s="235"/>
      <c r="W94" s="235"/>
      <c r="X94" s="241"/>
      <c r="Y94" s="79"/>
      <c r="Z94" s="230"/>
      <c r="AA94" s="230"/>
      <c r="AB94" s="230"/>
      <c r="AC94" s="188"/>
    </row>
    <row r="95" spans="2:29" ht="15.75" thickBot="1" x14ac:dyDescent="0.3">
      <c r="B95" s="240"/>
      <c r="C95" s="284"/>
      <c r="D95" s="235"/>
      <c r="E95" s="235"/>
      <c r="F95" s="230"/>
      <c r="G95" s="235"/>
      <c r="H95" s="235"/>
      <c r="I95" s="320"/>
      <c r="J95" s="235"/>
      <c r="K95" s="235"/>
      <c r="L95" s="235"/>
      <c r="M95" s="375"/>
      <c r="N95" s="236"/>
      <c r="O95" s="235"/>
      <c r="P95" s="241"/>
      <c r="Q95" s="239">
        <f t="shared" ca="1" si="4"/>
        <v>0</v>
      </c>
      <c r="R95" s="106">
        <f t="shared" si="3"/>
        <v>0</v>
      </c>
      <c r="S95" s="2">
        <f t="shared" si="5"/>
        <v>0</v>
      </c>
      <c r="T95" s="305"/>
      <c r="U95" s="235"/>
      <c r="V95" s="235"/>
      <c r="W95" s="235"/>
      <c r="X95" s="241"/>
      <c r="Y95" s="79"/>
      <c r="Z95" s="230"/>
      <c r="AA95" s="230"/>
      <c r="AB95" s="230"/>
      <c r="AC95" s="188"/>
    </row>
    <row r="96" spans="2:29" ht="15.75" thickBot="1" x14ac:dyDescent="0.3">
      <c r="B96" s="240"/>
      <c r="C96" s="284"/>
      <c r="D96" s="235"/>
      <c r="E96" s="235"/>
      <c r="F96" s="230"/>
      <c r="G96" s="235"/>
      <c r="H96" s="235"/>
      <c r="I96" s="320"/>
      <c r="J96" s="235"/>
      <c r="K96" s="235"/>
      <c r="L96" s="235"/>
      <c r="M96" s="375"/>
      <c r="N96" s="236"/>
      <c r="O96" s="235"/>
      <c r="P96" s="241"/>
      <c r="Q96" s="239">
        <f t="shared" ca="1" si="4"/>
        <v>0</v>
      </c>
      <c r="R96" s="106">
        <f t="shared" si="3"/>
        <v>0</v>
      </c>
      <c r="S96" s="2">
        <f t="shared" si="5"/>
        <v>0</v>
      </c>
      <c r="T96" s="305"/>
      <c r="U96" s="235"/>
      <c r="V96" s="235"/>
      <c r="W96" s="235"/>
      <c r="X96" s="241"/>
      <c r="Y96" s="79"/>
      <c r="Z96" s="230"/>
      <c r="AA96" s="230"/>
      <c r="AB96" s="230"/>
      <c r="AC96" s="188"/>
    </row>
    <row r="97" spans="2:29" ht="15.75" thickBot="1" x14ac:dyDescent="0.3">
      <c r="B97" s="240"/>
      <c r="C97" s="284"/>
      <c r="D97" s="235"/>
      <c r="E97" s="235"/>
      <c r="F97" s="230"/>
      <c r="G97" s="235"/>
      <c r="H97" s="235"/>
      <c r="I97" s="320"/>
      <c r="J97" s="235"/>
      <c r="K97" s="235"/>
      <c r="L97" s="235"/>
      <c r="M97" s="375"/>
      <c r="N97" s="236"/>
      <c r="O97" s="235"/>
      <c r="P97" s="241"/>
      <c r="Q97" s="239">
        <f t="shared" ca="1" si="4"/>
        <v>0</v>
      </c>
      <c r="R97" s="106">
        <f t="shared" si="3"/>
        <v>0</v>
      </c>
      <c r="S97" s="2">
        <f t="shared" si="5"/>
        <v>0</v>
      </c>
      <c r="T97" s="305"/>
      <c r="U97" s="235"/>
      <c r="V97" s="235"/>
      <c r="W97" s="235"/>
      <c r="X97" s="241"/>
      <c r="Y97" s="79"/>
      <c r="Z97" s="230"/>
      <c r="AA97" s="230"/>
      <c r="AB97" s="230"/>
      <c r="AC97" s="188"/>
    </row>
    <row r="98" spans="2:29" ht="15.75" thickBot="1" x14ac:dyDescent="0.3">
      <c r="B98" s="240"/>
      <c r="C98" s="284"/>
      <c r="D98" s="235"/>
      <c r="E98" s="235"/>
      <c r="F98" s="230"/>
      <c r="G98" s="235"/>
      <c r="H98" s="235"/>
      <c r="I98" s="320"/>
      <c r="J98" s="235"/>
      <c r="K98" s="235"/>
      <c r="L98" s="235"/>
      <c r="M98" s="375"/>
      <c r="N98" s="236"/>
      <c r="O98" s="235"/>
      <c r="P98" s="241"/>
      <c r="Q98" s="239">
        <f t="shared" ca="1" si="4"/>
        <v>0</v>
      </c>
      <c r="R98" s="106">
        <f t="shared" si="3"/>
        <v>0</v>
      </c>
      <c r="S98" s="2">
        <f t="shared" si="5"/>
        <v>0</v>
      </c>
      <c r="T98" s="305"/>
      <c r="U98" s="235"/>
      <c r="V98" s="235"/>
      <c r="W98" s="235"/>
      <c r="X98" s="241"/>
      <c r="Y98" s="79"/>
      <c r="Z98" s="230"/>
      <c r="AA98" s="230"/>
      <c r="AB98" s="230"/>
      <c r="AC98" s="188"/>
    </row>
    <row r="99" spans="2:29" ht="15.75" thickBot="1" x14ac:dyDescent="0.3">
      <c r="B99" s="240"/>
      <c r="C99" s="284"/>
      <c r="D99" s="235"/>
      <c r="E99" s="235"/>
      <c r="F99" s="230"/>
      <c r="G99" s="235"/>
      <c r="H99" s="235"/>
      <c r="I99" s="320"/>
      <c r="J99" s="235"/>
      <c r="K99" s="235"/>
      <c r="L99" s="235"/>
      <c r="M99" s="375"/>
      <c r="N99" s="236"/>
      <c r="O99" s="235"/>
      <c r="P99" s="241"/>
      <c r="Q99" s="239">
        <f t="shared" ca="1" si="4"/>
        <v>0</v>
      </c>
      <c r="R99" s="106">
        <f t="shared" si="3"/>
        <v>0</v>
      </c>
      <c r="S99" s="2">
        <f t="shared" si="5"/>
        <v>0</v>
      </c>
      <c r="T99" s="305"/>
      <c r="U99" s="235"/>
      <c r="V99" s="235"/>
      <c r="W99" s="235"/>
      <c r="X99" s="241"/>
      <c r="Y99" s="79"/>
      <c r="Z99" s="230"/>
      <c r="AA99" s="230"/>
      <c r="AB99" s="230"/>
      <c r="AC99" s="188"/>
    </row>
    <row r="100" spans="2:29" ht="15.75" thickBot="1" x14ac:dyDescent="0.3">
      <c r="B100" s="240"/>
      <c r="C100" s="284"/>
      <c r="D100" s="235"/>
      <c r="E100" s="235"/>
      <c r="F100" s="230"/>
      <c r="G100" s="235"/>
      <c r="H100" s="235"/>
      <c r="I100" s="320"/>
      <c r="J100" s="235"/>
      <c r="K100" s="235"/>
      <c r="L100" s="235"/>
      <c r="M100" s="375"/>
      <c r="N100" s="236"/>
      <c r="O100" s="235"/>
      <c r="P100" s="241"/>
      <c r="Q100" s="239">
        <f t="shared" ca="1" si="4"/>
        <v>0</v>
      </c>
      <c r="R100" s="106">
        <f t="shared" si="3"/>
        <v>0</v>
      </c>
      <c r="S100" s="2">
        <f t="shared" si="5"/>
        <v>0</v>
      </c>
      <c r="T100" s="305"/>
      <c r="U100" s="235"/>
      <c r="V100" s="235"/>
      <c r="W100" s="235"/>
      <c r="X100" s="241"/>
      <c r="Y100" s="79"/>
      <c r="Z100" s="230"/>
      <c r="AA100" s="230"/>
      <c r="AB100" s="230"/>
      <c r="AC100" s="188"/>
    </row>
    <row r="101" spans="2:29" ht="15.75" thickBot="1" x14ac:dyDescent="0.3">
      <c r="B101" s="240"/>
      <c r="C101" s="284"/>
      <c r="D101" s="235"/>
      <c r="E101" s="235"/>
      <c r="F101" s="230"/>
      <c r="G101" s="235"/>
      <c r="H101" s="235"/>
      <c r="I101" s="320"/>
      <c r="J101" s="235"/>
      <c r="K101" s="235"/>
      <c r="L101" s="235"/>
      <c r="M101" s="375"/>
      <c r="N101" s="236"/>
      <c r="O101" s="235"/>
      <c r="P101" s="241"/>
      <c r="Q101" s="239">
        <f t="shared" ca="1" si="4"/>
        <v>0</v>
      </c>
      <c r="R101" s="106">
        <f t="shared" si="3"/>
        <v>0</v>
      </c>
      <c r="S101" s="2">
        <f t="shared" si="5"/>
        <v>0</v>
      </c>
      <c r="T101" s="305"/>
      <c r="U101" s="235"/>
      <c r="V101" s="235"/>
      <c r="W101" s="235"/>
      <c r="X101" s="241"/>
      <c r="Y101" s="79"/>
      <c r="Z101" s="230"/>
      <c r="AA101" s="230"/>
      <c r="AB101" s="230"/>
      <c r="AC101" s="188"/>
    </row>
    <row r="102" spans="2:29" ht="15.75" thickBot="1" x14ac:dyDescent="0.3">
      <c r="B102" s="240"/>
      <c r="C102" s="284"/>
      <c r="D102" s="235"/>
      <c r="E102" s="235"/>
      <c r="F102" s="230"/>
      <c r="G102" s="235"/>
      <c r="H102" s="235"/>
      <c r="I102" s="320"/>
      <c r="J102" s="235"/>
      <c r="K102" s="235"/>
      <c r="L102" s="235"/>
      <c r="M102" s="375"/>
      <c r="N102" s="236"/>
      <c r="O102" s="235"/>
      <c r="P102" s="241"/>
      <c r="Q102" s="239">
        <f t="shared" ca="1" si="4"/>
        <v>0</v>
      </c>
      <c r="R102" s="106">
        <f t="shared" si="3"/>
        <v>0</v>
      </c>
      <c r="S102" s="2">
        <f t="shared" si="5"/>
        <v>0</v>
      </c>
      <c r="T102" s="305"/>
      <c r="U102" s="235"/>
      <c r="V102" s="235"/>
      <c r="W102" s="235"/>
      <c r="X102" s="241"/>
      <c r="Y102" s="79"/>
      <c r="Z102" s="230"/>
      <c r="AA102" s="230"/>
      <c r="AB102" s="230"/>
      <c r="AC102" s="188"/>
    </row>
    <row r="103" spans="2:29" ht="15.75" thickBot="1" x14ac:dyDescent="0.3">
      <c r="B103" s="240"/>
      <c r="C103" s="284"/>
      <c r="D103" s="235"/>
      <c r="E103" s="235"/>
      <c r="F103" s="230"/>
      <c r="G103" s="235"/>
      <c r="H103" s="235"/>
      <c r="I103" s="320"/>
      <c r="J103" s="235"/>
      <c r="K103" s="235"/>
      <c r="L103" s="235"/>
      <c r="M103" s="375"/>
      <c r="N103" s="236"/>
      <c r="O103" s="235"/>
      <c r="P103" s="241"/>
      <c r="Q103" s="239">
        <f t="shared" ca="1" si="4"/>
        <v>0</v>
      </c>
      <c r="R103" s="106">
        <f t="shared" si="3"/>
        <v>0</v>
      </c>
      <c r="S103" s="2">
        <f t="shared" si="5"/>
        <v>0</v>
      </c>
      <c r="T103" s="305"/>
      <c r="U103" s="235"/>
      <c r="V103" s="235"/>
      <c r="W103" s="235"/>
      <c r="X103" s="241"/>
      <c r="Y103" s="79"/>
      <c r="Z103" s="230"/>
      <c r="AA103" s="230"/>
      <c r="AB103" s="230"/>
      <c r="AC103" s="188"/>
    </row>
    <row r="104" spans="2:29" ht="15.75" thickBot="1" x14ac:dyDescent="0.3">
      <c r="B104" s="240"/>
      <c r="C104" s="284"/>
      <c r="D104" s="235"/>
      <c r="E104" s="235"/>
      <c r="F104" s="230"/>
      <c r="G104" s="235"/>
      <c r="H104" s="235"/>
      <c r="I104" s="320"/>
      <c r="J104" s="235"/>
      <c r="K104" s="235"/>
      <c r="L104" s="235"/>
      <c r="M104" s="375"/>
      <c r="N104" s="236"/>
      <c r="O104" s="235"/>
      <c r="P104" s="241"/>
      <c r="Q104" s="239">
        <f t="shared" ca="1" si="4"/>
        <v>0</v>
      </c>
      <c r="R104" s="106">
        <f t="shared" si="3"/>
        <v>0</v>
      </c>
      <c r="S104" s="2">
        <f t="shared" si="5"/>
        <v>0</v>
      </c>
      <c r="T104" s="305"/>
      <c r="U104" s="235"/>
      <c r="V104" s="235"/>
      <c r="W104" s="235"/>
      <c r="X104" s="241"/>
      <c r="Y104" s="79"/>
      <c r="Z104" s="230"/>
      <c r="AA104" s="230"/>
      <c r="AB104" s="230"/>
      <c r="AC104" s="188"/>
    </row>
    <row r="105" spans="2:29" ht="15.75" thickBot="1" x14ac:dyDescent="0.3">
      <c r="B105" s="240"/>
      <c r="C105" s="284"/>
      <c r="D105" s="235"/>
      <c r="E105" s="235"/>
      <c r="F105" s="230"/>
      <c r="G105" s="235"/>
      <c r="H105" s="235"/>
      <c r="I105" s="320"/>
      <c r="J105" s="235"/>
      <c r="K105" s="235"/>
      <c r="L105" s="235"/>
      <c r="M105" s="375"/>
      <c r="N105" s="236"/>
      <c r="O105" s="235"/>
      <c r="P105" s="241"/>
      <c r="Q105" s="239">
        <f t="shared" ca="1" si="4"/>
        <v>0</v>
      </c>
      <c r="R105" s="106">
        <f t="shared" si="3"/>
        <v>0</v>
      </c>
      <c r="S105" s="2">
        <f t="shared" si="5"/>
        <v>0</v>
      </c>
      <c r="T105" s="305"/>
      <c r="U105" s="235"/>
      <c r="V105" s="235"/>
      <c r="W105" s="235"/>
      <c r="X105" s="241"/>
      <c r="Y105" s="79"/>
      <c r="Z105" s="230"/>
      <c r="AA105" s="230"/>
      <c r="AB105" s="230"/>
      <c r="AC105" s="188"/>
    </row>
    <row r="106" spans="2:29" ht="15.75" thickBot="1" x14ac:dyDescent="0.3">
      <c r="B106" s="240"/>
      <c r="C106" s="284"/>
      <c r="D106" s="235"/>
      <c r="E106" s="235"/>
      <c r="F106" s="230"/>
      <c r="G106" s="235"/>
      <c r="H106" s="235"/>
      <c r="I106" s="320"/>
      <c r="J106" s="235"/>
      <c r="K106" s="235"/>
      <c r="L106" s="235"/>
      <c r="M106" s="375"/>
      <c r="N106" s="236"/>
      <c r="O106" s="235"/>
      <c r="P106" s="241"/>
      <c r="Q106" s="239">
        <f t="shared" ca="1" si="4"/>
        <v>0</v>
      </c>
      <c r="R106" s="106">
        <f t="shared" si="3"/>
        <v>0</v>
      </c>
      <c r="S106" s="2">
        <f t="shared" si="5"/>
        <v>0</v>
      </c>
      <c r="T106" s="305"/>
      <c r="U106" s="235"/>
      <c r="V106" s="235"/>
      <c r="W106" s="235"/>
      <c r="X106" s="241"/>
      <c r="Y106" s="79"/>
      <c r="Z106" s="230"/>
      <c r="AA106" s="230"/>
      <c r="AB106" s="230"/>
      <c r="AC106" s="188"/>
    </row>
    <row r="107" spans="2:29" ht="15.75" thickBot="1" x14ac:dyDescent="0.3">
      <c r="B107" s="240"/>
      <c r="C107" s="284"/>
      <c r="D107" s="235"/>
      <c r="E107" s="235"/>
      <c r="F107" s="230"/>
      <c r="G107" s="235"/>
      <c r="H107" s="235"/>
      <c r="I107" s="320"/>
      <c r="J107" s="235"/>
      <c r="K107" s="235"/>
      <c r="L107" s="235"/>
      <c r="M107" s="375"/>
      <c r="N107" s="236"/>
      <c r="O107" s="235"/>
      <c r="P107" s="241"/>
      <c r="Q107" s="239">
        <f t="shared" ca="1" si="4"/>
        <v>0</v>
      </c>
      <c r="R107" s="106">
        <f t="shared" si="3"/>
        <v>0</v>
      </c>
      <c r="S107" s="2">
        <f t="shared" si="5"/>
        <v>0</v>
      </c>
      <c r="T107" s="305"/>
      <c r="U107" s="235"/>
      <c r="V107" s="235"/>
      <c r="W107" s="235"/>
      <c r="X107" s="241"/>
      <c r="Y107" s="79"/>
      <c r="Z107" s="230"/>
      <c r="AA107" s="230"/>
      <c r="AB107" s="230"/>
      <c r="AC107" s="188"/>
    </row>
    <row r="108" spans="2:29" ht="15.75" thickBot="1" x14ac:dyDescent="0.3">
      <c r="B108" s="240"/>
      <c r="C108" s="284"/>
      <c r="D108" s="235"/>
      <c r="E108" s="235"/>
      <c r="F108" s="230"/>
      <c r="G108" s="235"/>
      <c r="H108" s="235"/>
      <c r="I108" s="320"/>
      <c r="J108" s="235"/>
      <c r="K108" s="235"/>
      <c r="L108" s="235"/>
      <c r="M108" s="375"/>
      <c r="N108" s="236"/>
      <c r="O108" s="235"/>
      <c r="P108" s="241"/>
      <c r="Q108" s="239">
        <f t="shared" ca="1" si="4"/>
        <v>0</v>
      </c>
      <c r="R108" s="106">
        <f t="shared" si="3"/>
        <v>0</v>
      </c>
      <c r="S108" s="2">
        <f t="shared" si="5"/>
        <v>0</v>
      </c>
      <c r="T108" s="305"/>
      <c r="U108" s="235"/>
      <c r="V108" s="235"/>
      <c r="W108" s="235"/>
      <c r="X108" s="241"/>
      <c r="Y108" s="79"/>
      <c r="Z108" s="230"/>
      <c r="AA108" s="230"/>
      <c r="AB108" s="230"/>
      <c r="AC108" s="188"/>
    </row>
    <row r="109" spans="2:29" ht="15.75" thickBot="1" x14ac:dyDescent="0.3">
      <c r="B109" s="240"/>
      <c r="C109" s="284"/>
      <c r="D109" s="235"/>
      <c r="E109" s="235"/>
      <c r="F109" s="230"/>
      <c r="G109" s="235"/>
      <c r="H109" s="235"/>
      <c r="I109" s="320"/>
      <c r="J109" s="235"/>
      <c r="K109" s="235"/>
      <c r="L109" s="235"/>
      <c r="M109" s="375"/>
      <c r="N109" s="236"/>
      <c r="O109" s="235"/>
      <c r="P109" s="241"/>
      <c r="Q109" s="239">
        <f t="shared" ca="1" si="4"/>
        <v>0</v>
      </c>
      <c r="R109" s="106">
        <f t="shared" si="3"/>
        <v>0</v>
      </c>
      <c r="S109" s="2">
        <f t="shared" si="5"/>
        <v>0</v>
      </c>
      <c r="T109" s="305"/>
      <c r="U109" s="235"/>
      <c r="V109" s="235"/>
      <c r="W109" s="235"/>
      <c r="X109" s="241"/>
      <c r="Y109" s="79"/>
      <c r="Z109" s="230"/>
      <c r="AA109" s="230"/>
      <c r="AB109" s="230"/>
      <c r="AC109" s="188"/>
    </row>
    <row r="110" spans="2:29" ht="15.75" thickBot="1" x14ac:dyDescent="0.3">
      <c r="B110" s="240"/>
      <c r="C110" s="284"/>
      <c r="D110" s="235"/>
      <c r="E110" s="235"/>
      <c r="F110" s="230"/>
      <c r="G110" s="235"/>
      <c r="H110" s="235"/>
      <c r="I110" s="320"/>
      <c r="J110" s="235"/>
      <c r="K110" s="235"/>
      <c r="L110" s="235"/>
      <c r="M110" s="375"/>
      <c r="N110" s="236"/>
      <c r="O110" s="235"/>
      <c r="P110" s="241"/>
      <c r="Q110" s="239">
        <f t="shared" ca="1" si="4"/>
        <v>0</v>
      </c>
      <c r="R110" s="106">
        <f t="shared" si="3"/>
        <v>0</v>
      </c>
      <c r="S110" s="2">
        <f t="shared" si="5"/>
        <v>0</v>
      </c>
      <c r="T110" s="305"/>
      <c r="U110" s="235"/>
      <c r="V110" s="235"/>
      <c r="W110" s="235"/>
      <c r="X110" s="241"/>
      <c r="Y110" s="79"/>
      <c r="Z110" s="230"/>
      <c r="AA110" s="230"/>
      <c r="AB110" s="230"/>
      <c r="AC110" s="188"/>
    </row>
    <row r="111" spans="2:29" ht="15.75" thickBot="1" x14ac:dyDescent="0.3">
      <c r="B111" s="240"/>
      <c r="C111" s="284"/>
      <c r="D111" s="235"/>
      <c r="E111" s="235"/>
      <c r="F111" s="230"/>
      <c r="G111" s="235"/>
      <c r="H111" s="235"/>
      <c r="I111" s="320"/>
      <c r="J111" s="235"/>
      <c r="K111" s="235"/>
      <c r="L111" s="235"/>
      <c r="M111" s="375"/>
      <c r="N111" s="236"/>
      <c r="O111" s="235"/>
      <c r="P111" s="241"/>
      <c r="Q111" s="239">
        <f t="shared" ca="1" si="4"/>
        <v>0</v>
      </c>
      <c r="R111" s="106">
        <f t="shared" si="3"/>
        <v>0</v>
      </c>
      <c r="S111" s="2">
        <f t="shared" si="5"/>
        <v>0</v>
      </c>
      <c r="T111" s="305"/>
      <c r="U111" s="235"/>
      <c r="V111" s="235"/>
      <c r="W111" s="235"/>
      <c r="X111" s="241"/>
      <c r="Y111" s="79"/>
      <c r="Z111" s="230"/>
      <c r="AA111" s="230"/>
      <c r="AB111" s="230"/>
      <c r="AC111" s="188"/>
    </row>
    <row r="112" spans="2:29" ht="15.75" thickBot="1" x14ac:dyDescent="0.3">
      <c r="B112" s="240"/>
      <c r="C112" s="284"/>
      <c r="D112" s="235"/>
      <c r="E112" s="235"/>
      <c r="F112" s="230"/>
      <c r="G112" s="235"/>
      <c r="H112" s="235"/>
      <c r="I112" s="320"/>
      <c r="J112" s="235"/>
      <c r="K112" s="235"/>
      <c r="L112" s="235"/>
      <c r="M112" s="375"/>
      <c r="N112" s="236"/>
      <c r="O112" s="235"/>
      <c r="P112" s="241"/>
      <c r="Q112" s="239">
        <f t="shared" ca="1" si="4"/>
        <v>0</v>
      </c>
      <c r="R112" s="106">
        <f t="shared" si="3"/>
        <v>0</v>
      </c>
      <c r="S112" s="2">
        <f t="shared" si="5"/>
        <v>0</v>
      </c>
      <c r="T112" s="305"/>
      <c r="U112" s="235"/>
      <c r="V112" s="235"/>
      <c r="W112" s="235"/>
      <c r="X112" s="241"/>
      <c r="Y112" s="79"/>
      <c r="Z112" s="230"/>
      <c r="AA112" s="230"/>
      <c r="AB112" s="230"/>
      <c r="AC112" s="188"/>
    </row>
    <row r="113" spans="2:29" ht="15.75" thickBot="1" x14ac:dyDescent="0.3">
      <c r="B113" s="240"/>
      <c r="C113" s="284"/>
      <c r="D113" s="235"/>
      <c r="E113" s="235"/>
      <c r="F113" s="230"/>
      <c r="G113" s="235"/>
      <c r="H113" s="235"/>
      <c r="I113" s="320"/>
      <c r="J113" s="235"/>
      <c r="K113" s="235"/>
      <c r="L113" s="235"/>
      <c r="M113" s="375"/>
      <c r="N113" s="236"/>
      <c r="O113" s="235"/>
      <c r="P113" s="241"/>
      <c r="Q113" s="239">
        <f t="shared" ca="1" si="4"/>
        <v>0</v>
      </c>
      <c r="R113" s="106">
        <f t="shared" si="3"/>
        <v>0</v>
      </c>
      <c r="S113" s="2">
        <f t="shared" si="5"/>
        <v>0</v>
      </c>
      <c r="T113" s="305"/>
      <c r="U113" s="235"/>
      <c r="V113" s="235"/>
      <c r="W113" s="235"/>
      <c r="X113" s="241"/>
      <c r="Y113" s="79"/>
      <c r="Z113" s="230"/>
      <c r="AA113" s="230"/>
      <c r="AB113" s="230"/>
      <c r="AC113" s="188"/>
    </row>
    <row r="114" spans="2:29" ht="15.75" thickBot="1" x14ac:dyDescent="0.3">
      <c r="B114" s="240"/>
      <c r="C114" s="284"/>
      <c r="D114" s="235"/>
      <c r="E114" s="235"/>
      <c r="F114" s="230"/>
      <c r="G114" s="235"/>
      <c r="H114" s="235"/>
      <c r="I114" s="320"/>
      <c r="J114" s="235"/>
      <c r="K114" s="235"/>
      <c r="L114" s="235"/>
      <c r="M114" s="375"/>
      <c r="N114" s="236"/>
      <c r="O114" s="235"/>
      <c r="P114" s="241"/>
      <c r="Q114" s="239">
        <f t="shared" ca="1" si="4"/>
        <v>0</v>
      </c>
      <c r="R114" s="106">
        <f t="shared" si="3"/>
        <v>0</v>
      </c>
      <c r="S114" s="2">
        <f t="shared" si="5"/>
        <v>0</v>
      </c>
      <c r="T114" s="305"/>
      <c r="U114" s="235"/>
      <c r="V114" s="235"/>
      <c r="W114" s="235"/>
      <c r="X114" s="241"/>
      <c r="Y114" s="79"/>
      <c r="Z114" s="230"/>
      <c r="AA114" s="230"/>
      <c r="AB114" s="230"/>
      <c r="AC114" s="188"/>
    </row>
    <row r="115" spans="2:29" ht="15.75" thickBot="1" x14ac:dyDescent="0.3">
      <c r="B115" s="240"/>
      <c r="C115" s="284"/>
      <c r="D115" s="235"/>
      <c r="E115" s="235"/>
      <c r="F115" s="230"/>
      <c r="G115" s="235"/>
      <c r="H115" s="235"/>
      <c r="I115" s="320"/>
      <c r="J115" s="235"/>
      <c r="K115" s="235"/>
      <c r="L115" s="235"/>
      <c r="M115" s="375"/>
      <c r="N115" s="236"/>
      <c r="O115" s="235"/>
      <c r="P115" s="241"/>
      <c r="Q115" s="239">
        <f t="shared" ca="1" si="4"/>
        <v>0</v>
      </c>
      <c r="R115" s="106">
        <f t="shared" si="3"/>
        <v>0</v>
      </c>
      <c r="S115" s="2">
        <f t="shared" si="5"/>
        <v>0</v>
      </c>
      <c r="T115" s="305"/>
      <c r="U115" s="235"/>
      <c r="V115" s="235"/>
      <c r="W115" s="235"/>
      <c r="X115" s="241"/>
      <c r="Y115" s="79"/>
      <c r="Z115" s="230"/>
      <c r="AA115" s="230"/>
      <c r="AB115" s="230"/>
      <c r="AC115" s="188"/>
    </row>
    <row r="116" spans="2:29" ht="15.75" thickBot="1" x14ac:dyDescent="0.3">
      <c r="B116" s="240"/>
      <c r="C116" s="284"/>
      <c r="D116" s="235"/>
      <c r="E116" s="235"/>
      <c r="F116" s="230"/>
      <c r="G116" s="235"/>
      <c r="H116" s="235"/>
      <c r="I116" s="320"/>
      <c r="J116" s="235"/>
      <c r="K116" s="235"/>
      <c r="L116" s="235"/>
      <c r="M116" s="375"/>
      <c r="N116" s="236"/>
      <c r="O116" s="235"/>
      <c r="P116" s="241"/>
      <c r="Q116" s="239">
        <f t="shared" ca="1" si="4"/>
        <v>0</v>
      </c>
      <c r="R116" s="106">
        <f t="shared" si="3"/>
        <v>0</v>
      </c>
      <c r="S116" s="2">
        <f t="shared" si="5"/>
        <v>0</v>
      </c>
      <c r="T116" s="305"/>
      <c r="U116" s="235"/>
      <c r="V116" s="235"/>
      <c r="W116" s="235"/>
      <c r="X116" s="241"/>
      <c r="Y116" s="79"/>
      <c r="Z116" s="230"/>
      <c r="AA116" s="230"/>
      <c r="AB116" s="230"/>
      <c r="AC116" s="188"/>
    </row>
    <row r="117" spans="2:29" ht="15.75" thickBot="1" x14ac:dyDescent="0.3">
      <c r="B117" s="240"/>
      <c r="C117" s="284"/>
      <c r="D117" s="235"/>
      <c r="E117" s="235"/>
      <c r="F117" s="230"/>
      <c r="G117" s="235"/>
      <c r="H117" s="235"/>
      <c r="I117" s="320"/>
      <c r="J117" s="235"/>
      <c r="K117" s="235"/>
      <c r="L117" s="235"/>
      <c r="M117" s="375"/>
      <c r="N117" s="236"/>
      <c r="O117" s="235"/>
      <c r="P117" s="241"/>
      <c r="Q117" s="239">
        <f t="shared" ca="1" si="4"/>
        <v>0</v>
      </c>
      <c r="R117" s="106">
        <f t="shared" si="3"/>
        <v>0</v>
      </c>
      <c r="S117" s="2">
        <f t="shared" si="5"/>
        <v>0</v>
      </c>
      <c r="T117" s="305"/>
      <c r="U117" s="235"/>
      <c r="V117" s="235"/>
      <c r="W117" s="235"/>
      <c r="X117" s="241"/>
      <c r="Y117" s="79"/>
      <c r="Z117" s="230"/>
      <c r="AA117" s="230"/>
      <c r="AB117" s="230"/>
      <c r="AC117" s="188"/>
    </row>
    <row r="118" spans="2:29" ht="15.75" thickBot="1" x14ac:dyDescent="0.3">
      <c r="B118" s="240"/>
      <c r="C118" s="284"/>
      <c r="D118" s="235"/>
      <c r="E118" s="235"/>
      <c r="F118" s="230"/>
      <c r="G118" s="235"/>
      <c r="H118" s="235"/>
      <c r="I118" s="320"/>
      <c r="J118" s="235"/>
      <c r="K118" s="235"/>
      <c r="L118" s="235"/>
      <c r="M118" s="375"/>
      <c r="N118" s="236"/>
      <c r="O118" s="235"/>
      <c r="P118" s="241"/>
      <c r="Q118" s="239">
        <f t="shared" ca="1" si="4"/>
        <v>0</v>
      </c>
      <c r="R118" s="106">
        <f t="shared" si="3"/>
        <v>0</v>
      </c>
      <c r="S118" s="2">
        <f t="shared" si="5"/>
        <v>0</v>
      </c>
      <c r="T118" s="305"/>
      <c r="U118" s="235"/>
      <c r="V118" s="235"/>
      <c r="W118" s="235"/>
      <c r="X118" s="241"/>
      <c r="Y118" s="79"/>
      <c r="Z118" s="230"/>
      <c r="AA118" s="230"/>
      <c r="AB118" s="230"/>
      <c r="AC118" s="188"/>
    </row>
    <row r="119" spans="2:29" ht="15.75" thickBot="1" x14ac:dyDescent="0.3">
      <c r="B119" s="240"/>
      <c r="C119" s="284"/>
      <c r="D119" s="235"/>
      <c r="E119" s="235"/>
      <c r="F119" s="230"/>
      <c r="G119" s="235"/>
      <c r="H119" s="235"/>
      <c r="I119" s="320"/>
      <c r="J119" s="235"/>
      <c r="K119" s="235"/>
      <c r="L119" s="235"/>
      <c r="M119" s="375"/>
      <c r="N119" s="236"/>
      <c r="O119" s="235"/>
      <c r="P119" s="241"/>
      <c r="Q119" s="239">
        <f t="shared" ca="1" si="4"/>
        <v>0</v>
      </c>
      <c r="R119" s="106">
        <f t="shared" si="3"/>
        <v>0</v>
      </c>
      <c r="S119" s="2">
        <f t="shared" si="5"/>
        <v>0</v>
      </c>
      <c r="T119" s="305"/>
      <c r="U119" s="235"/>
      <c r="V119" s="235"/>
      <c r="W119" s="235"/>
      <c r="X119" s="241"/>
      <c r="Y119" s="79"/>
      <c r="Z119" s="230"/>
      <c r="AA119" s="230"/>
      <c r="AB119" s="230"/>
      <c r="AC119" s="188"/>
    </row>
    <row r="120" spans="2:29" ht="15.75" thickBot="1" x14ac:dyDescent="0.3">
      <c r="B120" s="240"/>
      <c r="C120" s="284"/>
      <c r="D120" s="235"/>
      <c r="E120" s="235"/>
      <c r="F120" s="230"/>
      <c r="G120" s="235"/>
      <c r="H120" s="235"/>
      <c r="I120" s="320"/>
      <c r="J120" s="235"/>
      <c r="K120" s="235"/>
      <c r="L120" s="235"/>
      <c r="M120" s="375"/>
      <c r="N120" s="236"/>
      <c r="O120" s="235"/>
      <c r="P120" s="241"/>
      <c r="Q120" s="239">
        <f t="shared" ca="1" si="4"/>
        <v>0</v>
      </c>
      <c r="R120" s="106">
        <f t="shared" si="3"/>
        <v>0</v>
      </c>
      <c r="S120" s="2">
        <f t="shared" si="5"/>
        <v>0</v>
      </c>
      <c r="T120" s="305"/>
      <c r="U120" s="235"/>
      <c r="V120" s="235"/>
      <c r="W120" s="235"/>
      <c r="X120" s="241"/>
      <c r="Y120" s="79"/>
      <c r="Z120" s="230"/>
      <c r="AA120" s="230"/>
      <c r="AB120" s="230"/>
      <c r="AC120" s="188"/>
    </row>
    <row r="121" spans="2:29" ht="15.75" thickBot="1" x14ac:dyDescent="0.3">
      <c r="B121" s="240"/>
      <c r="C121" s="284"/>
      <c r="D121" s="235"/>
      <c r="E121" s="235"/>
      <c r="F121" s="230"/>
      <c r="G121" s="235"/>
      <c r="H121" s="235"/>
      <c r="I121" s="320"/>
      <c r="J121" s="235"/>
      <c r="K121" s="235"/>
      <c r="L121" s="235"/>
      <c r="M121" s="375"/>
      <c r="N121" s="236"/>
      <c r="O121" s="235"/>
      <c r="P121" s="241"/>
      <c r="Q121" s="239">
        <f t="shared" ca="1" si="4"/>
        <v>0</v>
      </c>
      <c r="R121" s="106">
        <f t="shared" si="3"/>
        <v>0</v>
      </c>
      <c r="S121" s="2">
        <f t="shared" si="5"/>
        <v>0</v>
      </c>
      <c r="T121" s="305"/>
      <c r="U121" s="235"/>
      <c r="V121" s="235"/>
      <c r="W121" s="235"/>
      <c r="X121" s="241"/>
      <c r="Y121" s="79"/>
      <c r="Z121" s="230"/>
      <c r="AA121" s="230"/>
      <c r="AB121" s="230"/>
      <c r="AC121" s="188"/>
    </row>
    <row r="122" spans="2:29" ht="15.75" thickBot="1" x14ac:dyDescent="0.3">
      <c r="B122" s="240"/>
      <c r="C122" s="284"/>
      <c r="D122" s="235"/>
      <c r="E122" s="235"/>
      <c r="F122" s="230"/>
      <c r="G122" s="235"/>
      <c r="H122" s="235"/>
      <c r="I122" s="320"/>
      <c r="J122" s="235"/>
      <c r="K122" s="235"/>
      <c r="L122" s="235"/>
      <c r="M122" s="375"/>
      <c r="N122" s="236"/>
      <c r="O122" s="235"/>
      <c r="P122" s="241"/>
      <c r="Q122" s="239">
        <f t="shared" ca="1" si="4"/>
        <v>0</v>
      </c>
      <c r="R122" s="106">
        <f t="shared" si="3"/>
        <v>0</v>
      </c>
      <c r="S122" s="2">
        <f t="shared" si="5"/>
        <v>0</v>
      </c>
      <c r="T122" s="305"/>
      <c r="U122" s="235"/>
      <c r="V122" s="235"/>
      <c r="W122" s="235"/>
      <c r="X122" s="241"/>
      <c r="Y122" s="79"/>
      <c r="Z122" s="230"/>
      <c r="AA122" s="230"/>
      <c r="AB122" s="230"/>
      <c r="AC122" s="188"/>
    </row>
    <row r="123" spans="2:29" ht="15.75" thickBot="1" x14ac:dyDescent="0.3">
      <c r="B123" s="240"/>
      <c r="C123" s="284"/>
      <c r="D123" s="235"/>
      <c r="E123" s="235"/>
      <c r="F123" s="230"/>
      <c r="G123" s="235"/>
      <c r="H123" s="235"/>
      <c r="I123" s="320"/>
      <c r="J123" s="235"/>
      <c r="K123" s="235"/>
      <c r="L123" s="235"/>
      <c r="M123" s="375"/>
      <c r="N123" s="236"/>
      <c r="O123" s="235"/>
      <c r="P123" s="241"/>
      <c r="Q123" s="239">
        <f t="shared" ca="1" si="4"/>
        <v>0</v>
      </c>
      <c r="R123" s="106">
        <f t="shared" si="3"/>
        <v>0</v>
      </c>
      <c r="S123" s="2">
        <f t="shared" si="5"/>
        <v>0</v>
      </c>
      <c r="T123" s="305"/>
      <c r="U123" s="235"/>
      <c r="V123" s="235"/>
      <c r="W123" s="235"/>
      <c r="X123" s="241"/>
      <c r="Y123" s="79"/>
      <c r="Z123" s="230"/>
      <c r="AA123" s="230"/>
      <c r="AB123" s="230"/>
      <c r="AC123" s="188"/>
    </row>
    <row r="124" spans="2:29" ht="15.75" thickBot="1" x14ac:dyDescent="0.3">
      <c r="B124" s="240"/>
      <c r="C124" s="284"/>
      <c r="D124" s="235"/>
      <c r="E124" s="235"/>
      <c r="F124" s="230"/>
      <c r="G124" s="235"/>
      <c r="H124" s="235"/>
      <c r="I124" s="320"/>
      <c r="J124" s="235"/>
      <c r="K124" s="235"/>
      <c r="L124" s="235"/>
      <c r="M124" s="375"/>
      <c r="N124" s="236"/>
      <c r="O124" s="235"/>
      <c r="P124" s="241"/>
      <c r="Q124" s="239">
        <f t="shared" ca="1" si="4"/>
        <v>0</v>
      </c>
      <c r="R124" s="106">
        <f t="shared" si="3"/>
        <v>0</v>
      </c>
      <c r="S124" s="2">
        <f t="shared" si="5"/>
        <v>0</v>
      </c>
      <c r="T124" s="305"/>
      <c r="U124" s="235"/>
      <c r="V124" s="235"/>
      <c r="W124" s="235"/>
      <c r="X124" s="241"/>
      <c r="Y124" s="79"/>
      <c r="Z124" s="230"/>
      <c r="AA124" s="230"/>
      <c r="AB124" s="230"/>
      <c r="AC124" s="188"/>
    </row>
    <row r="125" spans="2:29" ht="15.75" thickBot="1" x14ac:dyDescent="0.3">
      <c r="B125" s="240"/>
      <c r="C125" s="284"/>
      <c r="D125" s="235"/>
      <c r="E125" s="235"/>
      <c r="F125" s="230"/>
      <c r="G125" s="235"/>
      <c r="H125" s="235"/>
      <c r="I125" s="320"/>
      <c r="J125" s="235"/>
      <c r="K125" s="235"/>
      <c r="L125" s="235"/>
      <c r="M125" s="375"/>
      <c r="N125" s="236"/>
      <c r="O125" s="235"/>
      <c r="P125" s="241"/>
      <c r="Q125" s="239">
        <f t="shared" ca="1" si="4"/>
        <v>0</v>
      </c>
      <c r="R125" s="106">
        <f t="shared" si="3"/>
        <v>0</v>
      </c>
      <c r="S125" s="2">
        <f t="shared" si="5"/>
        <v>0</v>
      </c>
      <c r="T125" s="305"/>
      <c r="U125" s="235"/>
      <c r="V125" s="235"/>
      <c r="W125" s="235"/>
      <c r="X125" s="241"/>
      <c r="Y125" s="79"/>
      <c r="Z125" s="230"/>
      <c r="AA125" s="230"/>
      <c r="AB125" s="230"/>
      <c r="AC125" s="188"/>
    </row>
    <row r="126" spans="2:29" ht="15.75" thickBot="1" x14ac:dyDescent="0.3">
      <c r="B126" s="240"/>
      <c r="C126" s="284"/>
      <c r="D126" s="235"/>
      <c r="E126" s="235"/>
      <c r="F126" s="230"/>
      <c r="G126" s="235"/>
      <c r="H126" s="235"/>
      <c r="I126" s="320"/>
      <c r="J126" s="235"/>
      <c r="K126" s="235"/>
      <c r="L126" s="235"/>
      <c r="M126" s="375"/>
      <c r="N126" s="236"/>
      <c r="O126" s="235"/>
      <c r="P126" s="241"/>
      <c r="Q126" s="239">
        <f t="shared" ca="1" si="4"/>
        <v>0</v>
      </c>
      <c r="R126" s="106">
        <f t="shared" si="3"/>
        <v>0</v>
      </c>
      <c r="S126" s="2">
        <f t="shared" si="5"/>
        <v>0</v>
      </c>
      <c r="T126" s="305"/>
      <c r="U126" s="235"/>
      <c r="V126" s="235"/>
      <c r="W126" s="235"/>
      <c r="X126" s="241"/>
      <c r="Y126" s="79"/>
      <c r="Z126" s="230"/>
      <c r="AA126" s="230"/>
      <c r="AB126" s="230"/>
      <c r="AC126" s="188"/>
    </row>
    <row r="127" spans="2:29" ht="15.75" thickBot="1" x14ac:dyDescent="0.3">
      <c r="B127" s="240"/>
      <c r="C127" s="284"/>
      <c r="D127" s="235"/>
      <c r="E127" s="235"/>
      <c r="F127" s="230"/>
      <c r="G127" s="235"/>
      <c r="H127" s="235"/>
      <c r="I127" s="320"/>
      <c r="J127" s="235"/>
      <c r="K127" s="235"/>
      <c r="L127" s="235"/>
      <c r="M127" s="375"/>
      <c r="N127" s="236"/>
      <c r="O127" s="235"/>
      <c r="P127" s="241"/>
      <c r="Q127" s="239">
        <f t="shared" ca="1" si="4"/>
        <v>0</v>
      </c>
      <c r="R127" s="106">
        <f t="shared" si="3"/>
        <v>0</v>
      </c>
      <c r="S127" s="2">
        <f t="shared" si="5"/>
        <v>0</v>
      </c>
      <c r="T127" s="305"/>
      <c r="U127" s="235"/>
      <c r="V127" s="235"/>
      <c r="W127" s="235"/>
      <c r="X127" s="241"/>
      <c r="Y127" s="79"/>
      <c r="Z127" s="230"/>
      <c r="AA127" s="230"/>
      <c r="AB127" s="230"/>
      <c r="AC127" s="188"/>
    </row>
    <row r="128" spans="2:29" ht="15.75" thickBot="1" x14ac:dyDescent="0.3">
      <c r="B128" s="240"/>
      <c r="C128" s="284"/>
      <c r="D128" s="235"/>
      <c r="E128" s="235"/>
      <c r="F128" s="230"/>
      <c r="G128" s="235"/>
      <c r="H128" s="235"/>
      <c r="I128" s="320"/>
      <c r="J128" s="235"/>
      <c r="K128" s="235"/>
      <c r="L128" s="235"/>
      <c r="M128" s="375"/>
      <c r="N128" s="236"/>
      <c r="O128" s="235"/>
      <c r="P128" s="241"/>
      <c r="Q128" s="239">
        <f t="shared" ca="1" si="4"/>
        <v>0</v>
      </c>
      <c r="R128" s="106">
        <f t="shared" si="3"/>
        <v>0</v>
      </c>
      <c r="S128" s="2">
        <f t="shared" si="5"/>
        <v>0</v>
      </c>
      <c r="T128" s="305"/>
      <c r="U128" s="235"/>
      <c r="V128" s="235"/>
      <c r="W128" s="235"/>
      <c r="X128" s="241"/>
      <c r="Y128" s="79"/>
      <c r="Z128" s="230"/>
      <c r="AA128" s="230"/>
      <c r="AB128" s="230"/>
      <c r="AC128" s="188"/>
    </row>
    <row r="129" spans="2:29" ht="15.75" thickBot="1" x14ac:dyDescent="0.3">
      <c r="B129" s="240"/>
      <c r="C129" s="284"/>
      <c r="D129" s="235"/>
      <c r="E129" s="235"/>
      <c r="F129" s="230"/>
      <c r="G129" s="235"/>
      <c r="H129" s="235"/>
      <c r="I129" s="320"/>
      <c r="J129" s="235"/>
      <c r="K129" s="235"/>
      <c r="L129" s="235"/>
      <c r="M129" s="375"/>
      <c r="N129" s="236"/>
      <c r="O129" s="235"/>
      <c r="P129" s="241"/>
      <c r="Q129" s="239">
        <f t="shared" ca="1" si="4"/>
        <v>0</v>
      </c>
      <c r="R129" s="106">
        <f t="shared" si="3"/>
        <v>0</v>
      </c>
      <c r="S129" s="2">
        <f t="shared" si="5"/>
        <v>0</v>
      </c>
      <c r="T129" s="305"/>
      <c r="U129" s="235"/>
      <c r="V129" s="235"/>
      <c r="W129" s="235"/>
      <c r="X129" s="241"/>
      <c r="Y129" s="79"/>
      <c r="Z129" s="230"/>
      <c r="AA129" s="230"/>
      <c r="AB129" s="230"/>
      <c r="AC129" s="188"/>
    </row>
    <row r="130" spans="2:29" ht="15.75" thickBot="1" x14ac:dyDescent="0.3">
      <c r="B130" s="240"/>
      <c r="C130" s="284"/>
      <c r="D130" s="235"/>
      <c r="E130" s="235"/>
      <c r="F130" s="230"/>
      <c r="G130" s="235"/>
      <c r="H130" s="235"/>
      <c r="I130" s="320"/>
      <c r="J130" s="235"/>
      <c r="K130" s="235"/>
      <c r="L130" s="235"/>
      <c r="M130" s="375"/>
      <c r="N130" s="236"/>
      <c r="O130" s="235"/>
      <c r="P130" s="241"/>
      <c r="Q130" s="239">
        <f t="shared" ca="1" si="4"/>
        <v>0</v>
      </c>
      <c r="R130" s="106">
        <f t="shared" si="3"/>
        <v>0</v>
      </c>
      <c r="S130" s="2">
        <f t="shared" si="5"/>
        <v>0</v>
      </c>
      <c r="T130" s="305"/>
      <c r="U130" s="235"/>
      <c r="V130" s="235"/>
      <c r="W130" s="235"/>
      <c r="X130" s="241"/>
      <c r="Y130" s="79"/>
      <c r="Z130" s="230"/>
      <c r="AA130" s="230"/>
      <c r="AB130" s="230"/>
      <c r="AC130" s="188"/>
    </row>
    <row r="131" spans="2:29" ht="15.75" thickBot="1" x14ac:dyDescent="0.3">
      <c r="B131" s="240"/>
      <c r="C131" s="284"/>
      <c r="D131" s="235"/>
      <c r="E131" s="235"/>
      <c r="F131" s="230"/>
      <c r="G131" s="235"/>
      <c r="H131" s="235"/>
      <c r="I131" s="320"/>
      <c r="J131" s="235"/>
      <c r="K131" s="235"/>
      <c r="L131" s="235"/>
      <c r="M131" s="375"/>
      <c r="N131" s="236"/>
      <c r="O131" s="235"/>
      <c r="P131" s="241"/>
      <c r="Q131" s="239">
        <f t="shared" ca="1" si="4"/>
        <v>0</v>
      </c>
      <c r="R131" s="106">
        <f t="shared" si="3"/>
        <v>0</v>
      </c>
      <c r="S131" s="2">
        <f t="shared" si="5"/>
        <v>0</v>
      </c>
      <c r="T131" s="305"/>
      <c r="U131" s="235"/>
      <c r="V131" s="235"/>
      <c r="W131" s="235"/>
      <c r="X131" s="241"/>
      <c r="Y131" s="79"/>
      <c r="Z131" s="230"/>
      <c r="AA131" s="230"/>
      <c r="AB131" s="230"/>
      <c r="AC131" s="188"/>
    </row>
    <row r="132" spans="2:29" ht="15.75" thickBot="1" x14ac:dyDescent="0.3">
      <c r="B132" s="240"/>
      <c r="C132" s="284"/>
      <c r="D132" s="235"/>
      <c r="E132" s="235"/>
      <c r="F132" s="230"/>
      <c r="G132" s="235"/>
      <c r="H132" s="235"/>
      <c r="I132" s="320"/>
      <c r="J132" s="235"/>
      <c r="K132" s="235"/>
      <c r="L132" s="235"/>
      <c r="M132" s="375"/>
      <c r="N132" s="236"/>
      <c r="O132" s="235"/>
      <c r="P132" s="241"/>
      <c r="Q132" s="239">
        <f t="shared" ca="1" si="4"/>
        <v>0</v>
      </c>
      <c r="R132" s="106">
        <f t="shared" si="3"/>
        <v>0</v>
      </c>
      <c r="S132" s="2">
        <f t="shared" si="5"/>
        <v>0</v>
      </c>
      <c r="T132" s="305"/>
      <c r="U132" s="235"/>
      <c r="V132" s="235"/>
      <c r="W132" s="235"/>
      <c r="X132" s="241"/>
      <c r="Y132" s="79"/>
      <c r="Z132" s="230"/>
      <c r="AA132" s="230"/>
      <c r="AB132" s="230"/>
      <c r="AC132" s="188"/>
    </row>
    <row r="133" spans="2:29" ht="15.75" thickBot="1" x14ac:dyDescent="0.3">
      <c r="B133" s="240"/>
      <c r="C133" s="284"/>
      <c r="D133" s="235"/>
      <c r="E133" s="235"/>
      <c r="F133" s="230"/>
      <c r="G133" s="235"/>
      <c r="H133" s="235"/>
      <c r="I133" s="320"/>
      <c r="J133" s="235"/>
      <c r="K133" s="235"/>
      <c r="L133" s="235"/>
      <c r="M133" s="375"/>
      <c r="N133" s="236"/>
      <c r="O133" s="235"/>
      <c r="P133" s="241"/>
      <c r="Q133" s="239">
        <f t="shared" ca="1" si="4"/>
        <v>0</v>
      </c>
      <c r="R133" s="106">
        <f t="shared" si="3"/>
        <v>0</v>
      </c>
      <c r="S133" s="2">
        <f t="shared" si="5"/>
        <v>0</v>
      </c>
      <c r="T133" s="305"/>
      <c r="U133" s="235"/>
      <c r="V133" s="235"/>
      <c r="W133" s="235"/>
      <c r="X133" s="241"/>
      <c r="Y133" s="79"/>
      <c r="Z133" s="230"/>
      <c r="AA133" s="230"/>
      <c r="AB133" s="230"/>
      <c r="AC133" s="188"/>
    </row>
    <row r="134" spans="2:29" ht="15.75" thickBot="1" x14ac:dyDescent="0.3">
      <c r="B134" s="240"/>
      <c r="C134" s="284"/>
      <c r="D134" s="235"/>
      <c r="E134" s="235"/>
      <c r="F134" s="230"/>
      <c r="G134" s="235"/>
      <c r="H134" s="235"/>
      <c r="I134" s="320"/>
      <c r="J134" s="235"/>
      <c r="K134" s="235"/>
      <c r="L134" s="235"/>
      <c r="M134" s="375"/>
      <c r="N134" s="236"/>
      <c r="O134" s="235"/>
      <c r="P134" s="241"/>
      <c r="Q134" s="239">
        <f t="shared" ca="1" si="4"/>
        <v>0</v>
      </c>
      <c r="R134" s="106">
        <f t="shared" si="3"/>
        <v>0</v>
      </c>
      <c r="S134" s="2">
        <f t="shared" si="5"/>
        <v>0</v>
      </c>
      <c r="T134" s="305"/>
      <c r="U134" s="235"/>
      <c r="V134" s="235"/>
      <c r="W134" s="235"/>
      <c r="X134" s="241"/>
      <c r="Y134" s="79"/>
      <c r="Z134" s="230"/>
      <c r="AA134" s="230"/>
      <c r="AB134" s="230"/>
      <c r="AC134" s="188"/>
    </row>
    <row r="135" spans="2:29" ht="15.75" thickBot="1" x14ac:dyDescent="0.3">
      <c r="B135" s="240"/>
      <c r="C135" s="284"/>
      <c r="D135" s="235"/>
      <c r="E135" s="235"/>
      <c r="F135" s="230"/>
      <c r="G135" s="235"/>
      <c r="H135" s="235"/>
      <c r="I135" s="320"/>
      <c r="J135" s="235"/>
      <c r="K135" s="235"/>
      <c r="L135" s="235"/>
      <c r="M135" s="375"/>
      <c r="N135" s="236"/>
      <c r="O135" s="235"/>
      <c r="P135" s="241"/>
      <c r="Q135" s="239">
        <f t="shared" ca="1" si="4"/>
        <v>0</v>
      </c>
      <c r="R135" s="106">
        <f t="shared" ref="R135:R198" si="6">IF(COUNTBLANK(E135),0,1)</f>
        <v>0</v>
      </c>
      <c r="S135" s="2">
        <f t="shared" si="5"/>
        <v>0</v>
      </c>
      <c r="T135" s="305"/>
      <c r="U135" s="235"/>
      <c r="V135" s="235"/>
      <c r="W135" s="235"/>
      <c r="X135" s="241"/>
      <c r="Y135" s="79"/>
      <c r="Z135" s="230"/>
      <c r="AA135" s="230"/>
      <c r="AB135" s="230"/>
      <c r="AC135" s="188"/>
    </row>
    <row r="136" spans="2:29" ht="15.75" thickBot="1" x14ac:dyDescent="0.3">
      <c r="B136" s="240"/>
      <c r="C136" s="284"/>
      <c r="D136" s="235"/>
      <c r="E136" s="235"/>
      <c r="F136" s="230"/>
      <c r="G136" s="235"/>
      <c r="H136" s="235"/>
      <c r="I136" s="320"/>
      <c r="J136" s="235"/>
      <c r="K136" s="235"/>
      <c r="L136" s="235"/>
      <c r="M136" s="375"/>
      <c r="N136" s="236"/>
      <c r="O136" s="235"/>
      <c r="P136" s="241"/>
      <c r="Q136" s="239">
        <f t="shared" ref="Q136:Q199" ca="1" si="7">IF(N136=100%,0,IF(M136&gt;=TODAY(),0,IF(ISBLANK(M136),0,1)))</f>
        <v>0</v>
      </c>
      <c r="R136" s="106">
        <f t="shared" si="6"/>
        <v>0</v>
      </c>
      <c r="S136" s="2">
        <f t="shared" ref="S136:S199" si="8">IF(AND(R136=1,COUNTBLANK(M136),N136&lt;100%),1,0)</f>
        <v>0</v>
      </c>
      <c r="T136" s="305"/>
      <c r="U136" s="235"/>
      <c r="V136" s="235"/>
      <c r="W136" s="235"/>
      <c r="X136" s="241"/>
      <c r="Y136" s="79"/>
      <c r="Z136" s="230"/>
      <c r="AA136" s="230"/>
      <c r="AB136" s="230"/>
      <c r="AC136" s="188"/>
    </row>
    <row r="137" spans="2:29" ht="15.75" thickBot="1" x14ac:dyDescent="0.3">
      <c r="B137" s="240"/>
      <c r="C137" s="284"/>
      <c r="D137" s="235"/>
      <c r="E137" s="235"/>
      <c r="F137" s="230"/>
      <c r="G137" s="235"/>
      <c r="H137" s="235"/>
      <c r="I137" s="320"/>
      <c r="J137" s="235"/>
      <c r="K137" s="235"/>
      <c r="L137" s="235"/>
      <c r="M137" s="375"/>
      <c r="N137" s="236"/>
      <c r="O137" s="235"/>
      <c r="P137" s="241"/>
      <c r="Q137" s="239">
        <f t="shared" ca="1" si="7"/>
        <v>0</v>
      </c>
      <c r="R137" s="106">
        <f t="shared" si="6"/>
        <v>0</v>
      </c>
      <c r="S137" s="2">
        <f t="shared" si="8"/>
        <v>0</v>
      </c>
      <c r="T137" s="305"/>
      <c r="U137" s="235"/>
      <c r="V137" s="235"/>
      <c r="W137" s="235"/>
      <c r="X137" s="241"/>
      <c r="Y137" s="79"/>
      <c r="Z137" s="230"/>
      <c r="AA137" s="230"/>
      <c r="AB137" s="230"/>
      <c r="AC137" s="188"/>
    </row>
    <row r="138" spans="2:29" ht="15.75" thickBot="1" x14ac:dyDescent="0.3">
      <c r="B138" s="240"/>
      <c r="C138" s="284"/>
      <c r="D138" s="235"/>
      <c r="E138" s="235"/>
      <c r="F138" s="230"/>
      <c r="G138" s="235"/>
      <c r="H138" s="235"/>
      <c r="I138" s="320"/>
      <c r="J138" s="235"/>
      <c r="K138" s="235"/>
      <c r="L138" s="235"/>
      <c r="M138" s="375"/>
      <c r="N138" s="236"/>
      <c r="O138" s="235"/>
      <c r="P138" s="241"/>
      <c r="Q138" s="239">
        <f t="shared" ca="1" si="7"/>
        <v>0</v>
      </c>
      <c r="R138" s="106">
        <f t="shared" si="6"/>
        <v>0</v>
      </c>
      <c r="S138" s="2">
        <f t="shared" si="8"/>
        <v>0</v>
      </c>
      <c r="T138" s="305"/>
      <c r="U138" s="235"/>
      <c r="V138" s="235"/>
      <c r="W138" s="235"/>
      <c r="X138" s="241"/>
      <c r="Y138" s="79"/>
      <c r="Z138" s="230"/>
      <c r="AA138" s="230"/>
      <c r="AB138" s="230"/>
      <c r="AC138" s="188"/>
    </row>
    <row r="139" spans="2:29" ht="15.75" thickBot="1" x14ac:dyDescent="0.3">
      <c r="B139" s="240"/>
      <c r="C139" s="284"/>
      <c r="D139" s="235"/>
      <c r="E139" s="235"/>
      <c r="F139" s="230"/>
      <c r="G139" s="235"/>
      <c r="H139" s="235"/>
      <c r="I139" s="320"/>
      <c r="J139" s="235"/>
      <c r="K139" s="235"/>
      <c r="L139" s="235"/>
      <c r="M139" s="375"/>
      <c r="N139" s="236"/>
      <c r="O139" s="235"/>
      <c r="P139" s="241"/>
      <c r="Q139" s="239">
        <f t="shared" ca="1" si="7"/>
        <v>0</v>
      </c>
      <c r="R139" s="106">
        <f t="shared" si="6"/>
        <v>0</v>
      </c>
      <c r="S139" s="2">
        <f t="shared" si="8"/>
        <v>0</v>
      </c>
      <c r="T139" s="305"/>
      <c r="U139" s="235"/>
      <c r="V139" s="235"/>
      <c r="W139" s="235"/>
      <c r="X139" s="241"/>
      <c r="Y139" s="79"/>
      <c r="Z139" s="230"/>
      <c r="AA139" s="230"/>
      <c r="AB139" s="230"/>
      <c r="AC139" s="188"/>
    </row>
    <row r="140" spans="2:29" ht="15.75" thickBot="1" x14ac:dyDescent="0.3">
      <c r="B140" s="240"/>
      <c r="C140" s="284"/>
      <c r="D140" s="235"/>
      <c r="E140" s="235"/>
      <c r="F140" s="230"/>
      <c r="G140" s="235"/>
      <c r="H140" s="235"/>
      <c r="I140" s="320"/>
      <c r="J140" s="235"/>
      <c r="K140" s="235"/>
      <c r="L140" s="235"/>
      <c r="M140" s="375"/>
      <c r="N140" s="236"/>
      <c r="O140" s="235"/>
      <c r="P140" s="241"/>
      <c r="Q140" s="239">
        <f t="shared" ca="1" si="7"/>
        <v>0</v>
      </c>
      <c r="R140" s="106">
        <f t="shared" si="6"/>
        <v>0</v>
      </c>
      <c r="S140" s="2">
        <f t="shared" si="8"/>
        <v>0</v>
      </c>
      <c r="T140" s="305"/>
      <c r="U140" s="235"/>
      <c r="V140" s="235"/>
      <c r="W140" s="235"/>
      <c r="X140" s="241"/>
      <c r="Y140" s="79"/>
      <c r="Z140" s="230"/>
      <c r="AA140" s="230"/>
      <c r="AB140" s="230"/>
      <c r="AC140" s="188"/>
    </row>
    <row r="141" spans="2:29" ht="15.75" thickBot="1" x14ac:dyDescent="0.3">
      <c r="B141" s="240"/>
      <c r="C141" s="284"/>
      <c r="D141" s="235"/>
      <c r="E141" s="235"/>
      <c r="F141" s="230"/>
      <c r="G141" s="235"/>
      <c r="H141" s="235"/>
      <c r="I141" s="320"/>
      <c r="J141" s="235"/>
      <c r="K141" s="235"/>
      <c r="L141" s="235"/>
      <c r="M141" s="375"/>
      <c r="N141" s="236"/>
      <c r="O141" s="235"/>
      <c r="P141" s="241"/>
      <c r="Q141" s="239">
        <f t="shared" ca="1" si="7"/>
        <v>0</v>
      </c>
      <c r="R141" s="106">
        <f t="shared" si="6"/>
        <v>0</v>
      </c>
      <c r="S141" s="2">
        <f t="shared" si="8"/>
        <v>0</v>
      </c>
      <c r="T141" s="305"/>
      <c r="U141" s="235"/>
      <c r="V141" s="235"/>
      <c r="W141" s="235"/>
      <c r="X141" s="241"/>
      <c r="Y141" s="79"/>
      <c r="Z141" s="230"/>
      <c r="AA141" s="230"/>
      <c r="AB141" s="230"/>
      <c r="AC141" s="188"/>
    </row>
    <row r="142" spans="2:29" ht="15.75" thickBot="1" x14ac:dyDescent="0.3">
      <c r="B142" s="240"/>
      <c r="C142" s="284"/>
      <c r="D142" s="235"/>
      <c r="E142" s="235"/>
      <c r="F142" s="230"/>
      <c r="G142" s="235"/>
      <c r="H142" s="235"/>
      <c r="I142" s="320"/>
      <c r="J142" s="235"/>
      <c r="K142" s="235"/>
      <c r="L142" s="235"/>
      <c r="M142" s="375"/>
      <c r="N142" s="236"/>
      <c r="O142" s="235"/>
      <c r="P142" s="241"/>
      <c r="Q142" s="239">
        <f t="shared" ca="1" si="7"/>
        <v>0</v>
      </c>
      <c r="R142" s="106">
        <f t="shared" si="6"/>
        <v>0</v>
      </c>
      <c r="S142" s="2">
        <f t="shared" si="8"/>
        <v>0</v>
      </c>
      <c r="T142" s="305"/>
      <c r="U142" s="235"/>
      <c r="V142" s="235"/>
      <c r="W142" s="235"/>
      <c r="X142" s="241"/>
      <c r="Y142" s="79"/>
      <c r="Z142" s="230"/>
      <c r="AA142" s="230"/>
      <c r="AB142" s="230"/>
      <c r="AC142" s="188"/>
    </row>
    <row r="143" spans="2:29" ht="15.75" thickBot="1" x14ac:dyDescent="0.3">
      <c r="B143" s="240"/>
      <c r="C143" s="284"/>
      <c r="D143" s="235"/>
      <c r="E143" s="235"/>
      <c r="F143" s="230"/>
      <c r="G143" s="235"/>
      <c r="H143" s="235"/>
      <c r="I143" s="320"/>
      <c r="J143" s="235"/>
      <c r="K143" s="235"/>
      <c r="L143" s="235"/>
      <c r="M143" s="375"/>
      <c r="N143" s="236"/>
      <c r="O143" s="235"/>
      <c r="P143" s="241"/>
      <c r="Q143" s="239">
        <f t="shared" ca="1" si="7"/>
        <v>0</v>
      </c>
      <c r="R143" s="106">
        <f t="shared" si="6"/>
        <v>0</v>
      </c>
      <c r="S143" s="2">
        <f t="shared" si="8"/>
        <v>0</v>
      </c>
      <c r="T143" s="305"/>
      <c r="U143" s="235"/>
      <c r="V143" s="235"/>
      <c r="W143" s="235"/>
      <c r="X143" s="241"/>
      <c r="Y143" s="79"/>
      <c r="Z143" s="230"/>
      <c r="AA143" s="230"/>
      <c r="AB143" s="230"/>
      <c r="AC143" s="188"/>
    </row>
    <row r="144" spans="2:29" ht="15.75" thickBot="1" x14ac:dyDescent="0.3">
      <c r="B144" s="240"/>
      <c r="C144" s="284"/>
      <c r="D144" s="235"/>
      <c r="E144" s="235"/>
      <c r="F144" s="230"/>
      <c r="G144" s="235"/>
      <c r="H144" s="235"/>
      <c r="I144" s="320"/>
      <c r="J144" s="235"/>
      <c r="K144" s="235"/>
      <c r="L144" s="235"/>
      <c r="M144" s="375"/>
      <c r="N144" s="236"/>
      <c r="O144" s="235"/>
      <c r="P144" s="241"/>
      <c r="Q144" s="239">
        <f t="shared" ca="1" si="7"/>
        <v>0</v>
      </c>
      <c r="R144" s="106">
        <f t="shared" si="6"/>
        <v>0</v>
      </c>
      <c r="S144" s="2">
        <f t="shared" si="8"/>
        <v>0</v>
      </c>
      <c r="T144" s="305"/>
      <c r="U144" s="235"/>
      <c r="V144" s="235"/>
      <c r="W144" s="235"/>
      <c r="X144" s="241"/>
      <c r="Y144" s="79"/>
      <c r="Z144" s="230"/>
      <c r="AA144" s="230"/>
      <c r="AB144" s="230"/>
      <c r="AC144" s="188"/>
    </row>
    <row r="145" spans="2:29" ht="15.75" thickBot="1" x14ac:dyDescent="0.3">
      <c r="B145" s="240"/>
      <c r="C145" s="284"/>
      <c r="D145" s="235"/>
      <c r="E145" s="235"/>
      <c r="F145" s="230"/>
      <c r="G145" s="235"/>
      <c r="H145" s="235"/>
      <c r="I145" s="320"/>
      <c r="J145" s="235"/>
      <c r="K145" s="235"/>
      <c r="L145" s="235"/>
      <c r="M145" s="375"/>
      <c r="N145" s="236"/>
      <c r="O145" s="235"/>
      <c r="P145" s="241"/>
      <c r="Q145" s="239">
        <f t="shared" ca="1" si="7"/>
        <v>0</v>
      </c>
      <c r="R145" s="106">
        <f t="shared" si="6"/>
        <v>0</v>
      </c>
      <c r="S145" s="2">
        <f t="shared" si="8"/>
        <v>0</v>
      </c>
      <c r="T145" s="305"/>
      <c r="U145" s="235"/>
      <c r="V145" s="235"/>
      <c r="W145" s="235"/>
      <c r="X145" s="241"/>
      <c r="Y145" s="79"/>
      <c r="Z145" s="230"/>
      <c r="AA145" s="230"/>
      <c r="AB145" s="230"/>
      <c r="AC145" s="188"/>
    </row>
    <row r="146" spans="2:29" ht="15.75" thickBot="1" x14ac:dyDescent="0.3">
      <c r="B146" s="240"/>
      <c r="C146" s="284"/>
      <c r="D146" s="235"/>
      <c r="E146" s="235"/>
      <c r="F146" s="230"/>
      <c r="G146" s="235"/>
      <c r="H146" s="235"/>
      <c r="I146" s="320"/>
      <c r="J146" s="235"/>
      <c r="K146" s="235"/>
      <c r="L146" s="235"/>
      <c r="M146" s="375"/>
      <c r="N146" s="236"/>
      <c r="O146" s="235"/>
      <c r="P146" s="241"/>
      <c r="Q146" s="239">
        <f t="shared" ca="1" si="7"/>
        <v>0</v>
      </c>
      <c r="R146" s="106">
        <f t="shared" si="6"/>
        <v>0</v>
      </c>
      <c r="S146" s="2">
        <f t="shared" si="8"/>
        <v>0</v>
      </c>
      <c r="T146" s="305"/>
      <c r="U146" s="235"/>
      <c r="V146" s="235"/>
      <c r="W146" s="235"/>
      <c r="X146" s="241"/>
      <c r="Y146" s="79"/>
      <c r="Z146" s="230"/>
      <c r="AA146" s="230"/>
      <c r="AB146" s="230"/>
      <c r="AC146" s="188"/>
    </row>
    <row r="147" spans="2:29" ht="15.75" thickBot="1" x14ac:dyDescent="0.3">
      <c r="B147" s="240"/>
      <c r="C147" s="284"/>
      <c r="D147" s="235"/>
      <c r="E147" s="235"/>
      <c r="F147" s="230"/>
      <c r="G147" s="235"/>
      <c r="H147" s="235"/>
      <c r="I147" s="320"/>
      <c r="J147" s="235"/>
      <c r="K147" s="235"/>
      <c r="L147" s="235"/>
      <c r="M147" s="375"/>
      <c r="N147" s="236"/>
      <c r="O147" s="235"/>
      <c r="P147" s="241"/>
      <c r="Q147" s="239">
        <f t="shared" ca="1" si="7"/>
        <v>0</v>
      </c>
      <c r="R147" s="106">
        <f t="shared" si="6"/>
        <v>0</v>
      </c>
      <c r="S147" s="2">
        <f t="shared" si="8"/>
        <v>0</v>
      </c>
      <c r="T147" s="305"/>
      <c r="U147" s="235"/>
      <c r="V147" s="235"/>
      <c r="W147" s="235"/>
      <c r="X147" s="241"/>
      <c r="Y147" s="79"/>
      <c r="Z147" s="230"/>
      <c r="AA147" s="230"/>
      <c r="AB147" s="230"/>
      <c r="AC147" s="188"/>
    </row>
    <row r="148" spans="2:29" ht="15.75" thickBot="1" x14ac:dyDescent="0.3">
      <c r="B148" s="240"/>
      <c r="C148" s="284"/>
      <c r="D148" s="235"/>
      <c r="E148" s="235"/>
      <c r="F148" s="230"/>
      <c r="G148" s="235"/>
      <c r="H148" s="235"/>
      <c r="I148" s="320"/>
      <c r="J148" s="235"/>
      <c r="K148" s="235"/>
      <c r="L148" s="235"/>
      <c r="M148" s="375"/>
      <c r="N148" s="236"/>
      <c r="O148" s="235"/>
      <c r="P148" s="241"/>
      <c r="Q148" s="239">
        <f t="shared" ca="1" si="7"/>
        <v>0</v>
      </c>
      <c r="R148" s="106">
        <f t="shared" si="6"/>
        <v>0</v>
      </c>
      <c r="S148" s="2">
        <f t="shared" si="8"/>
        <v>0</v>
      </c>
      <c r="T148" s="305"/>
      <c r="U148" s="235"/>
      <c r="V148" s="235"/>
      <c r="W148" s="235"/>
      <c r="X148" s="241"/>
      <c r="Y148" s="79"/>
      <c r="Z148" s="230"/>
      <c r="AA148" s="230"/>
      <c r="AB148" s="230"/>
      <c r="AC148" s="188"/>
    </row>
    <row r="149" spans="2:29" ht="15.75" thickBot="1" x14ac:dyDescent="0.3">
      <c r="B149" s="240"/>
      <c r="C149" s="284"/>
      <c r="D149" s="235"/>
      <c r="E149" s="235"/>
      <c r="F149" s="230"/>
      <c r="G149" s="235"/>
      <c r="H149" s="235"/>
      <c r="I149" s="320"/>
      <c r="J149" s="235"/>
      <c r="K149" s="235"/>
      <c r="L149" s="235"/>
      <c r="M149" s="375"/>
      <c r="N149" s="236"/>
      <c r="O149" s="235"/>
      <c r="P149" s="241"/>
      <c r="Q149" s="239">
        <f t="shared" ca="1" si="7"/>
        <v>0</v>
      </c>
      <c r="R149" s="106">
        <f t="shared" si="6"/>
        <v>0</v>
      </c>
      <c r="S149" s="2">
        <f t="shared" si="8"/>
        <v>0</v>
      </c>
      <c r="T149" s="305"/>
      <c r="U149" s="235"/>
      <c r="V149" s="235"/>
      <c r="W149" s="235"/>
      <c r="X149" s="241"/>
      <c r="Y149" s="79"/>
      <c r="Z149" s="230"/>
      <c r="AA149" s="230"/>
      <c r="AB149" s="230"/>
      <c r="AC149" s="188"/>
    </row>
    <row r="150" spans="2:29" ht="15.75" thickBot="1" x14ac:dyDescent="0.3">
      <c r="B150" s="240"/>
      <c r="C150" s="284"/>
      <c r="D150" s="235"/>
      <c r="E150" s="235"/>
      <c r="F150" s="230"/>
      <c r="G150" s="235"/>
      <c r="H150" s="235"/>
      <c r="I150" s="320"/>
      <c r="J150" s="235"/>
      <c r="K150" s="235"/>
      <c r="L150" s="235"/>
      <c r="M150" s="375"/>
      <c r="N150" s="236"/>
      <c r="O150" s="235"/>
      <c r="P150" s="241"/>
      <c r="Q150" s="239">
        <f t="shared" ca="1" si="7"/>
        <v>0</v>
      </c>
      <c r="R150" s="106">
        <f t="shared" si="6"/>
        <v>0</v>
      </c>
      <c r="S150" s="2">
        <f t="shared" si="8"/>
        <v>0</v>
      </c>
      <c r="T150" s="305"/>
      <c r="U150" s="235"/>
      <c r="V150" s="235"/>
      <c r="W150" s="235"/>
      <c r="X150" s="241"/>
      <c r="Y150" s="79"/>
      <c r="Z150" s="230"/>
      <c r="AA150" s="230"/>
      <c r="AB150" s="230"/>
      <c r="AC150" s="188"/>
    </row>
    <row r="151" spans="2:29" ht="15.75" thickBot="1" x14ac:dyDescent="0.3">
      <c r="B151" s="240"/>
      <c r="C151" s="284"/>
      <c r="D151" s="235"/>
      <c r="E151" s="235"/>
      <c r="F151" s="230"/>
      <c r="G151" s="235"/>
      <c r="H151" s="235"/>
      <c r="I151" s="320"/>
      <c r="J151" s="235"/>
      <c r="K151" s="235"/>
      <c r="L151" s="235"/>
      <c r="M151" s="375"/>
      <c r="N151" s="236"/>
      <c r="O151" s="235"/>
      <c r="P151" s="241"/>
      <c r="Q151" s="239">
        <f t="shared" ca="1" si="7"/>
        <v>0</v>
      </c>
      <c r="R151" s="106">
        <f t="shared" si="6"/>
        <v>0</v>
      </c>
      <c r="S151" s="2">
        <f t="shared" si="8"/>
        <v>0</v>
      </c>
      <c r="T151" s="305"/>
      <c r="U151" s="235"/>
      <c r="V151" s="235"/>
      <c r="W151" s="235"/>
      <c r="X151" s="241"/>
      <c r="Y151" s="79"/>
      <c r="Z151" s="230"/>
      <c r="AA151" s="230"/>
      <c r="AB151" s="230"/>
      <c r="AC151" s="188"/>
    </row>
    <row r="152" spans="2:29" ht="15.75" thickBot="1" x14ac:dyDescent="0.3">
      <c r="B152" s="240"/>
      <c r="C152" s="284"/>
      <c r="D152" s="235"/>
      <c r="E152" s="235"/>
      <c r="F152" s="230"/>
      <c r="G152" s="235"/>
      <c r="H152" s="235"/>
      <c r="I152" s="320"/>
      <c r="J152" s="235"/>
      <c r="K152" s="235"/>
      <c r="L152" s="235"/>
      <c r="M152" s="375"/>
      <c r="N152" s="236"/>
      <c r="O152" s="235"/>
      <c r="P152" s="241"/>
      <c r="Q152" s="239">
        <f t="shared" ca="1" si="7"/>
        <v>0</v>
      </c>
      <c r="R152" s="106">
        <f t="shared" si="6"/>
        <v>0</v>
      </c>
      <c r="S152" s="2">
        <f t="shared" si="8"/>
        <v>0</v>
      </c>
      <c r="T152" s="305"/>
      <c r="U152" s="235"/>
      <c r="V152" s="235"/>
      <c r="W152" s="235"/>
      <c r="X152" s="241"/>
      <c r="Y152" s="79"/>
      <c r="Z152" s="230"/>
      <c r="AA152" s="230"/>
      <c r="AB152" s="230"/>
      <c r="AC152" s="188"/>
    </row>
    <row r="153" spans="2:29" ht="15.75" thickBot="1" x14ac:dyDescent="0.3">
      <c r="B153" s="240"/>
      <c r="C153" s="284"/>
      <c r="D153" s="235"/>
      <c r="E153" s="235"/>
      <c r="F153" s="230"/>
      <c r="G153" s="235"/>
      <c r="H153" s="235"/>
      <c r="I153" s="320"/>
      <c r="J153" s="235"/>
      <c r="K153" s="235"/>
      <c r="L153" s="235"/>
      <c r="M153" s="375"/>
      <c r="N153" s="236"/>
      <c r="O153" s="235"/>
      <c r="P153" s="241"/>
      <c r="Q153" s="239">
        <f t="shared" ca="1" si="7"/>
        <v>0</v>
      </c>
      <c r="R153" s="106">
        <f t="shared" si="6"/>
        <v>0</v>
      </c>
      <c r="S153" s="2">
        <f t="shared" si="8"/>
        <v>0</v>
      </c>
      <c r="T153" s="305"/>
      <c r="U153" s="235"/>
      <c r="V153" s="235"/>
      <c r="W153" s="235"/>
      <c r="X153" s="241"/>
      <c r="Y153" s="79"/>
      <c r="Z153" s="230"/>
      <c r="AA153" s="230"/>
      <c r="AB153" s="230"/>
      <c r="AC153" s="188"/>
    </row>
    <row r="154" spans="2:29" ht="15.75" thickBot="1" x14ac:dyDescent="0.3">
      <c r="B154" s="240"/>
      <c r="C154" s="284"/>
      <c r="D154" s="235"/>
      <c r="E154" s="235"/>
      <c r="F154" s="230"/>
      <c r="G154" s="235"/>
      <c r="H154" s="235"/>
      <c r="I154" s="320"/>
      <c r="J154" s="235"/>
      <c r="K154" s="235"/>
      <c r="L154" s="235"/>
      <c r="M154" s="375"/>
      <c r="N154" s="236"/>
      <c r="O154" s="235"/>
      <c r="P154" s="241"/>
      <c r="Q154" s="239">
        <f t="shared" ca="1" si="7"/>
        <v>0</v>
      </c>
      <c r="R154" s="106">
        <f t="shared" si="6"/>
        <v>0</v>
      </c>
      <c r="S154" s="2">
        <f t="shared" si="8"/>
        <v>0</v>
      </c>
      <c r="T154" s="305"/>
      <c r="U154" s="235"/>
      <c r="V154" s="235"/>
      <c r="W154" s="235"/>
      <c r="X154" s="241"/>
      <c r="Y154" s="79"/>
      <c r="Z154" s="230"/>
      <c r="AA154" s="230"/>
      <c r="AB154" s="230"/>
      <c r="AC154" s="188"/>
    </row>
    <row r="155" spans="2:29" ht="15.75" thickBot="1" x14ac:dyDescent="0.3">
      <c r="B155" s="240"/>
      <c r="C155" s="284"/>
      <c r="D155" s="235"/>
      <c r="E155" s="235"/>
      <c r="F155" s="230"/>
      <c r="G155" s="235"/>
      <c r="H155" s="235"/>
      <c r="I155" s="320"/>
      <c r="J155" s="235"/>
      <c r="K155" s="235"/>
      <c r="L155" s="235"/>
      <c r="M155" s="375"/>
      <c r="N155" s="236"/>
      <c r="O155" s="235"/>
      <c r="P155" s="241"/>
      <c r="Q155" s="239">
        <f t="shared" ca="1" si="7"/>
        <v>0</v>
      </c>
      <c r="R155" s="106">
        <f t="shared" si="6"/>
        <v>0</v>
      </c>
      <c r="S155" s="2">
        <f t="shared" si="8"/>
        <v>0</v>
      </c>
      <c r="T155" s="305"/>
      <c r="U155" s="235"/>
      <c r="V155" s="235"/>
      <c r="W155" s="235"/>
      <c r="X155" s="241"/>
      <c r="Y155" s="79"/>
      <c r="Z155" s="230"/>
      <c r="AA155" s="230"/>
      <c r="AB155" s="230"/>
      <c r="AC155" s="188"/>
    </row>
    <row r="156" spans="2:29" ht="15.75" thickBot="1" x14ac:dyDescent="0.3">
      <c r="B156" s="240"/>
      <c r="C156" s="284"/>
      <c r="D156" s="235"/>
      <c r="E156" s="235"/>
      <c r="F156" s="230"/>
      <c r="G156" s="235"/>
      <c r="H156" s="235"/>
      <c r="I156" s="320"/>
      <c r="J156" s="235"/>
      <c r="K156" s="235"/>
      <c r="L156" s="235"/>
      <c r="M156" s="375"/>
      <c r="N156" s="236"/>
      <c r="O156" s="235"/>
      <c r="P156" s="241"/>
      <c r="Q156" s="239">
        <f t="shared" ca="1" si="7"/>
        <v>0</v>
      </c>
      <c r="R156" s="106">
        <f t="shared" si="6"/>
        <v>0</v>
      </c>
      <c r="S156" s="2">
        <f t="shared" si="8"/>
        <v>0</v>
      </c>
      <c r="T156" s="305"/>
      <c r="U156" s="235"/>
      <c r="V156" s="235"/>
      <c r="W156" s="235"/>
      <c r="X156" s="241"/>
      <c r="Y156" s="79"/>
      <c r="Z156" s="230"/>
      <c r="AA156" s="230"/>
      <c r="AB156" s="230"/>
      <c r="AC156" s="188"/>
    </row>
    <row r="157" spans="2:29" ht="15.75" thickBot="1" x14ac:dyDescent="0.3">
      <c r="B157" s="240"/>
      <c r="C157" s="284"/>
      <c r="D157" s="235"/>
      <c r="E157" s="235"/>
      <c r="F157" s="230"/>
      <c r="G157" s="235"/>
      <c r="H157" s="235"/>
      <c r="I157" s="320"/>
      <c r="J157" s="235"/>
      <c r="K157" s="235"/>
      <c r="L157" s="235"/>
      <c r="M157" s="375"/>
      <c r="N157" s="236"/>
      <c r="O157" s="235"/>
      <c r="P157" s="241"/>
      <c r="Q157" s="239">
        <f t="shared" ca="1" si="7"/>
        <v>0</v>
      </c>
      <c r="R157" s="106">
        <f t="shared" si="6"/>
        <v>0</v>
      </c>
      <c r="S157" s="2">
        <f t="shared" si="8"/>
        <v>0</v>
      </c>
      <c r="T157" s="305"/>
      <c r="U157" s="235"/>
      <c r="V157" s="235"/>
      <c r="W157" s="235"/>
      <c r="X157" s="241"/>
      <c r="Y157" s="79"/>
      <c r="Z157" s="230"/>
      <c r="AA157" s="230"/>
      <c r="AB157" s="230"/>
      <c r="AC157" s="188"/>
    </row>
    <row r="158" spans="2:29" ht="15.75" thickBot="1" x14ac:dyDescent="0.3">
      <c r="B158" s="240"/>
      <c r="C158" s="284"/>
      <c r="D158" s="235"/>
      <c r="E158" s="235"/>
      <c r="F158" s="230"/>
      <c r="G158" s="235"/>
      <c r="H158" s="235"/>
      <c r="I158" s="320"/>
      <c r="J158" s="235"/>
      <c r="K158" s="235"/>
      <c r="L158" s="235"/>
      <c r="M158" s="375"/>
      <c r="N158" s="236"/>
      <c r="O158" s="235"/>
      <c r="P158" s="241"/>
      <c r="Q158" s="239">
        <f t="shared" ca="1" si="7"/>
        <v>0</v>
      </c>
      <c r="R158" s="106">
        <f t="shared" si="6"/>
        <v>0</v>
      </c>
      <c r="S158" s="2">
        <f t="shared" si="8"/>
        <v>0</v>
      </c>
      <c r="T158" s="305"/>
      <c r="U158" s="235"/>
      <c r="V158" s="235"/>
      <c r="W158" s="235"/>
      <c r="X158" s="241"/>
      <c r="Y158" s="79"/>
      <c r="Z158" s="230"/>
      <c r="AA158" s="230"/>
      <c r="AB158" s="230"/>
      <c r="AC158" s="188"/>
    </row>
    <row r="159" spans="2:29" ht="15.75" thickBot="1" x14ac:dyDescent="0.3">
      <c r="B159" s="240"/>
      <c r="C159" s="284"/>
      <c r="D159" s="235"/>
      <c r="E159" s="235"/>
      <c r="F159" s="230"/>
      <c r="G159" s="235"/>
      <c r="H159" s="235"/>
      <c r="I159" s="320"/>
      <c r="J159" s="235"/>
      <c r="K159" s="235"/>
      <c r="L159" s="235"/>
      <c r="M159" s="375"/>
      <c r="N159" s="236"/>
      <c r="O159" s="235"/>
      <c r="P159" s="241"/>
      <c r="Q159" s="239">
        <f t="shared" ca="1" si="7"/>
        <v>0</v>
      </c>
      <c r="R159" s="106">
        <f t="shared" si="6"/>
        <v>0</v>
      </c>
      <c r="S159" s="2">
        <f t="shared" si="8"/>
        <v>0</v>
      </c>
      <c r="T159" s="305"/>
      <c r="U159" s="235"/>
      <c r="V159" s="235"/>
      <c r="W159" s="235"/>
      <c r="X159" s="241"/>
      <c r="Y159" s="79"/>
      <c r="Z159" s="230"/>
      <c r="AA159" s="230"/>
      <c r="AB159" s="230"/>
      <c r="AC159" s="188"/>
    </row>
    <row r="160" spans="2:29" ht="15.75" thickBot="1" x14ac:dyDescent="0.3">
      <c r="B160" s="240"/>
      <c r="C160" s="284"/>
      <c r="D160" s="235"/>
      <c r="E160" s="235"/>
      <c r="F160" s="230"/>
      <c r="G160" s="235"/>
      <c r="H160" s="235"/>
      <c r="I160" s="320"/>
      <c r="J160" s="235"/>
      <c r="K160" s="235"/>
      <c r="L160" s="235"/>
      <c r="M160" s="375"/>
      <c r="N160" s="236"/>
      <c r="O160" s="235"/>
      <c r="P160" s="241"/>
      <c r="Q160" s="239">
        <f t="shared" ca="1" si="7"/>
        <v>0</v>
      </c>
      <c r="R160" s="106">
        <f t="shared" si="6"/>
        <v>0</v>
      </c>
      <c r="S160" s="2">
        <f t="shared" si="8"/>
        <v>0</v>
      </c>
      <c r="T160" s="305"/>
      <c r="U160" s="235"/>
      <c r="V160" s="235"/>
      <c r="W160" s="235"/>
      <c r="X160" s="241"/>
      <c r="Y160" s="79"/>
      <c r="Z160" s="230"/>
      <c r="AA160" s="230"/>
      <c r="AB160" s="230"/>
      <c r="AC160" s="188"/>
    </row>
    <row r="161" spans="2:29" ht="15.75" thickBot="1" x14ac:dyDescent="0.3">
      <c r="B161" s="240"/>
      <c r="C161" s="284"/>
      <c r="D161" s="235"/>
      <c r="E161" s="235"/>
      <c r="F161" s="230"/>
      <c r="G161" s="235"/>
      <c r="H161" s="235"/>
      <c r="I161" s="320"/>
      <c r="J161" s="235"/>
      <c r="K161" s="235"/>
      <c r="L161" s="235"/>
      <c r="M161" s="375"/>
      <c r="N161" s="236"/>
      <c r="O161" s="235"/>
      <c r="P161" s="241"/>
      <c r="Q161" s="239">
        <f t="shared" ca="1" si="7"/>
        <v>0</v>
      </c>
      <c r="R161" s="106">
        <f t="shared" si="6"/>
        <v>0</v>
      </c>
      <c r="S161" s="2">
        <f t="shared" si="8"/>
        <v>0</v>
      </c>
      <c r="T161" s="305"/>
      <c r="U161" s="235"/>
      <c r="V161" s="235"/>
      <c r="W161" s="235"/>
      <c r="X161" s="241"/>
      <c r="Y161" s="79"/>
      <c r="Z161" s="230"/>
      <c r="AA161" s="230"/>
      <c r="AB161" s="230"/>
      <c r="AC161" s="188"/>
    </row>
    <row r="162" spans="2:29" ht="15.75" thickBot="1" x14ac:dyDescent="0.3">
      <c r="B162" s="240"/>
      <c r="C162" s="284"/>
      <c r="D162" s="235"/>
      <c r="E162" s="235"/>
      <c r="F162" s="230"/>
      <c r="G162" s="235"/>
      <c r="H162" s="235"/>
      <c r="I162" s="320"/>
      <c r="J162" s="235"/>
      <c r="K162" s="235"/>
      <c r="L162" s="235"/>
      <c r="M162" s="375"/>
      <c r="N162" s="236"/>
      <c r="O162" s="235"/>
      <c r="P162" s="241"/>
      <c r="Q162" s="239">
        <f t="shared" ca="1" si="7"/>
        <v>0</v>
      </c>
      <c r="R162" s="106">
        <f t="shared" si="6"/>
        <v>0</v>
      </c>
      <c r="S162" s="2">
        <f t="shared" si="8"/>
        <v>0</v>
      </c>
      <c r="T162" s="305"/>
      <c r="U162" s="235"/>
      <c r="V162" s="235"/>
      <c r="W162" s="235"/>
      <c r="X162" s="241"/>
      <c r="Y162" s="79"/>
      <c r="Z162" s="230"/>
      <c r="AA162" s="230"/>
      <c r="AB162" s="230"/>
      <c r="AC162" s="188"/>
    </row>
    <row r="163" spans="2:29" ht="15.75" thickBot="1" x14ac:dyDescent="0.3">
      <c r="B163" s="240"/>
      <c r="C163" s="284"/>
      <c r="D163" s="235"/>
      <c r="E163" s="235"/>
      <c r="F163" s="230"/>
      <c r="G163" s="235"/>
      <c r="H163" s="235"/>
      <c r="I163" s="320"/>
      <c r="J163" s="235"/>
      <c r="K163" s="235"/>
      <c r="L163" s="235"/>
      <c r="M163" s="375"/>
      <c r="N163" s="236"/>
      <c r="O163" s="235"/>
      <c r="P163" s="241"/>
      <c r="Q163" s="239">
        <f t="shared" ca="1" si="7"/>
        <v>0</v>
      </c>
      <c r="R163" s="106">
        <f t="shared" si="6"/>
        <v>0</v>
      </c>
      <c r="S163" s="2">
        <f t="shared" si="8"/>
        <v>0</v>
      </c>
      <c r="T163" s="305"/>
      <c r="U163" s="235"/>
      <c r="V163" s="235"/>
      <c r="W163" s="235"/>
      <c r="X163" s="241"/>
      <c r="Y163" s="79"/>
      <c r="Z163" s="230"/>
      <c r="AA163" s="230"/>
      <c r="AB163" s="230"/>
      <c r="AC163" s="188"/>
    </row>
    <row r="164" spans="2:29" ht="15.75" thickBot="1" x14ac:dyDescent="0.3">
      <c r="B164" s="240"/>
      <c r="C164" s="284"/>
      <c r="D164" s="235"/>
      <c r="E164" s="235"/>
      <c r="F164" s="230"/>
      <c r="G164" s="235"/>
      <c r="H164" s="235"/>
      <c r="I164" s="320"/>
      <c r="J164" s="235"/>
      <c r="K164" s="235"/>
      <c r="L164" s="235"/>
      <c r="M164" s="375"/>
      <c r="N164" s="236"/>
      <c r="O164" s="235"/>
      <c r="P164" s="241"/>
      <c r="Q164" s="239">
        <f t="shared" ca="1" si="7"/>
        <v>0</v>
      </c>
      <c r="R164" s="106">
        <f t="shared" si="6"/>
        <v>0</v>
      </c>
      <c r="S164" s="2">
        <f t="shared" si="8"/>
        <v>0</v>
      </c>
      <c r="T164" s="305"/>
      <c r="U164" s="235"/>
      <c r="V164" s="235"/>
      <c r="W164" s="235"/>
      <c r="X164" s="241"/>
      <c r="Y164" s="79"/>
      <c r="Z164" s="230"/>
      <c r="AA164" s="230"/>
      <c r="AB164" s="230"/>
      <c r="AC164" s="188"/>
    </row>
    <row r="165" spans="2:29" ht="15.75" thickBot="1" x14ac:dyDescent="0.3">
      <c r="B165" s="240"/>
      <c r="C165" s="284"/>
      <c r="D165" s="235"/>
      <c r="E165" s="235"/>
      <c r="F165" s="230"/>
      <c r="G165" s="235"/>
      <c r="H165" s="235"/>
      <c r="I165" s="320"/>
      <c r="J165" s="235"/>
      <c r="K165" s="235"/>
      <c r="L165" s="235"/>
      <c r="M165" s="375"/>
      <c r="N165" s="236"/>
      <c r="O165" s="235"/>
      <c r="P165" s="241"/>
      <c r="Q165" s="239">
        <f t="shared" ca="1" si="7"/>
        <v>0</v>
      </c>
      <c r="R165" s="106">
        <f t="shared" si="6"/>
        <v>0</v>
      </c>
      <c r="S165" s="2">
        <f t="shared" si="8"/>
        <v>0</v>
      </c>
      <c r="T165" s="305"/>
      <c r="U165" s="235"/>
      <c r="V165" s="235"/>
      <c r="W165" s="235"/>
      <c r="X165" s="241"/>
      <c r="Y165" s="79"/>
      <c r="Z165" s="230"/>
      <c r="AA165" s="230"/>
      <c r="AB165" s="230"/>
      <c r="AC165" s="188"/>
    </row>
    <row r="166" spans="2:29" ht="15.75" thickBot="1" x14ac:dyDescent="0.3">
      <c r="B166" s="240"/>
      <c r="C166" s="284"/>
      <c r="D166" s="235"/>
      <c r="E166" s="235"/>
      <c r="F166" s="230"/>
      <c r="G166" s="235"/>
      <c r="H166" s="235"/>
      <c r="I166" s="320"/>
      <c r="J166" s="235"/>
      <c r="K166" s="235"/>
      <c r="L166" s="235"/>
      <c r="M166" s="375"/>
      <c r="N166" s="236"/>
      <c r="O166" s="235"/>
      <c r="P166" s="241"/>
      <c r="Q166" s="239">
        <f t="shared" ca="1" si="7"/>
        <v>0</v>
      </c>
      <c r="R166" s="106">
        <f t="shared" si="6"/>
        <v>0</v>
      </c>
      <c r="S166" s="2">
        <f t="shared" si="8"/>
        <v>0</v>
      </c>
      <c r="T166" s="305"/>
      <c r="U166" s="235"/>
      <c r="V166" s="235"/>
      <c r="W166" s="235"/>
      <c r="X166" s="241"/>
      <c r="Y166" s="79"/>
      <c r="Z166" s="230"/>
      <c r="AA166" s="230"/>
      <c r="AB166" s="230"/>
      <c r="AC166" s="188"/>
    </row>
    <row r="167" spans="2:29" ht="15.75" thickBot="1" x14ac:dyDescent="0.3">
      <c r="B167" s="240"/>
      <c r="C167" s="284"/>
      <c r="D167" s="235"/>
      <c r="E167" s="235"/>
      <c r="F167" s="230"/>
      <c r="G167" s="235"/>
      <c r="H167" s="235"/>
      <c r="I167" s="320"/>
      <c r="J167" s="235"/>
      <c r="K167" s="235"/>
      <c r="L167" s="235"/>
      <c r="M167" s="375"/>
      <c r="N167" s="236"/>
      <c r="O167" s="235"/>
      <c r="P167" s="241"/>
      <c r="Q167" s="239">
        <f t="shared" ca="1" si="7"/>
        <v>0</v>
      </c>
      <c r="R167" s="106">
        <f t="shared" si="6"/>
        <v>0</v>
      </c>
      <c r="S167" s="2">
        <f t="shared" si="8"/>
        <v>0</v>
      </c>
      <c r="T167" s="305"/>
      <c r="U167" s="235"/>
      <c r="V167" s="235"/>
      <c r="W167" s="235"/>
      <c r="X167" s="241"/>
      <c r="Y167" s="79"/>
      <c r="Z167" s="230"/>
      <c r="AA167" s="230"/>
      <c r="AB167" s="230"/>
      <c r="AC167" s="188"/>
    </row>
    <row r="168" spans="2:29" ht="15.75" thickBot="1" x14ac:dyDescent="0.3">
      <c r="B168" s="240"/>
      <c r="C168" s="284"/>
      <c r="D168" s="235"/>
      <c r="E168" s="235"/>
      <c r="F168" s="230"/>
      <c r="G168" s="235"/>
      <c r="H168" s="235"/>
      <c r="I168" s="320"/>
      <c r="J168" s="235"/>
      <c r="K168" s="235"/>
      <c r="L168" s="235"/>
      <c r="M168" s="375"/>
      <c r="N168" s="236"/>
      <c r="O168" s="235"/>
      <c r="P168" s="241"/>
      <c r="Q168" s="239">
        <f t="shared" ca="1" si="7"/>
        <v>0</v>
      </c>
      <c r="R168" s="106">
        <f t="shared" si="6"/>
        <v>0</v>
      </c>
      <c r="S168" s="2">
        <f t="shared" si="8"/>
        <v>0</v>
      </c>
      <c r="T168" s="305"/>
      <c r="U168" s="235"/>
      <c r="V168" s="235"/>
      <c r="W168" s="235"/>
      <c r="X168" s="241"/>
      <c r="Y168" s="79"/>
      <c r="Z168" s="230"/>
      <c r="AA168" s="230"/>
      <c r="AB168" s="230"/>
      <c r="AC168" s="188"/>
    </row>
    <row r="169" spans="2:29" ht="15.75" thickBot="1" x14ac:dyDescent="0.3">
      <c r="B169" s="240"/>
      <c r="C169" s="284"/>
      <c r="D169" s="235"/>
      <c r="E169" s="235"/>
      <c r="F169" s="230"/>
      <c r="G169" s="235"/>
      <c r="H169" s="235"/>
      <c r="I169" s="320"/>
      <c r="J169" s="235"/>
      <c r="K169" s="235"/>
      <c r="L169" s="235"/>
      <c r="M169" s="375"/>
      <c r="N169" s="236"/>
      <c r="O169" s="235"/>
      <c r="P169" s="241"/>
      <c r="Q169" s="239">
        <f t="shared" ca="1" si="7"/>
        <v>0</v>
      </c>
      <c r="R169" s="106">
        <f t="shared" si="6"/>
        <v>0</v>
      </c>
      <c r="S169" s="2">
        <f t="shared" si="8"/>
        <v>0</v>
      </c>
      <c r="T169" s="305"/>
      <c r="U169" s="235"/>
      <c r="V169" s="235"/>
      <c r="W169" s="235"/>
      <c r="X169" s="241"/>
      <c r="Y169" s="79"/>
      <c r="Z169" s="230"/>
      <c r="AA169" s="230"/>
      <c r="AB169" s="230"/>
      <c r="AC169" s="188"/>
    </row>
    <row r="170" spans="2:29" ht="15.75" thickBot="1" x14ac:dyDescent="0.3">
      <c r="B170" s="240"/>
      <c r="C170" s="284"/>
      <c r="D170" s="235"/>
      <c r="E170" s="235"/>
      <c r="F170" s="230"/>
      <c r="G170" s="235"/>
      <c r="H170" s="235"/>
      <c r="I170" s="320"/>
      <c r="J170" s="235"/>
      <c r="K170" s="235"/>
      <c r="L170" s="235"/>
      <c r="M170" s="375"/>
      <c r="N170" s="236"/>
      <c r="O170" s="235"/>
      <c r="P170" s="241"/>
      <c r="Q170" s="239">
        <f t="shared" ca="1" si="7"/>
        <v>0</v>
      </c>
      <c r="R170" s="106">
        <f t="shared" si="6"/>
        <v>0</v>
      </c>
      <c r="S170" s="2">
        <f t="shared" si="8"/>
        <v>0</v>
      </c>
      <c r="T170" s="305"/>
      <c r="U170" s="235"/>
      <c r="V170" s="235"/>
      <c r="W170" s="235"/>
      <c r="X170" s="241"/>
      <c r="Y170" s="79"/>
      <c r="Z170" s="230"/>
      <c r="AA170" s="230"/>
      <c r="AB170" s="230"/>
      <c r="AC170" s="188"/>
    </row>
    <row r="171" spans="2:29" ht="15.75" thickBot="1" x14ac:dyDescent="0.3">
      <c r="B171" s="240"/>
      <c r="C171" s="284"/>
      <c r="D171" s="235"/>
      <c r="E171" s="235"/>
      <c r="F171" s="230"/>
      <c r="G171" s="235"/>
      <c r="H171" s="235"/>
      <c r="I171" s="320"/>
      <c r="J171" s="235"/>
      <c r="K171" s="235"/>
      <c r="L171" s="235"/>
      <c r="M171" s="375"/>
      <c r="N171" s="236"/>
      <c r="O171" s="235"/>
      <c r="P171" s="241"/>
      <c r="Q171" s="239">
        <f t="shared" ca="1" si="7"/>
        <v>0</v>
      </c>
      <c r="R171" s="106">
        <f t="shared" si="6"/>
        <v>0</v>
      </c>
      <c r="S171" s="2">
        <f t="shared" si="8"/>
        <v>0</v>
      </c>
      <c r="T171" s="305"/>
      <c r="U171" s="235"/>
      <c r="V171" s="235"/>
      <c r="W171" s="235"/>
      <c r="X171" s="241"/>
      <c r="Y171" s="79"/>
      <c r="Z171" s="230"/>
      <c r="AA171" s="230"/>
      <c r="AB171" s="230"/>
      <c r="AC171" s="188"/>
    </row>
    <row r="172" spans="2:29" ht="15.75" thickBot="1" x14ac:dyDescent="0.3">
      <c r="B172" s="240"/>
      <c r="C172" s="284"/>
      <c r="D172" s="235"/>
      <c r="E172" s="235"/>
      <c r="F172" s="230"/>
      <c r="G172" s="235"/>
      <c r="H172" s="235"/>
      <c r="I172" s="320"/>
      <c r="J172" s="235"/>
      <c r="K172" s="235"/>
      <c r="L172" s="235"/>
      <c r="M172" s="375"/>
      <c r="N172" s="236"/>
      <c r="O172" s="235"/>
      <c r="P172" s="241"/>
      <c r="Q172" s="239">
        <f t="shared" ca="1" si="7"/>
        <v>0</v>
      </c>
      <c r="R172" s="106">
        <f t="shared" si="6"/>
        <v>0</v>
      </c>
      <c r="S172" s="2">
        <f t="shared" si="8"/>
        <v>0</v>
      </c>
      <c r="T172" s="305"/>
      <c r="U172" s="235"/>
      <c r="V172" s="235"/>
      <c r="W172" s="235"/>
      <c r="X172" s="241"/>
      <c r="Y172" s="79"/>
      <c r="Z172" s="230"/>
      <c r="AA172" s="230"/>
      <c r="AB172" s="230"/>
      <c r="AC172" s="188"/>
    </row>
    <row r="173" spans="2:29" ht="15.75" thickBot="1" x14ac:dyDescent="0.3">
      <c r="B173" s="240"/>
      <c r="C173" s="284"/>
      <c r="D173" s="235"/>
      <c r="E173" s="235"/>
      <c r="F173" s="230"/>
      <c r="G173" s="235"/>
      <c r="H173" s="235"/>
      <c r="I173" s="320"/>
      <c r="J173" s="235"/>
      <c r="K173" s="235"/>
      <c r="L173" s="235"/>
      <c r="M173" s="375"/>
      <c r="N173" s="236"/>
      <c r="O173" s="235"/>
      <c r="P173" s="241"/>
      <c r="Q173" s="239">
        <f t="shared" ca="1" si="7"/>
        <v>0</v>
      </c>
      <c r="R173" s="106">
        <f t="shared" si="6"/>
        <v>0</v>
      </c>
      <c r="S173" s="2">
        <f t="shared" si="8"/>
        <v>0</v>
      </c>
      <c r="T173" s="305"/>
      <c r="U173" s="235"/>
      <c r="V173" s="235"/>
      <c r="W173" s="235"/>
      <c r="X173" s="241"/>
      <c r="Y173" s="79"/>
      <c r="Z173" s="230"/>
      <c r="AA173" s="230"/>
      <c r="AB173" s="230"/>
      <c r="AC173" s="188"/>
    </row>
    <row r="174" spans="2:29" ht="15.75" thickBot="1" x14ac:dyDescent="0.3">
      <c r="B174" s="240"/>
      <c r="C174" s="284"/>
      <c r="D174" s="235"/>
      <c r="E174" s="235"/>
      <c r="F174" s="230"/>
      <c r="G174" s="235"/>
      <c r="H174" s="235"/>
      <c r="I174" s="320"/>
      <c r="J174" s="235"/>
      <c r="K174" s="235"/>
      <c r="L174" s="235"/>
      <c r="M174" s="375"/>
      <c r="N174" s="236"/>
      <c r="O174" s="235"/>
      <c r="P174" s="241"/>
      <c r="Q174" s="239">
        <f t="shared" ca="1" si="7"/>
        <v>0</v>
      </c>
      <c r="R174" s="106">
        <f t="shared" si="6"/>
        <v>0</v>
      </c>
      <c r="S174" s="2">
        <f t="shared" si="8"/>
        <v>0</v>
      </c>
      <c r="T174" s="305"/>
      <c r="U174" s="235"/>
      <c r="V174" s="235"/>
      <c r="W174" s="235"/>
      <c r="X174" s="241"/>
      <c r="Y174" s="79"/>
      <c r="Z174" s="230"/>
      <c r="AA174" s="230"/>
      <c r="AB174" s="230"/>
      <c r="AC174" s="188"/>
    </row>
    <row r="175" spans="2:29" ht="15.75" thickBot="1" x14ac:dyDescent="0.3">
      <c r="B175" s="240"/>
      <c r="C175" s="284"/>
      <c r="D175" s="235"/>
      <c r="E175" s="235"/>
      <c r="F175" s="230"/>
      <c r="G175" s="235"/>
      <c r="H175" s="235"/>
      <c r="I175" s="320"/>
      <c r="J175" s="235"/>
      <c r="K175" s="235"/>
      <c r="L175" s="235"/>
      <c r="M175" s="375"/>
      <c r="N175" s="236"/>
      <c r="O175" s="235"/>
      <c r="P175" s="241"/>
      <c r="Q175" s="239">
        <f t="shared" ca="1" si="7"/>
        <v>0</v>
      </c>
      <c r="R175" s="106">
        <f t="shared" si="6"/>
        <v>0</v>
      </c>
      <c r="S175" s="2">
        <f t="shared" si="8"/>
        <v>0</v>
      </c>
      <c r="T175" s="305"/>
      <c r="U175" s="235"/>
      <c r="V175" s="235"/>
      <c r="W175" s="235"/>
      <c r="X175" s="241"/>
      <c r="Y175" s="79"/>
      <c r="Z175" s="230"/>
      <c r="AA175" s="230"/>
      <c r="AB175" s="230"/>
      <c r="AC175" s="188"/>
    </row>
    <row r="176" spans="2:29" ht="15.75" thickBot="1" x14ac:dyDescent="0.3">
      <c r="B176" s="240"/>
      <c r="C176" s="284"/>
      <c r="D176" s="235"/>
      <c r="E176" s="235"/>
      <c r="F176" s="230"/>
      <c r="G176" s="235"/>
      <c r="H176" s="235"/>
      <c r="I176" s="320"/>
      <c r="J176" s="235"/>
      <c r="K176" s="235"/>
      <c r="L176" s="235"/>
      <c r="M176" s="375"/>
      <c r="N176" s="236"/>
      <c r="O176" s="235"/>
      <c r="P176" s="241"/>
      <c r="Q176" s="239">
        <f t="shared" ca="1" si="7"/>
        <v>0</v>
      </c>
      <c r="R176" s="106">
        <f t="shared" si="6"/>
        <v>0</v>
      </c>
      <c r="S176" s="2">
        <f t="shared" si="8"/>
        <v>0</v>
      </c>
      <c r="T176" s="305"/>
      <c r="U176" s="235"/>
      <c r="V176" s="235"/>
      <c r="W176" s="235"/>
      <c r="X176" s="241"/>
      <c r="Y176" s="79"/>
      <c r="Z176" s="230"/>
      <c r="AA176" s="230"/>
      <c r="AB176" s="230"/>
      <c r="AC176" s="188"/>
    </row>
    <row r="177" spans="2:29" ht="15.75" thickBot="1" x14ac:dyDescent="0.3">
      <c r="B177" s="240"/>
      <c r="C177" s="284"/>
      <c r="D177" s="235"/>
      <c r="E177" s="235"/>
      <c r="F177" s="230"/>
      <c r="G177" s="235"/>
      <c r="H177" s="235"/>
      <c r="I177" s="320"/>
      <c r="J177" s="235"/>
      <c r="K177" s="235"/>
      <c r="L177" s="235"/>
      <c r="M177" s="375"/>
      <c r="N177" s="236"/>
      <c r="O177" s="235"/>
      <c r="P177" s="241"/>
      <c r="Q177" s="239">
        <f t="shared" ca="1" si="7"/>
        <v>0</v>
      </c>
      <c r="R177" s="106">
        <f t="shared" si="6"/>
        <v>0</v>
      </c>
      <c r="S177" s="2">
        <f t="shared" si="8"/>
        <v>0</v>
      </c>
      <c r="T177" s="305"/>
      <c r="U177" s="235"/>
      <c r="V177" s="235"/>
      <c r="W177" s="235"/>
      <c r="X177" s="241"/>
      <c r="Y177" s="79"/>
      <c r="Z177" s="230"/>
      <c r="AA177" s="230"/>
      <c r="AB177" s="230"/>
      <c r="AC177" s="188"/>
    </row>
    <row r="178" spans="2:29" ht="15.75" thickBot="1" x14ac:dyDescent="0.3">
      <c r="B178" s="240"/>
      <c r="C178" s="284"/>
      <c r="D178" s="235"/>
      <c r="E178" s="235"/>
      <c r="F178" s="230"/>
      <c r="G178" s="235"/>
      <c r="H178" s="235"/>
      <c r="I178" s="320"/>
      <c r="J178" s="235"/>
      <c r="K178" s="235"/>
      <c r="L178" s="235"/>
      <c r="M178" s="375"/>
      <c r="N178" s="236"/>
      <c r="O178" s="235"/>
      <c r="P178" s="241"/>
      <c r="Q178" s="239">
        <f t="shared" ca="1" si="7"/>
        <v>0</v>
      </c>
      <c r="R178" s="106">
        <f t="shared" si="6"/>
        <v>0</v>
      </c>
      <c r="S178" s="2">
        <f t="shared" si="8"/>
        <v>0</v>
      </c>
      <c r="T178" s="305"/>
      <c r="U178" s="235"/>
      <c r="V178" s="235"/>
      <c r="W178" s="235"/>
      <c r="X178" s="241"/>
      <c r="Y178" s="79"/>
      <c r="Z178" s="230"/>
      <c r="AA178" s="230"/>
      <c r="AB178" s="230"/>
      <c r="AC178" s="188"/>
    </row>
    <row r="179" spans="2:29" ht="15.75" thickBot="1" x14ac:dyDescent="0.3">
      <c r="B179" s="240"/>
      <c r="C179" s="284"/>
      <c r="D179" s="235"/>
      <c r="E179" s="235"/>
      <c r="F179" s="230"/>
      <c r="G179" s="235"/>
      <c r="H179" s="235"/>
      <c r="I179" s="320"/>
      <c r="J179" s="235"/>
      <c r="K179" s="235"/>
      <c r="L179" s="235"/>
      <c r="M179" s="375"/>
      <c r="N179" s="236"/>
      <c r="O179" s="235"/>
      <c r="P179" s="241"/>
      <c r="Q179" s="239">
        <f t="shared" ca="1" si="7"/>
        <v>0</v>
      </c>
      <c r="R179" s="106">
        <f t="shared" si="6"/>
        <v>0</v>
      </c>
      <c r="S179" s="2">
        <f t="shared" si="8"/>
        <v>0</v>
      </c>
      <c r="T179" s="305"/>
      <c r="U179" s="235"/>
      <c r="V179" s="235"/>
      <c r="W179" s="235"/>
      <c r="X179" s="241"/>
      <c r="Y179" s="79"/>
      <c r="Z179" s="230"/>
      <c r="AA179" s="230"/>
      <c r="AB179" s="230"/>
      <c r="AC179" s="188"/>
    </row>
    <row r="180" spans="2:29" ht="15.75" thickBot="1" x14ac:dyDescent="0.3">
      <c r="B180" s="240"/>
      <c r="C180" s="284"/>
      <c r="D180" s="235"/>
      <c r="E180" s="235"/>
      <c r="F180" s="230"/>
      <c r="G180" s="235"/>
      <c r="H180" s="235"/>
      <c r="I180" s="320"/>
      <c r="J180" s="235"/>
      <c r="K180" s="235"/>
      <c r="L180" s="235"/>
      <c r="M180" s="375"/>
      <c r="N180" s="236"/>
      <c r="O180" s="235"/>
      <c r="P180" s="241"/>
      <c r="Q180" s="239">
        <f t="shared" ca="1" si="7"/>
        <v>0</v>
      </c>
      <c r="R180" s="106">
        <f t="shared" si="6"/>
        <v>0</v>
      </c>
      <c r="S180" s="2">
        <f t="shared" si="8"/>
        <v>0</v>
      </c>
      <c r="T180" s="305"/>
      <c r="U180" s="235"/>
      <c r="V180" s="235"/>
      <c r="W180" s="235"/>
      <c r="X180" s="241"/>
      <c r="Y180" s="79"/>
      <c r="Z180" s="230"/>
      <c r="AA180" s="230"/>
      <c r="AB180" s="230"/>
      <c r="AC180" s="188"/>
    </row>
    <row r="181" spans="2:29" ht="15.75" thickBot="1" x14ac:dyDescent="0.3">
      <c r="B181" s="240"/>
      <c r="C181" s="284"/>
      <c r="D181" s="235"/>
      <c r="E181" s="235"/>
      <c r="F181" s="230"/>
      <c r="G181" s="235"/>
      <c r="H181" s="235"/>
      <c r="I181" s="320"/>
      <c r="J181" s="235"/>
      <c r="K181" s="235"/>
      <c r="L181" s="235"/>
      <c r="M181" s="375"/>
      <c r="N181" s="236"/>
      <c r="O181" s="235"/>
      <c r="P181" s="241"/>
      <c r="Q181" s="239">
        <f t="shared" ca="1" si="7"/>
        <v>0</v>
      </c>
      <c r="R181" s="106">
        <f t="shared" si="6"/>
        <v>0</v>
      </c>
      <c r="S181" s="2">
        <f t="shared" si="8"/>
        <v>0</v>
      </c>
      <c r="T181" s="305"/>
      <c r="U181" s="235"/>
      <c r="V181" s="235"/>
      <c r="W181" s="235"/>
      <c r="X181" s="241"/>
      <c r="Y181" s="79"/>
      <c r="Z181" s="230"/>
      <c r="AA181" s="230"/>
      <c r="AB181" s="230"/>
      <c r="AC181" s="188"/>
    </row>
    <row r="182" spans="2:29" ht="15.75" thickBot="1" x14ac:dyDescent="0.3">
      <c r="B182" s="240"/>
      <c r="C182" s="284"/>
      <c r="D182" s="235"/>
      <c r="E182" s="235"/>
      <c r="F182" s="230"/>
      <c r="G182" s="235"/>
      <c r="H182" s="235"/>
      <c r="I182" s="320"/>
      <c r="J182" s="235"/>
      <c r="K182" s="235"/>
      <c r="L182" s="235"/>
      <c r="M182" s="375"/>
      <c r="N182" s="236"/>
      <c r="O182" s="235"/>
      <c r="P182" s="241"/>
      <c r="Q182" s="239">
        <f t="shared" ca="1" si="7"/>
        <v>0</v>
      </c>
      <c r="R182" s="106">
        <f t="shared" si="6"/>
        <v>0</v>
      </c>
      <c r="S182" s="2">
        <f t="shared" si="8"/>
        <v>0</v>
      </c>
      <c r="T182" s="305"/>
      <c r="U182" s="235"/>
      <c r="V182" s="235"/>
      <c r="W182" s="235"/>
      <c r="X182" s="241"/>
      <c r="Y182" s="79"/>
      <c r="Z182" s="230"/>
      <c r="AA182" s="230"/>
      <c r="AB182" s="230"/>
      <c r="AC182" s="188"/>
    </row>
    <row r="183" spans="2:29" ht="15.75" thickBot="1" x14ac:dyDescent="0.3">
      <c r="B183" s="240"/>
      <c r="C183" s="284"/>
      <c r="D183" s="235"/>
      <c r="E183" s="235"/>
      <c r="F183" s="230"/>
      <c r="G183" s="235"/>
      <c r="H183" s="235"/>
      <c r="I183" s="320"/>
      <c r="J183" s="235"/>
      <c r="K183" s="235"/>
      <c r="L183" s="235"/>
      <c r="M183" s="375"/>
      <c r="N183" s="236"/>
      <c r="O183" s="235"/>
      <c r="P183" s="241"/>
      <c r="Q183" s="239">
        <f t="shared" ca="1" si="7"/>
        <v>0</v>
      </c>
      <c r="R183" s="106">
        <f t="shared" si="6"/>
        <v>0</v>
      </c>
      <c r="S183" s="2">
        <f t="shared" si="8"/>
        <v>0</v>
      </c>
      <c r="T183" s="305"/>
      <c r="U183" s="235"/>
      <c r="V183" s="235"/>
      <c r="W183" s="235"/>
      <c r="X183" s="241"/>
      <c r="Y183" s="79"/>
      <c r="Z183" s="230"/>
      <c r="AA183" s="230"/>
      <c r="AB183" s="230"/>
      <c r="AC183" s="188"/>
    </row>
    <row r="184" spans="2:29" ht="15.75" thickBot="1" x14ac:dyDescent="0.3">
      <c r="B184" s="240"/>
      <c r="C184" s="284"/>
      <c r="D184" s="235"/>
      <c r="E184" s="235"/>
      <c r="F184" s="230"/>
      <c r="G184" s="235"/>
      <c r="H184" s="235"/>
      <c r="I184" s="320"/>
      <c r="J184" s="235"/>
      <c r="K184" s="235"/>
      <c r="L184" s="235"/>
      <c r="M184" s="375"/>
      <c r="N184" s="236"/>
      <c r="O184" s="235"/>
      <c r="P184" s="241"/>
      <c r="Q184" s="239">
        <f t="shared" ca="1" si="7"/>
        <v>0</v>
      </c>
      <c r="R184" s="106">
        <f t="shared" si="6"/>
        <v>0</v>
      </c>
      <c r="S184" s="2">
        <f t="shared" si="8"/>
        <v>0</v>
      </c>
      <c r="T184" s="305"/>
      <c r="U184" s="235"/>
      <c r="V184" s="235"/>
      <c r="W184" s="235"/>
      <c r="X184" s="241"/>
      <c r="Y184" s="79"/>
      <c r="Z184" s="230"/>
      <c r="AA184" s="230"/>
      <c r="AB184" s="230"/>
      <c r="AC184" s="188"/>
    </row>
    <row r="185" spans="2:29" ht="15.75" thickBot="1" x14ac:dyDescent="0.3">
      <c r="B185" s="240"/>
      <c r="C185" s="284"/>
      <c r="D185" s="235"/>
      <c r="E185" s="235"/>
      <c r="F185" s="230"/>
      <c r="G185" s="235"/>
      <c r="H185" s="235"/>
      <c r="I185" s="320"/>
      <c r="J185" s="235"/>
      <c r="K185" s="235"/>
      <c r="L185" s="235"/>
      <c r="M185" s="375"/>
      <c r="N185" s="236"/>
      <c r="O185" s="235"/>
      <c r="P185" s="241"/>
      <c r="Q185" s="239">
        <f t="shared" ca="1" si="7"/>
        <v>0</v>
      </c>
      <c r="R185" s="106">
        <f t="shared" si="6"/>
        <v>0</v>
      </c>
      <c r="S185" s="2">
        <f t="shared" si="8"/>
        <v>0</v>
      </c>
      <c r="T185" s="305"/>
      <c r="U185" s="235"/>
      <c r="V185" s="235"/>
      <c r="W185" s="235"/>
      <c r="X185" s="241"/>
      <c r="Y185" s="79"/>
      <c r="Z185" s="230"/>
      <c r="AA185" s="230"/>
      <c r="AB185" s="230"/>
      <c r="AC185" s="188"/>
    </row>
    <row r="186" spans="2:29" ht="15.75" thickBot="1" x14ac:dyDescent="0.3">
      <c r="B186" s="240"/>
      <c r="C186" s="284"/>
      <c r="D186" s="235"/>
      <c r="E186" s="235"/>
      <c r="F186" s="230"/>
      <c r="G186" s="235"/>
      <c r="H186" s="235"/>
      <c r="I186" s="320"/>
      <c r="J186" s="235"/>
      <c r="K186" s="235"/>
      <c r="L186" s="235"/>
      <c r="M186" s="375"/>
      <c r="N186" s="236"/>
      <c r="O186" s="235"/>
      <c r="P186" s="241"/>
      <c r="Q186" s="239">
        <f t="shared" ca="1" si="7"/>
        <v>0</v>
      </c>
      <c r="R186" s="106">
        <f t="shared" si="6"/>
        <v>0</v>
      </c>
      <c r="S186" s="2">
        <f t="shared" si="8"/>
        <v>0</v>
      </c>
      <c r="T186" s="305"/>
      <c r="U186" s="235"/>
      <c r="V186" s="235"/>
      <c r="W186" s="235"/>
      <c r="X186" s="241"/>
      <c r="Y186" s="79"/>
      <c r="Z186" s="230"/>
      <c r="AA186" s="230"/>
      <c r="AB186" s="230"/>
      <c r="AC186" s="188"/>
    </row>
    <row r="187" spans="2:29" ht="15.75" thickBot="1" x14ac:dyDescent="0.3">
      <c r="B187" s="240"/>
      <c r="C187" s="284"/>
      <c r="D187" s="235"/>
      <c r="E187" s="235"/>
      <c r="F187" s="230"/>
      <c r="G187" s="235"/>
      <c r="H187" s="235"/>
      <c r="I187" s="320"/>
      <c r="J187" s="235"/>
      <c r="K187" s="235"/>
      <c r="L187" s="235"/>
      <c r="M187" s="375"/>
      <c r="N187" s="236"/>
      <c r="O187" s="235"/>
      <c r="P187" s="241"/>
      <c r="Q187" s="239">
        <f t="shared" ca="1" si="7"/>
        <v>0</v>
      </c>
      <c r="R187" s="106">
        <f t="shared" si="6"/>
        <v>0</v>
      </c>
      <c r="S187" s="2">
        <f t="shared" si="8"/>
        <v>0</v>
      </c>
      <c r="T187" s="305"/>
      <c r="U187" s="235"/>
      <c r="V187" s="235"/>
      <c r="W187" s="235"/>
      <c r="X187" s="241"/>
      <c r="Y187" s="79"/>
      <c r="Z187" s="230"/>
      <c r="AA187" s="230"/>
      <c r="AB187" s="230"/>
      <c r="AC187" s="188"/>
    </row>
    <row r="188" spans="2:29" ht="15.75" thickBot="1" x14ac:dyDescent="0.3">
      <c r="B188" s="240"/>
      <c r="C188" s="284"/>
      <c r="D188" s="235"/>
      <c r="E188" s="235"/>
      <c r="F188" s="230"/>
      <c r="G188" s="235"/>
      <c r="H188" s="235"/>
      <c r="I188" s="320"/>
      <c r="J188" s="235"/>
      <c r="K188" s="235"/>
      <c r="L188" s="235"/>
      <c r="M188" s="375"/>
      <c r="N188" s="236"/>
      <c r="O188" s="235"/>
      <c r="P188" s="241"/>
      <c r="Q188" s="239">
        <f t="shared" ca="1" si="7"/>
        <v>0</v>
      </c>
      <c r="R188" s="106">
        <f t="shared" si="6"/>
        <v>0</v>
      </c>
      <c r="S188" s="2">
        <f t="shared" si="8"/>
        <v>0</v>
      </c>
      <c r="T188" s="305"/>
      <c r="U188" s="235"/>
      <c r="V188" s="235"/>
      <c r="W188" s="235"/>
      <c r="X188" s="241"/>
      <c r="Y188" s="79"/>
      <c r="Z188" s="230"/>
      <c r="AA188" s="230"/>
      <c r="AB188" s="230"/>
      <c r="AC188" s="188"/>
    </row>
    <row r="189" spans="2:29" ht="15.75" thickBot="1" x14ac:dyDescent="0.3">
      <c r="B189" s="240"/>
      <c r="C189" s="284"/>
      <c r="D189" s="235"/>
      <c r="E189" s="235"/>
      <c r="F189" s="230"/>
      <c r="G189" s="235"/>
      <c r="H189" s="235"/>
      <c r="I189" s="320"/>
      <c r="J189" s="235"/>
      <c r="K189" s="235"/>
      <c r="L189" s="235"/>
      <c r="M189" s="375"/>
      <c r="N189" s="236"/>
      <c r="O189" s="235"/>
      <c r="P189" s="241"/>
      <c r="Q189" s="239">
        <f t="shared" ca="1" si="7"/>
        <v>0</v>
      </c>
      <c r="R189" s="106">
        <f t="shared" si="6"/>
        <v>0</v>
      </c>
      <c r="S189" s="2">
        <f t="shared" si="8"/>
        <v>0</v>
      </c>
      <c r="T189" s="305"/>
      <c r="U189" s="235"/>
      <c r="V189" s="235"/>
      <c r="W189" s="235"/>
      <c r="X189" s="241"/>
      <c r="Y189" s="79"/>
      <c r="Z189" s="230"/>
      <c r="AA189" s="230"/>
      <c r="AB189" s="230"/>
      <c r="AC189" s="188"/>
    </row>
    <row r="190" spans="2:29" ht="15.75" thickBot="1" x14ac:dyDescent="0.3">
      <c r="B190" s="240"/>
      <c r="C190" s="284"/>
      <c r="D190" s="235"/>
      <c r="E190" s="235"/>
      <c r="F190" s="230"/>
      <c r="G190" s="235"/>
      <c r="H190" s="235"/>
      <c r="I190" s="320"/>
      <c r="J190" s="235"/>
      <c r="K190" s="235"/>
      <c r="L190" s="235"/>
      <c r="M190" s="375"/>
      <c r="N190" s="236"/>
      <c r="O190" s="235"/>
      <c r="P190" s="241"/>
      <c r="Q190" s="239">
        <f t="shared" ca="1" si="7"/>
        <v>0</v>
      </c>
      <c r="R190" s="106">
        <f t="shared" si="6"/>
        <v>0</v>
      </c>
      <c r="S190" s="2">
        <f t="shared" si="8"/>
        <v>0</v>
      </c>
      <c r="T190" s="305"/>
      <c r="U190" s="235"/>
      <c r="V190" s="235"/>
      <c r="W190" s="235"/>
      <c r="X190" s="241"/>
      <c r="Y190" s="79"/>
      <c r="Z190" s="230"/>
      <c r="AA190" s="230"/>
      <c r="AB190" s="230"/>
      <c r="AC190" s="188"/>
    </row>
    <row r="191" spans="2:29" ht="15.75" thickBot="1" x14ac:dyDescent="0.3">
      <c r="B191" s="240"/>
      <c r="C191" s="284"/>
      <c r="D191" s="235"/>
      <c r="E191" s="235"/>
      <c r="F191" s="230"/>
      <c r="G191" s="235"/>
      <c r="H191" s="235"/>
      <c r="I191" s="320"/>
      <c r="J191" s="235"/>
      <c r="K191" s="235"/>
      <c r="L191" s="235"/>
      <c r="M191" s="375"/>
      <c r="N191" s="236"/>
      <c r="O191" s="235"/>
      <c r="P191" s="241"/>
      <c r="Q191" s="239">
        <f t="shared" ca="1" si="7"/>
        <v>0</v>
      </c>
      <c r="R191" s="106">
        <f t="shared" si="6"/>
        <v>0</v>
      </c>
      <c r="S191" s="2">
        <f t="shared" si="8"/>
        <v>0</v>
      </c>
      <c r="T191" s="305"/>
      <c r="U191" s="235"/>
      <c r="V191" s="235"/>
      <c r="W191" s="235"/>
      <c r="X191" s="241"/>
      <c r="Y191" s="79"/>
      <c r="Z191" s="230"/>
      <c r="AA191" s="230"/>
      <c r="AB191" s="230"/>
      <c r="AC191" s="188"/>
    </row>
    <row r="192" spans="2:29" ht="15.75" thickBot="1" x14ac:dyDescent="0.3">
      <c r="B192" s="240"/>
      <c r="C192" s="284"/>
      <c r="D192" s="235"/>
      <c r="E192" s="235"/>
      <c r="F192" s="230"/>
      <c r="G192" s="235"/>
      <c r="H192" s="235"/>
      <c r="I192" s="320"/>
      <c r="J192" s="235"/>
      <c r="K192" s="235"/>
      <c r="L192" s="235"/>
      <c r="M192" s="375"/>
      <c r="N192" s="236"/>
      <c r="O192" s="235"/>
      <c r="P192" s="241"/>
      <c r="Q192" s="239">
        <f t="shared" ca="1" si="7"/>
        <v>0</v>
      </c>
      <c r="R192" s="106">
        <f t="shared" si="6"/>
        <v>0</v>
      </c>
      <c r="S192" s="2">
        <f t="shared" si="8"/>
        <v>0</v>
      </c>
      <c r="T192" s="305"/>
      <c r="U192" s="235"/>
      <c r="V192" s="235"/>
      <c r="W192" s="235"/>
      <c r="X192" s="241"/>
      <c r="Y192" s="79"/>
      <c r="Z192" s="230"/>
      <c r="AA192" s="230"/>
      <c r="AB192" s="230"/>
      <c r="AC192" s="188"/>
    </row>
    <row r="193" spans="2:29" ht="15.75" thickBot="1" x14ac:dyDescent="0.3">
      <c r="B193" s="240"/>
      <c r="C193" s="284"/>
      <c r="D193" s="235"/>
      <c r="E193" s="235"/>
      <c r="F193" s="230"/>
      <c r="G193" s="235"/>
      <c r="H193" s="235"/>
      <c r="I193" s="320"/>
      <c r="J193" s="235"/>
      <c r="K193" s="235"/>
      <c r="L193" s="235"/>
      <c r="M193" s="375"/>
      <c r="N193" s="236"/>
      <c r="O193" s="235"/>
      <c r="P193" s="241"/>
      <c r="Q193" s="239">
        <f t="shared" ca="1" si="7"/>
        <v>0</v>
      </c>
      <c r="R193" s="106">
        <f t="shared" si="6"/>
        <v>0</v>
      </c>
      <c r="S193" s="2">
        <f t="shared" si="8"/>
        <v>0</v>
      </c>
      <c r="T193" s="305"/>
      <c r="U193" s="235"/>
      <c r="V193" s="235"/>
      <c r="W193" s="235"/>
      <c r="X193" s="241"/>
      <c r="Y193" s="79"/>
      <c r="Z193" s="230"/>
      <c r="AA193" s="230"/>
      <c r="AB193" s="230"/>
      <c r="AC193" s="188"/>
    </row>
    <row r="194" spans="2:29" ht="15.75" thickBot="1" x14ac:dyDescent="0.3">
      <c r="B194" s="240"/>
      <c r="C194" s="284"/>
      <c r="D194" s="235"/>
      <c r="E194" s="235"/>
      <c r="F194" s="230"/>
      <c r="G194" s="235"/>
      <c r="H194" s="235"/>
      <c r="I194" s="320"/>
      <c r="J194" s="235"/>
      <c r="K194" s="235"/>
      <c r="L194" s="235"/>
      <c r="M194" s="375"/>
      <c r="N194" s="236"/>
      <c r="O194" s="235"/>
      <c r="P194" s="241"/>
      <c r="Q194" s="239">
        <f t="shared" ca="1" si="7"/>
        <v>0</v>
      </c>
      <c r="R194" s="106">
        <f t="shared" si="6"/>
        <v>0</v>
      </c>
      <c r="S194" s="2">
        <f t="shared" si="8"/>
        <v>0</v>
      </c>
      <c r="T194" s="305"/>
      <c r="U194" s="235"/>
      <c r="V194" s="235"/>
      <c r="W194" s="235"/>
      <c r="X194" s="241"/>
      <c r="Y194" s="79"/>
      <c r="Z194" s="230"/>
      <c r="AA194" s="230"/>
      <c r="AB194" s="230"/>
      <c r="AC194" s="188"/>
    </row>
    <row r="195" spans="2:29" ht="15.75" thickBot="1" x14ac:dyDescent="0.3">
      <c r="B195" s="240"/>
      <c r="C195" s="284"/>
      <c r="D195" s="235"/>
      <c r="E195" s="235"/>
      <c r="F195" s="230"/>
      <c r="G195" s="235"/>
      <c r="H195" s="235"/>
      <c r="I195" s="320"/>
      <c r="J195" s="235"/>
      <c r="K195" s="235"/>
      <c r="L195" s="235"/>
      <c r="M195" s="375"/>
      <c r="N195" s="236"/>
      <c r="O195" s="235"/>
      <c r="P195" s="241"/>
      <c r="Q195" s="239">
        <f t="shared" ca="1" si="7"/>
        <v>0</v>
      </c>
      <c r="R195" s="106">
        <f t="shared" si="6"/>
        <v>0</v>
      </c>
      <c r="S195" s="2">
        <f t="shared" si="8"/>
        <v>0</v>
      </c>
      <c r="T195" s="305"/>
      <c r="U195" s="235"/>
      <c r="V195" s="235"/>
      <c r="W195" s="235"/>
      <c r="X195" s="241"/>
      <c r="Y195" s="79"/>
      <c r="Z195" s="230"/>
      <c r="AA195" s="230"/>
      <c r="AB195" s="230"/>
      <c r="AC195" s="188"/>
    </row>
    <row r="196" spans="2:29" ht="15.75" thickBot="1" x14ac:dyDescent="0.3">
      <c r="B196" s="240"/>
      <c r="C196" s="284"/>
      <c r="D196" s="235"/>
      <c r="E196" s="235"/>
      <c r="F196" s="230"/>
      <c r="G196" s="235"/>
      <c r="H196" s="235"/>
      <c r="I196" s="320"/>
      <c r="J196" s="235"/>
      <c r="K196" s="235"/>
      <c r="L196" s="235"/>
      <c r="M196" s="375"/>
      <c r="N196" s="236"/>
      <c r="O196" s="235"/>
      <c r="P196" s="241"/>
      <c r="Q196" s="239">
        <f t="shared" ca="1" si="7"/>
        <v>0</v>
      </c>
      <c r="R196" s="106">
        <f t="shared" si="6"/>
        <v>0</v>
      </c>
      <c r="S196" s="2">
        <f t="shared" si="8"/>
        <v>0</v>
      </c>
      <c r="T196" s="305"/>
      <c r="U196" s="235"/>
      <c r="V196" s="235"/>
      <c r="W196" s="235"/>
      <c r="X196" s="241"/>
      <c r="Y196" s="79"/>
      <c r="Z196" s="230"/>
      <c r="AA196" s="230"/>
      <c r="AB196" s="230"/>
      <c r="AC196" s="188"/>
    </row>
    <row r="197" spans="2:29" ht="15.75" thickBot="1" x14ac:dyDescent="0.3">
      <c r="B197" s="240"/>
      <c r="C197" s="284"/>
      <c r="D197" s="235"/>
      <c r="E197" s="235"/>
      <c r="F197" s="230"/>
      <c r="G197" s="235"/>
      <c r="H197" s="235"/>
      <c r="I197" s="320"/>
      <c r="J197" s="235"/>
      <c r="K197" s="235"/>
      <c r="L197" s="235"/>
      <c r="M197" s="375"/>
      <c r="N197" s="236"/>
      <c r="O197" s="235"/>
      <c r="P197" s="241"/>
      <c r="Q197" s="239">
        <f t="shared" ca="1" si="7"/>
        <v>0</v>
      </c>
      <c r="R197" s="106">
        <f t="shared" si="6"/>
        <v>0</v>
      </c>
      <c r="S197" s="2">
        <f t="shared" si="8"/>
        <v>0</v>
      </c>
      <c r="T197" s="305"/>
      <c r="U197" s="235"/>
      <c r="V197" s="235"/>
      <c r="W197" s="235"/>
      <c r="X197" s="241"/>
      <c r="Y197" s="79"/>
      <c r="Z197" s="230"/>
      <c r="AA197" s="230"/>
      <c r="AB197" s="230"/>
      <c r="AC197" s="188"/>
    </row>
    <row r="198" spans="2:29" ht="15.75" thickBot="1" x14ac:dyDescent="0.3">
      <c r="B198" s="240"/>
      <c r="C198" s="284"/>
      <c r="D198" s="235"/>
      <c r="E198" s="235"/>
      <c r="F198" s="230"/>
      <c r="G198" s="235"/>
      <c r="H198" s="235"/>
      <c r="I198" s="320"/>
      <c r="J198" s="235"/>
      <c r="K198" s="235"/>
      <c r="L198" s="235"/>
      <c r="M198" s="375"/>
      <c r="N198" s="236"/>
      <c r="O198" s="235"/>
      <c r="P198" s="241"/>
      <c r="Q198" s="239">
        <f t="shared" ca="1" si="7"/>
        <v>0</v>
      </c>
      <c r="R198" s="106">
        <f t="shared" si="6"/>
        <v>0</v>
      </c>
      <c r="S198" s="2">
        <f t="shared" si="8"/>
        <v>0</v>
      </c>
      <c r="T198" s="305"/>
      <c r="U198" s="235"/>
      <c r="V198" s="235"/>
      <c r="W198" s="235"/>
      <c r="X198" s="241"/>
      <c r="Y198" s="79"/>
      <c r="Z198" s="230"/>
      <c r="AA198" s="230"/>
      <c r="AB198" s="230"/>
      <c r="AC198" s="188"/>
    </row>
    <row r="199" spans="2:29" ht="15.75" thickBot="1" x14ac:dyDescent="0.3">
      <c r="B199" s="240"/>
      <c r="C199" s="284"/>
      <c r="D199" s="235"/>
      <c r="E199" s="235"/>
      <c r="F199" s="230"/>
      <c r="G199" s="235"/>
      <c r="H199" s="235"/>
      <c r="I199" s="320"/>
      <c r="J199" s="235"/>
      <c r="K199" s="235"/>
      <c r="L199" s="235"/>
      <c r="M199" s="375"/>
      <c r="N199" s="236"/>
      <c r="O199" s="235"/>
      <c r="P199" s="241"/>
      <c r="Q199" s="239">
        <f t="shared" ca="1" si="7"/>
        <v>0</v>
      </c>
      <c r="R199" s="106">
        <f t="shared" ref="R199:R262" si="9">IF(COUNTBLANK(E199),0,1)</f>
        <v>0</v>
      </c>
      <c r="S199" s="2">
        <f t="shared" si="8"/>
        <v>0</v>
      </c>
      <c r="T199" s="305"/>
      <c r="U199" s="235"/>
      <c r="V199" s="235"/>
      <c r="W199" s="235"/>
      <c r="X199" s="241"/>
      <c r="Y199" s="79"/>
      <c r="Z199" s="230"/>
      <c r="AA199" s="230"/>
      <c r="AB199" s="230"/>
      <c r="AC199" s="188"/>
    </row>
    <row r="200" spans="2:29" ht="15.75" thickBot="1" x14ac:dyDescent="0.3">
      <c r="B200" s="240"/>
      <c r="C200" s="284"/>
      <c r="D200" s="235"/>
      <c r="E200" s="235"/>
      <c r="F200" s="230"/>
      <c r="G200" s="235"/>
      <c r="H200" s="235"/>
      <c r="I200" s="320"/>
      <c r="J200" s="235"/>
      <c r="K200" s="235"/>
      <c r="L200" s="235"/>
      <c r="M200" s="375"/>
      <c r="N200" s="236"/>
      <c r="O200" s="235"/>
      <c r="P200" s="241"/>
      <c r="Q200" s="239">
        <f t="shared" ref="Q200:Q263" ca="1" si="10">IF(N200=100%,0,IF(M200&gt;=TODAY(),0,IF(ISBLANK(M200),0,1)))</f>
        <v>0</v>
      </c>
      <c r="R200" s="106">
        <f t="shared" si="9"/>
        <v>0</v>
      </c>
      <c r="S200" s="2">
        <f t="shared" ref="S200:S263" si="11">IF(AND(R200=1,COUNTBLANK(M200),N200&lt;100%),1,0)</f>
        <v>0</v>
      </c>
      <c r="T200" s="305"/>
      <c r="U200" s="235"/>
      <c r="V200" s="235"/>
      <c r="W200" s="235"/>
      <c r="X200" s="241"/>
      <c r="Y200" s="79"/>
      <c r="Z200" s="230"/>
      <c r="AA200" s="230"/>
      <c r="AB200" s="230"/>
      <c r="AC200" s="188"/>
    </row>
    <row r="201" spans="2:29" ht="15.75" thickBot="1" x14ac:dyDescent="0.3">
      <c r="B201" s="240"/>
      <c r="C201" s="284"/>
      <c r="D201" s="235"/>
      <c r="E201" s="235"/>
      <c r="F201" s="230"/>
      <c r="G201" s="235"/>
      <c r="H201" s="235"/>
      <c r="I201" s="320"/>
      <c r="J201" s="235"/>
      <c r="K201" s="235"/>
      <c r="L201" s="235"/>
      <c r="M201" s="375"/>
      <c r="N201" s="236"/>
      <c r="O201" s="235"/>
      <c r="P201" s="241"/>
      <c r="Q201" s="239">
        <f t="shared" ca="1" si="10"/>
        <v>0</v>
      </c>
      <c r="R201" s="106">
        <f t="shared" si="9"/>
        <v>0</v>
      </c>
      <c r="S201" s="2">
        <f t="shared" si="11"/>
        <v>0</v>
      </c>
      <c r="T201" s="305"/>
      <c r="U201" s="235"/>
      <c r="V201" s="235"/>
      <c r="W201" s="235"/>
      <c r="X201" s="241"/>
      <c r="Y201" s="79"/>
      <c r="Z201" s="230"/>
      <c r="AA201" s="230"/>
      <c r="AB201" s="230"/>
      <c r="AC201" s="188"/>
    </row>
    <row r="202" spans="2:29" ht="15.75" thickBot="1" x14ac:dyDescent="0.3">
      <c r="B202" s="240"/>
      <c r="C202" s="284"/>
      <c r="D202" s="235"/>
      <c r="E202" s="235"/>
      <c r="F202" s="230"/>
      <c r="G202" s="235"/>
      <c r="H202" s="235"/>
      <c r="I202" s="320"/>
      <c r="J202" s="235"/>
      <c r="K202" s="235"/>
      <c r="L202" s="235"/>
      <c r="M202" s="375"/>
      <c r="N202" s="236"/>
      <c r="O202" s="235"/>
      <c r="P202" s="241"/>
      <c r="Q202" s="239">
        <f t="shared" ca="1" si="10"/>
        <v>0</v>
      </c>
      <c r="R202" s="106">
        <f t="shared" si="9"/>
        <v>0</v>
      </c>
      <c r="S202" s="2">
        <f t="shared" si="11"/>
        <v>0</v>
      </c>
      <c r="T202" s="305"/>
      <c r="U202" s="235"/>
      <c r="V202" s="235"/>
      <c r="W202" s="235"/>
      <c r="X202" s="241"/>
      <c r="Y202" s="79"/>
      <c r="Z202" s="230"/>
      <c r="AA202" s="230"/>
      <c r="AB202" s="230"/>
      <c r="AC202" s="188"/>
    </row>
    <row r="203" spans="2:29" ht="15.75" thickBot="1" x14ac:dyDescent="0.3">
      <c r="B203" s="240"/>
      <c r="C203" s="284"/>
      <c r="D203" s="235"/>
      <c r="E203" s="235"/>
      <c r="F203" s="230"/>
      <c r="G203" s="235"/>
      <c r="H203" s="235"/>
      <c r="I203" s="320"/>
      <c r="J203" s="235"/>
      <c r="K203" s="235"/>
      <c r="L203" s="235"/>
      <c r="M203" s="375"/>
      <c r="N203" s="236"/>
      <c r="O203" s="235"/>
      <c r="P203" s="241"/>
      <c r="Q203" s="239">
        <f t="shared" ca="1" si="10"/>
        <v>0</v>
      </c>
      <c r="R203" s="106">
        <f t="shared" si="9"/>
        <v>0</v>
      </c>
      <c r="S203" s="2">
        <f t="shared" si="11"/>
        <v>0</v>
      </c>
      <c r="T203" s="305"/>
      <c r="U203" s="235"/>
      <c r="V203" s="235"/>
      <c r="W203" s="235"/>
      <c r="X203" s="241"/>
      <c r="Y203" s="79"/>
      <c r="Z203" s="230"/>
      <c r="AA203" s="230"/>
      <c r="AB203" s="230"/>
      <c r="AC203" s="188"/>
    </row>
    <row r="204" spans="2:29" ht="15.75" thickBot="1" x14ac:dyDescent="0.3">
      <c r="B204" s="240"/>
      <c r="C204" s="284"/>
      <c r="D204" s="235"/>
      <c r="E204" s="235"/>
      <c r="F204" s="230"/>
      <c r="G204" s="235"/>
      <c r="H204" s="235"/>
      <c r="I204" s="320"/>
      <c r="J204" s="235"/>
      <c r="K204" s="235"/>
      <c r="L204" s="235"/>
      <c r="M204" s="375"/>
      <c r="N204" s="236"/>
      <c r="O204" s="235"/>
      <c r="P204" s="241"/>
      <c r="Q204" s="239">
        <f t="shared" ca="1" si="10"/>
        <v>0</v>
      </c>
      <c r="R204" s="106">
        <f t="shared" si="9"/>
        <v>0</v>
      </c>
      <c r="S204" s="2">
        <f t="shared" si="11"/>
        <v>0</v>
      </c>
      <c r="T204" s="305"/>
      <c r="U204" s="235"/>
      <c r="V204" s="235"/>
      <c r="W204" s="235"/>
      <c r="X204" s="241"/>
      <c r="Y204" s="79"/>
      <c r="Z204" s="230"/>
      <c r="AA204" s="230"/>
      <c r="AB204" s="230"/>
      <c r="AC204" s="188"/>
    </row>
    <row r="205" spans="2:29" ht="15.75" thickBot="1" x14ac:dyDescent="0.3">
      <c r="B205" s="240"/>
      <c r="C205" s="284"/>
      <c r="D205" s="235"/>
      <c r="E205" s="235"/>
      <c r="F205" s="230"/>
      <c r="G205" s="235"/>
      <c r="H205" s="235"/>
      <c r="I205" s="320"/>
      <c r="J205" s="235"/>
      <c r="K205" s="235"/>
      <c r="L205" s="235"/>
      <c r="M205" s="375"/>
      <c r="N205" s="236"/>
      <c r="O205" s="235"/>
      <c r="P205" s="241"/>
      <c r="Q205" s="239">
        <f t="shared" ca="1" si="10"/>
        <v>0</v>
      </c>
      <c r="R205" s="106">
        <f t="shared" si="9"/>
        <v>0</v>
      </c>
      <c r="S205" s="2">
        <f t="shared" si="11"/>
        <v>0</v>
      </c>
      <c r="T205" s="305"/>
      <c r="U205" s="235"/>
      <c r="V205" s="235"/>
      <c r="W205" s="235"/>
      <c r="X205" s="241"/>
      <c r="Y205" s="79"/>
      <c r="Z205" s="230"/>
      <c r="AA205" s="230"/>
      <c r="AB205" s="230"/>
      <c r="AC205" s="188"/>
    </row>
    <row r="206" spans="2:29" ht="15.75" thickBot="1" x14ac:dyDescent="0.3">
      <c r="B206" s="240"/>
      <c r="C206" s="284"/>
      <c r="D206" s="235"/>
      <c r="E206" s="235"/>
      <c r="F206" s="230"/>
      <c r="G206" s="235"/>
      <c r="H206" s="235"/>
      <c r="I206" s="320"/>
      <c r="J206" s="235"/>
      <c r="K206" s="235"/>
      <c r="L206" s="235"/>
      <c r="M206" s="375"/>
      <c r="N206" s="236"/>
      <c r="O206" s="235"/>
      <c r="P206" s="241"/>
      <c r="Q206" s="239">
        <f t="shared" ca="1" si="10"/>
        <v>0</v>
      </c>
      <c r="R206" s="106">
        <f t="shared" si="9"/>
        <v>0</v>
      </c>
      <c r="S206" s="2">
        <f t="shared" si="11"/>
        <v>0</v>
      </c>
      <c r="T206" s="305"/>
      <c r="U206" s="235"/>
      <c r="V206" s="235"/>
      <c r="W206" s="235"/>
      <c r="X206" s="241"/>
      <c r="Y206" s="79"/>
      <c r="Z206" s="230"/>
      <c r="AA206" s="230"/>
      <c r="AB206" s="230"/>
      <c r="AC206" s="188"/>
    </row>
    <row r="207" spans="2:29" ht="15.75" thickBot="1" x14ac:dyDescent="0.3">
      <c r="B207" s="240"/>
      <c r="C207" s="284"/>
      <c r="D207" s="235"/>
      <c r="E207" s="235"/>
      <c r="F207" s="230"/>
      <c r="G207" s="235"/>
      <c r="H207" s="235"/>
      <c r="I207" s="320"/>
      <c r="J207" s="235"/>
      <c r="K207" s="235"/>
      <c r="L207" s="235"/>
      <c r="M207" s="375"/>
      <c r="N207" s="236"/>
      <c r="O207" s="235"/>
      <c r="P207" s="241"/>
      <c r="Q207" s="239">
        <f t="shared" ca="1" si="10"/>
        <v>0</v>
      </c>
      <c r="R207" s="106">
        <f t="shared" si="9"/>
        <v>0</v>
      </c>
      <c r="S207" s="2">
        <f t="shared" si="11"/>
        <v>0</v>
      </c>
      <c r="T207" s="305"/>
      <c r="U207" s="235"/>
      <c r="V207" s="235"/>
      <c r="W207" s="235"/>
      <c r="X207" s="241"/>
      <c r="Y207" s="79"/>
      <c r="Z207" s="230"/>
      <c r="AA207" s="230"/>
      <c r="AB207" s="230"/>
      <c r="AC207" s="188"/>
    </row>
    <row r="208" spans="2:29" ht="15.75" thickBot="1" x14ac:dyDescent="0.3">
      <c r="B208" s="240"/>
      <c r="C208" s="284"/>
      <c r="D208" s="235"/>
      <c r="E208" s="235"/>
      <c r="F208" s="230"/>
      <c r="G208" s="235"/>
      <c r="H208" s="235"/>
      <c r="I208" s="320"/>
      <c r="J208" s="235"/>
      <c r="K208" s="235"/>
      <c r="L208" s="235"/>
      <c r="M208" s="375"/>
      <c r="N208" s="236"/>
      <c r="O208" s="235"/>
      <c r="P208" s="241"/>
      <c r="Q208" s="239">
        <f t="shared" ca="1" si="10"/>
        <v>0</v>
      </c>
      <c r="R208" s="106">
        <f t="shared" si="9"/>
        <v>0</v>
      </c>
      <c r="S208" s="2">
        <f t="shared" si="11"/>
        <v>0</v>
      </c>
      <c r="T208" s="305"/>
      <c r="U208" s="235"/>
      <c r="V208" s="235"/>
      <c r="W208" s="235"/>
      <c r="X208" s="241"/>
      <c r="Y208" s="79"/>
      <c r="Z208" s="230"/>
      <c r="AA208" s="230"/>
      <c r="AB208" s="230"/>
      <c r="AC208" s="188"/>
    </row>
    <row r="209" spans="2:29" ht="15.75" thickBot="1" x14ac:dyDescent="0.3">
      <c r="B209" s="240"/>
      <c r="C209" s="284"/>
      <c r="D209" s="235"/>
      <c r="E209" s="235"/>
      <c r="F209" s="230"/>
      <c r="G209" s="235"/>
      <c r="H209" s="235"/>
      <c r="I209" s="320"/>
      <c r="J209" s="235"/>
      <c r="K209" s="235"/>
      <c r="L209" s="235"/>
      <c r="M209" s="375"/>
      <c r="N209" s="236"/>
      <c r="O209" s="235"/>
      <c r="P209" s="241"/>
      <c r="Q209" s="239">
        <f t="shared" ca="1" si="10"/>
        <v>0</v>
      </c>
      <c r="R209" s="106">
        <f t="shared" si="9"/>
        <v>0</v>
      </c>
      <c r="S209" s="2">
        <f t="shared" si="11"/>
        <v>0</v>
      </c>
      <c r="T209" s="305"/>
      <c r="U209" s="235"/>
      <c r="V209" s="235"/>
      <c r="W209" s="235"/>
      <c r="X209" s="241"/>
      <c r="Y209" s="79"/>
      <c r="Z209" s="230"/>
      <c r="AA209" s="230"/>
      <c r="AB209" s="230"/>
      <c r="AC209" s="188"/>
    </row>
    <row r="210" spans="2:29" ht="15.75" thickBot="1" x14ac:dyDescent="0.3">
      <c r="B210" s="240"/>
      <c r="C210" s="284"/>
      <c r="D210" s="235"/>
      <c r="E210" s="235"/>
      <c r="F210" s="230"/>
      <c r="G210" s="235"/>
      <c r="H210" s="235"/>
      <c r="I210" s="320"/>
      <c r="J210" s="235"/>
      <c r="K210" s="235"/>
      <c r="L210" s="235"/>
      <c r="M210" s="375"/>
      <c r="N210" s="236"/>
      <c r="O210" s="235"/>
      <c r="P210" s="241"/>
      <c r="Q210" s="239">
        <f t="shared" ca="1" si="10"/>
        <v>0</v>
      </c>
      <c r="R210" s="106">
        <f t="shared" si="9"/>
        <v>0</v>
      </c>
      <c r="S210" s="2">
        <f t="shared" si="11"/>
        <v>0</v>
      </c>
      <c r="T210" s="305"/>
      <c r="U210" s="235"/>
      <c r="V210" s="235"/>
      <c r="W210" s="235"/>
      <c r="X210" s="241"/>
      <c r="Y210" s="79"/>
      <c r="Z210" s="230"/>
      <c r="AA210" s="230"/>
      <c r="AB210" s="230"/>
      <c r="AC210" s="188"/>
    </row>
    <row r="211" spans="2:29" ht="15.75" thickBot="1" x14ac:dyDescent="0.3">
      <c r="B211" s="240"/>
      <c r="C211" s="284"/>
      <c r="D211" s="235"/>
      <c r="E211" s="235"/>
      <c r="F211" s="230"/>
      <c r="G211" s="235"/>
      <c r="H211" s="235"/>
      <c r="I211" s="320"/>
      <c r="J211" s="235"/>
      <c r="K211" s="235"/>
      <c r="L211" s="235"/>
      <c r="M211" s="375"/>
      <c r="N211" s="236"/>
      <c r="O211" s="235"/>
      <c r="P211" s="241"/>
      <c r="Q211" s="239">
        <f t="shared" ca="1" si="10"/>
        <v>0</v>
      </c>
      <c r="R211" s="106">
        <f t="shared" si="9"/>
        <v>0</v>
      </c>
      <c r="S211" s="2">
        <f t="shared" si="11"/>
        <v>0</v>
      </c>
      <c r="T211" s="305"/>
      <c r="U211" s="235"/>
      <c r="V211" s="235"/>
      <c r="W211" s="235"/>
      <c r="X211" s="241"/>
      <c r="Y211" s="79"/>
      <c r="Z211" s="230"/>
      <c r="AA211" s="230"/>
      <c r="AB211" s="230"/>
      <c r="AC211" s="188"/>
    </row>
    <row r="212" spans="2:29" ht="15.75" thickBot="1" x14ac:dyDescent="0.3">
      <c r="B212" s="240"/>
      <c r="C212" s="284"/>
      <c r="D212" s="235"/>
      <c r="E212" s="235"/>
      <c r="F212" s="230"/>
      <c r="G212" s="235"/>
      <c r="H212" s="235"/>
      <c r="I212" s="320"/>
      <c r="J212" s="235"/>
      <c r="K212" s="235"/>
      <c r="L212" s="235"/>
      <c r="M212" s="375"/>
      <c r="N212" s="236"/>
      <c r="O212" s="235"/>
      <c r="P212" s="241"/>
      <c r="Q212" s="239">
        <f t="shared" ca="1" si="10"/>
        <v>0</v>
      </c>
      <c r="R212" s="106">
        <f t="shared" si="9"/>
        <v>0</v>
      </c>
      <c r="S212" s="2">
        <f t="shared" si="11"/>
        <v>0</v>
      </c>
      <c r="T212" s="305"/>
      <c r="U212" s="235"/>
      <c r="V212" s="235"/>
      <c r="W212" s="235"/>
      <c r="X212" s="241"/>
      <c r="Y212" s="79"/>
      <c r="Z212" s="230"/>
      <c r="AA212" s="230"/>
      <c r="AB212" s="230"/>
      <c r="AC212" s="188"/>
    </row>
    <row r="213" spans="2:29" ht="15.75" thickBot="1" x14ac:dyDescent="0.3">
      <c r="B213" s="240"/>
      <c r="C213" s="284"/>
      <c r="D213" s="235"/>
      <c r="E213" s="235"/>
      <c r="F213" s="230"/>
      <c r="G213" s="235"/>
      <c r="H213" s="235"/>
      <c r="I213" s="320"/>
      <c r="J213" s="235"/>
      <c r="K213" s="235"/>
      <c r="L213" s="235"/>
      <c r="M213" s="375"/>
      <c r="N213" s="236"/>
      <c r="O213" s="235"/>
      <c r="P213" s="241"/>
      <c r="Q213" s="239">
        <f t="shared" ca="1" si="10"/>
        <v>0</v>
      </c>
      <c r="R213" s="106">
        <f t="shared" si="9"/>
        <v>0</v>
      </c>
      <c r="S213" s="2">
        <f t="shared" si="11"/>
        <v>0</v>
      </c>
      <c r="T213" s="305"/>
      <c r="U213" s="235"/>
      <c r="V213" s="235"/>
      <c r="W213" s="235"/>
      <c r="X213" s="241"/>
      <c r="Y213" s="79"/>
      <c r="Z213" s="230"/>
      <c r="AA213" s="230"/>
      <c r="AB213" s="230"/>
      <c r="AC213" s="188"/>
    </row>
    <row r="214" spans="2:29" ht="15.75" thickBot="1" x14ac:dyDescent="0.3">
      <c r="B214" s="240"/>
      <c r="C214" s="284"/>
      <c r="D214" s="235"/>
      <c r="E214" s="235"/>
      <c r="F214" s="230"/>
      <c r="G214" s="235"/>
      <c r="H214" s="235"/>
      <c r="I214" s="320"/>
      <c r="J214" s="235"/>
      <c r="K214" s="235"/>
      <c r="L214" s="235"/>
      <c r="M214" s="375"/>
      <c r="N214" s="236"/>
      <c r="O214" s="235"/>
      <c r="P214" s="241"/>
      <c r="Q214" s="239">
        <f t="shared" ca="1" si="10"/>
        <v>0</v>
      </c>
      <c r="R214" s="106">
        <f t="shared" si="9"/>
        <v>0</v>
      </c>
      <c r="S214" s="2">
        <f t="shared" si="11"/>
        <v>0</v>
      </c>
      <c r="T214" s="305"/>
      <c r="U214" s="235"/>
      <c r="V214" s="235"/>
      <c r="W214" s="235"/>
      <c r="X214" s="241"/>
      <c r="Y214" s="79"/>
      <c r="Z214" s="230"/>
      <c r="AA214" s="230"/>
      <c r="AB214" s="230"/>
      <c r="AC214" s="188"/>
    </row>
    <row r="215" spans="2:29" ht="15.75" thickBot="1" x14ac:dyDescent="0.3">
      <c r="B215" s="240"/>
      <c r="C215" s="284"/>
      <c r="D215" s="235"/>
      <c r="E215" s="235"/>
      <c r="F215" s="230"/>
      <c r="G215" s="235"/>
      <c r="H215" s="235"/>
      <c r="I215" s="320"/>
      <c r="J215" s="235"/>
      <c r="K215" s="235"/>
      <c r="L215" s="235"/>
      <c r="M215" s="375"/>
      <c r="N215" s="236"/>
      <c r="O215" s="235"/>
      <c r="P215" s="241"/>
      <c r="Q215" s="239">
        <f t="shared" ca="1" si="10"/>
        <v>0</v>
      </c>
      <c r="R215" s="106">
        <f t="shared" si="9"/>
        <v>0</v>
      </c>
      <c r="S215" s="2">
        <f t="shared" si="11"/>
        <v>0</v>
      </c>
      <c r="T215" s="305"/>
      <c r="U215" s="235"/>
      <c r="V215" s="235"/>
      <c r="W215" s="235"/>
      <c r="X215" s="241"/>
      <c r="Y215" s="79"/>
      <c r="Z215" s="230"/>
      <c r="AA215" s="230"/>
      <c r="AB215" s="230"/>
      <c r="AC215" s="188"/>
    </row>
    <row r="216" spans="2:29" ht="15.75" thickBot="1" x14ac:dyDescent="0.3">
      <c r="B216" s="240"/>
      <c r="C216" s="284"/>
      <c r="D216" s="235"/>
      <c r="E216" s="235"/>
      <c r="F216" s="230"/>
      <c r="G216" s="235"/>
      <c r="H216" s="235"/>
      <c r="I216" s="320"/>
      <c r="J216" s="235"/>
      <c r="K216" s="235"/>
      <c r="L216" s="235"/>
      <c r="M216" s="375"/>
      <c r="N216" s="236"/>
      <c r="O216" s="235"/>
      <c r="P216" s="241"/>
      <c r="Q216" s="239">
        <f t="shared" ca="1" si="10"/>
        <v>0</v>
      </c>
      <c r="R216" s="106">
        <f t="shared" si="9"/>
        <v>0</v>
      </c>
      <c r="S216" s="2">
        <f t="shared" si="11"/>
        <v>0</v>
      </c>
      <c r="T216" s="305"/>
      <c r="U216" s="235"/>
      <c r="V216" s="235"/>
      <c r="W216" s="235"/>
      <c r="X216" s="241"/>
      <c r="Y216" s="79"/>
      <c r="Z216" s="230"/>
      <c r="AA216" s="230"/>
      <c r="AB216" s="230"/>
      <c r="AC216" s="188"/>
    </row>
    <row r="217" spans="2:29" ht="15.75" thickBot="1" x14ac:dyDescent="0.3">
      <c r="B217" s="240"/>
      <c r="C217" s="284"/>
      <c r="D217" s="235"/>
      <c r="E217" s="235"/>
      <c r="F217" s="230"/>
      <c r="G217" s="235"/>
      <c r="H217" s="235"/>
      <c r="I217" s="320"/>
      <c r="J217" s="235"/>
      <c r="K217" s="235"/>
      <c r="L217" s="235"/>
      <c r="M217" s="375"/>
      <c r="N217" s="236"/>
      <c r="O217" s="235"/>
      <c r="P217" s="241"/>
      <c r="Q217" s="239">
        <f t="shared" ca="1" si="10"/>
        <v>0</v>
      </c>
      <c r="R217" s="106">
        <f t="shared" si="9"/>
        <v>0</v>
      </c>
      <c r="S217" s="2">
        <f t="shared" si="11"/>
        <v>0</v>
      </c>
      <c r="T217" s="305"/>
      <c r="U217" s="235"/>
      <c r="V217" s="235"/>
      <c r="W217" s="235"/>
      <c r="X217" s="241"/>
      <c r="Y217" s="79"/>
      <c r="Z217" s="230"/>
      <c r="AA217" s="230"/>
      <c r="AB217" s="230"/>
      <c r="AC217" s="188"/>
    </row>
    <row r="218" spans="2:29" ht="15.75" thickBot="1" x14ac:dyDescent="0.3">
      <c r="B218" s="240"/>
      <c r="C218" s="284"/>
      <c r="D218" s="235"/>
      <c r="E218" s="235"/>
      <c r="F218" s="230"/>
      <c r="G218" s="235"/>
      <c r="H218" s="235"/>
      <c r="I218" s="320"/>
      <c r="J218" s="235"/>
      <c r="K218" s="235"/>
      <c r="L218" s="235"/>
      <c r="M218" s="375"/>
      <c r="N218" s="236"/>
      <c r="O218" s="235"/>
      <c r="P218" s="241"/>
      <c r="Q218" s="239">
        <f t="shared" ca="1" si="10"/>
        <v>0</v>
      </c>
      <c r="R218" s="106">
        <f t="shared" si="9"/>
        <v>0</v>
      </c>
      <c r="S218" s="2">
        <f t="shared" si="11"/>
        <v>0</v>
      </c>
      <c r="T218" s="305"/>
      <c r="U218" s="235"/>
      <c r="V218" s="235"/>
      <c r="W218" s="235"/>
      <c r="X218" s="241"/>
      <c r="Y218" s="79"/>
      <c r="Z218" s="230"/>
      <c r="AA218" s="230"/>
      <c r="AB218" s="230"/>
      <c r="AC218" s="188"/>
    </row>
    <row r="219" spans="2:29" ht="15.75" thickBot="1" x14ac:dyDescent="0.3">
      <c r="B219" s="240"/>
      <c r="C219" s="284"/>
      <c r="D219" s="235"/>
      <c r="E219" s="235"/>
      <c r="F219" s="230"/>
      <c r="G219" s="235"/>
      <c r="H219" s="235"/>
      <c r="I219" s="320"/>
      <c r="J219" s="235"/>
      <c r="K219" s="235"/>
      <c r="L219" s="235"/>
      <c r="M219" s="375"/>
      <c r="N219" s="236"/>
      <c r="O219" s="235"/>
      <c r="P219" s="241"/>
      <c r="Q219" s="239">
        <f t="shared" ca="1" si="10"/>
        <v>0</v>
      </c>
      <c r="R219" s="106">
        <f t="shared" si="9"/>
        <v>0</v>
      </c>
      <c r="S219" s="2">
        <f t="shared" si="11"/>
        <v>0</v>
      </c>
      <c r="T219" s="305"/>
      <c r="U219" s="235"/>
      <c r="V219" s="235"/>
      <c r="W219" s="235"/>
      <c r="X219" s="241"/>
      <c r="Y219" s="79"/>
      <c r="Z219" s="230"/>
      <c r="AA219" s="230"/>
      <c r="AB219" s="230"/>
      <c r="AC219" s="188"/>
    </row>
    <row r="220" spans="2:29" ht="15.75" thickBot="1" x14ac:dyDescent="0.3">
      <c r="B220" s="240"/>
      <c r="C220" s="284"/>
      <c r="D220" s="235"/>
      <c r="E220" s="235"/>
      <c r="F220" s="230"/>
      <c r="G220" s="235"/>
      <c r="H220" s="235"/>
      <c r="I220" s="320"/>
      <c r="J220" s="235"/>
      <c r="K220" s="235"/>
      <c r="L220" s="235"/>
      <c r="M220" s="375"/>
      <c r="N220" s="236"/>
      <c r="O220" s="235"/>
      <c r="P220" s="241"/>
      <c r="Q220" s="239">
        <f t="shared" ca="1" si="10"/>
        <v>0</v>
      </c>
      <c r="R220" s="106">
        <f t="shared" si="9"/>
        <v>0</v>
      </c>
      <c r="S220" s="2">
        <f t="shared" si="11"/>
        <v>0</v>
      </c>
      <c r="T220" s="305"/>
      <c r="U220" s="235"/>
      <c r="V220" s="235"/>
      <c r="W220" s="235"/>
      <c r="X220" s="241"/>
      <c r="Y220" s="79"/>
      <c r="Z220" s="230"/>
      <c r="AA220" s="230"/>
      <c r="AB220" s="230"/>
      <c r="AC220" s="188"/>
    </row>
    <row r="221" spans="2:29" ht="15.75" thickBot="1" x14ac:dyDescent="0.3">
      <c r="B221" s="240"/>
      <c r="C221" s="284"/>
      <c r="D221" s="235"/>
      <c r="E221" s="235"/>
      <c r="F221" s="230"/>
      <c r="G221" s="235"/>
      <c r="H221" s="235"/>
      <c r="I221" s="320"/>
      <c r="J221" s="235"/>
      <c r="K221" s="235"/>
      <c r="L221" s="235"/>
      <c r="M221" s="375"/>
      <c r="N221" s="236"/>
      <c r="O221" s="235"/>
      <c r="P221" s="241"/>
      <c r="Q221" s="239">
        <f t="shared" ca="1" si="10"/>
        <v>0</v>
      </c>
      <c r="R221" s="106">
        <f t="shared" si="9"/>
        <v>0</v>
      </c>
      <c r="S221" s="2">
        <f t="shared" si="11"/>
        <v>0</v>
      </c>
      <c r="T221" s="305"/>
      <c r="U221" s="235"/>
      <c r="V221" s="235"/>
      <c r="W221" s="235"/>
      <c r="X221" s="241"/>
      <c r="Y221" s="79"/>
      <c r="Z221" s="230"/>
      <c r="AA221" s="230"/>
      <c r="AB221" s="230"/>
      <c r="AC221" s="188"/>
    </row>
    <row r="222" spans="2:29" ht="15.75" thickBot="1" x14ac:dyDescent="0.3">
      <c r="B222" s="240"/>
      <c r="C222" s="284"/>
      <c r="D222" s="235"/>
      <c r="E222" s="235"/>
      <c r="F222" s="230"/>
      <c r="G222" s="235"/>
      <c r="H222" s="235"/>
      <c r="I222" s="320"/>
      <c r="J222" s="235"/>
      <c r="K222" s="235"/>
      <c r="L222" s="235"/>
      <c r="M222" s="375"/>
      <c r="N222" s="236"/>
      <c r="O222" s="235"/>
      <c r="P222" s="241"/>
      <c r="Q222" s="239">
        <f t="shared" ca="1" si="10"/>
        <v>0</v>
      </c>
      <c r="R222" s="106">
        <f t="shared" si="9"/>
        <v>0</v>
      </c>
      <c r="S222" s="2">
        <f t="shared" si="11"/>
        <v>0</v>
      </c>
      <c r="T222" s="305"/>
      <c r="U222" s="235"/>
      <c r="V222" s="235"/>
      <c r="W222" s="235"/>
      <c r="X222" s="241"/>
      <c r="Y222" s="79"/>
      <c r="Z222" s="230"/>
      <c r="AA222" s="230"/>
      <c r="AB222" s="230"/>
      <c r="AC222" s="188"/>
    </row>
    <row r="223" spans="2:29" ht="15.75" thickBot="1" x14ac:dyDescent="0.3">
      <c r="B223" s="240"/>
      <c r="C223" s="284"/>
      <c r="D223" s="235"/>
      <c r="E223" s="235"/>
      <c r="F223" s="230"/>
      <c r="G223" s="235"/>
      <c r="H223" s="235"/>
      <c r="I223" s="320"/>
      <c r="J223" s="235"/>
      <c r="K223" s="235"/>
      <c r="L223" s="235"/>
      <c r="M223" s="375"/>
      <c r="N223" s="236"/>
      <c r="O223" s="235"/>
      <c r="P223" s="241"/>
      <c r="Q223" s="239">
        <f t="shared" ca="1" si="10"/>
        <v>0</v>
      </c>
      <c r="R223" s="106">
        <f t="shared" si="9"/>
        <v>0</v>
      </c>
      <c r="S223" s="2">
        <f t="shared" si="11"/>
        <v>0</v>
      </c>
      <c r="T223" s="305"/>
      <c r="U223" s="235"/>
      <c r="V223" s="235"/>
      <c r="W223" s="235"/>
      <c r="X223" s="241"/>
      <c r="Y223" s="79"/>
      <c r="Z223" s="230"/>
      <c r="AA223" s="230"/>
      <c r="AB223" s="230"/>
      <c r="AC223" s="188"/>
    </row>
    <row r="224" spans="2:29" ht="15.75" thickBot="1" x14ac:dyDescent="0.3">
      <c r="B224" s="240"/>
      <c r="C224" s="284"/>
      <c r="D224" s="235"/>
      <c r="E224" s="235"/>
      <c r="F224" s="230"/>
      <c r="G224" s="235"/>
      <c r="H224" s="235"/>
      <c r="I224" s="320"/>
      <c r="J224" s="235"/>
      <c r="K224" s="235"/>
      <c r="L224" s="235"/>
      <c r="M224" s="375"/>
      <c r="N224" s="236"/>
      <c r="O224" s="235"/>
      <c r="P224" s="241"/>
      <c r="Q224" s="239">
        <f t="shared" ca="1" si="10"/>
        <v>0</v>
      </c>
      <c r="R224" s="106">
        <f t="shared" si="9"/>
        <v>0</v>
      </c>
      <c r="S224" s="2">
        <f t="shared" si="11"/>
        <v>0</v>
      </c>
      <c r="T224" s="305"/>
      <c r="U224" s="235"/>
      <c r="V224" s="235"/>
      <c r="W224" s="235"/>
      <c r="X224" s="241"/>
      <c r="Y224" s="79"/>
      <c r="Z224" s="230"/>
      <c r="AA224" s="230"/>
      <c r="AB224" s="230"/>
      <c r="AC224" s="188"/>
    </row>
    <row r="225" spans="2:29" ht="15.75" thickBot="1" x14ac:dyDescent="0.3">
      <c r="B225" s="240"/>
      <c r="C225" s="284"/>
      <c r="D225" s="235"/>
      <c r="E225" s="235"/>
      <c r="F225" s="230"/>
      <c r="G225" s="235"/>
      <c r="H225" s="235"/>
      <c r="I225" s="320"/>
      <c r="J225" s="235"/>
      <c r="K225" s="235"/>
      <c r="L225" s="235"/>
      <c r="M225" s="375"/>
      <c r="N225" s="236"/>
      <c r="O225" s="235"/>
      <c r="P225" s="241"/>
      <c r="Q225" s="239">
        <f t="shared" ca="1" si="10"/>
        <v>0</v>
      </c>
      <c r="R225" s="106">
        <f t="shared" si="9"/>
        <v>0</v>
      </c>
      <c r="S225" s="2">
        <f t="shared" si="11"/>
        <v>0</v>
      </c>
      <c r="T225" s="305"/>
      <c r="U225" s="235"/>
      <c r="V225" s="235"/>
      <c r="W225" s="235"/>
      <c r="X225" s="241"/>
      <c r="Y225" s="79"/>
      <c r="Z225" s="230"/>
      <c r="AA225" s="230"/>
      <c r="AB225" s="230"/>
      <c r="AC225" s="188"/>
    </row>
    <row r="226" spans="2:29" ht="15.75" thickBot="1" x14ac:dyDescent="0.3">
      <c r="B226" s="240"/>
      <c r="C226" s="284"/>
      <c r="D226" s="235"/>
      <c r="E226" s="235"/>
      <c r="F226" s="230"/>
      <c r="G226" s="235"/>
      <c r="H226" s="235"/>
      <c r="I226" s="320"/>
      <c r="J226" s="235"/>
      <c r="K226" s="235"/>
      <c r="L226" s="235"/>
      <c r="M226" s="375"/>
      <c r="N226" s="236"/>
      <c r="O226" s="235"/>
      <c r="P226" s="241"/>
      <c r="Q226" s="239">
        <f t="shared" ca="1" si="10"/>
        <v>0</v>
      </c>
      <c r="R226" s="106">
        <f t="shared" si="9"/>
        <v>0</v>
      </c>
      <c r="S226" s="2">
        <f t="shared" si="11"/>
        <v>0</v>
      </c>
      <c r="T226" s="305"/>
      <c r="U226" s="235"/>
      <c r="V226" s="235"/>
      <c r="W226" s="235"/>
      <c r="X226" s="241"/>
      <c r="Y226" s="79"/>
      <c r="Z226" s="230"/>
      <c r="AA226" s="230"/>
      <c r="AB226" s="230"/>
      <c r="AC226" s="188"/>
    </row>
    <row r="227" spans="2:29" ht="15.75" thickBot="1" x14ac:dyDescent="0.3">
      <c r="B227" s="240"/>
      <c r="C227" s="284"/>
      <c r="D227" s="235"/>
      <c r="E227" s="235"/>
      <c r="F227" s="230"/>
      <c r="G227" s="235"/>
      <c r="H227" s="235"/>
      <c r="I227" s="320"/>
      <c r="J227" s="235"/>
      <c r="K227" s="235"/>
      <c r="L227" s="235"/>
      <c r="M227" s="375"/>
      <c r="N227" s="236"/>
      <c r="O227" s="235"/>
      <c r="P227" s="241"/>
      <c r="Q227" s="239">
        <f t="shared" ca="1" si="10"/>
        <v>0</v>
      </c>
      <c r="R227" s="106">
        <f t="shared" si="9"/>
        <v>0</v>
      </c>
      <c r="S227" s="2">
        <f t="shared" si="11"/>
        <v>0</v>
      </c>
      <c r="T227" s="305"/>
      <c r="U227" s="235"/>
      <c r="V227" s="235"/>
      <c r="W227" s="235"/>
      <c r="X227" s="241"/>
      <c r="Y227" s="79"/>
      <c r="Z227" s="230"/>
      <c r="AA227" s="230"/>
      <c r="AB227" s="230"/>
      <c r="AC227" s="188"/>
    </row>
    <row r="228" spans="2:29" ht="15.75" thickBot="1" x14ac:dyDescent="0.3">
      <c r="B228" s="240"/>
      <c r="C228" s="284"/>
      <c r="D228" s="235"/>
      <c r="E228" s="235"/>
      <c r="F228" s="230"/>
      <c r="G228" s="235"/>
      <c r="H228" s="235"/>
      <c r="I228" s="320"/>
      <c r="J228" s="235"/>
      <c r="K228" s="235"/>
      <c r="L228" s="235"/>
      <c r="M228" s="375"/>
      <c r="N228" s="236"/>
      <c r="O228" s="235"/>
      <c r="P228" s="241"/>
      <c r="Q228" s="239">
        <f t="shared" ca="1" si="10"/>
        <v>0</v>
      </c>
      <c r="R228" s="106">
        <f t="shared" si="9"/>
        <v>0</v>
      </c>
      <c r="S228" s="2">
        <f t="shared" si="11"/>
        <v>0</v>
      </c>
      <c r="T228" s="305"/>
      <c r="U228" s="235"/>
      <c r="V228" s="235"/>
      <c r="W228" s="235"/>
      <c r="X228" s="241"/>
      <c r="Y228" s="79"/>
      <c r="Z228" s="230"/>
      <c r="AA228" s="230"/>
      <c r="AB228" s="230"/>
      <c r="AC228" s="188"/>
    </row>
    <row r="229" spans="2:29" ht="15.75" thickBot="1" x14ac:dyDescent="0.3">
      <c r="B229" s="240"/>
      <c r="C229" s="284"/>
      <c r="D229" s="235"/>
      <c r="E229" s="235"/>
      <c r="F229" s="230"/>
      <c r="G229" s="235"/>
      <c r="H229" s="235"/>
      <c r="I229" s="320"/>
      <c r="J229" s="235"/>
      <c r="K229" s="235"/>
      <c r="L229" s="235"/>
      <c r="M229" s="375"/>
      <c r="N229" s="236"/>
      <c r="O229" s="235"/>
      <c r="P229" s="241"/>
      <c r="Q229" s="239">
        <f t="shared" ca="1" si="10"/>
        <v>0</v>
      </c>
      <c r="R229" s="106">
        <f t="shared" si="9"/>
        <v>0</v>
      </c>
      <c r="S229" s="2">
        <f t="shared" si="11"/>
        <v>0</v>
      </c>
      <c r="T229" s="305"/>
      <c r="U229" s="235"/>
      <c r="V229" s="235"/>
      <c r="W229" s="235"/>
      <c r="X229" s="241"/>
      <c r="Y229" s="79"/>
      <c r="Z229" s="230"/>
      <c r="AA229" s="230"/>
      <c r="AB229" s="230"/>
      <c r="AC229" s="188"/>
    </row>
    <row r="230" spans="2:29" ht="15.75" thickBot="1" x14ac:dyDescent="0.3">
      <c r="B230" s="240"/>
      <c r="C230" s="284"/>
      <c r="D230" s="235"/>
      <c r="E230" s="235"/>
      <c r="F230" s="230"/>
      <c r="G230" s="235"/>
      <c r="H230" s="235"/>
      <c r="I230" s="320"/>
      <c r="J230" s="235"/>
      <c r="K230" s="235"/>
      <c r="L230" s="235"/>
      <c r="M230" s="375"/>
      <c r="N230" s="236"/>
      <c r="O230" s="235"/>
      <c r="P230" s="241"/>
      <c r="Q230" s="239">
        <f t="shared" ca="1" si="10"/>
        <v>0</v>
      </c>
      <c r="R230" s="106">
        <f t="shared" si="9"/>
        <v>0</v>
      </c>
      <c r="S230" s="2">
        <f t="shared" si="11"/>
        <v>0</v>
      </c>
      <c r="T230" s="305"/>
      <c r="U230" s="235"/>
      <c r="V230" s="235"/>
      <c r="W230" s="235"/>
      <c r="X230" s="241"/>
      <c r="Y230" s="79"/>
      <c r="Z230" s="230"/>
      <c r="AA230" s="230"/>
      <c r="AB230" s="230"/>
      <c r="AC230" s="188"/>
    </row>
    <row r="231" spans="2:29" ht="15.75" thickBot="1" x14ac:dyDescent="0.3">
      <c r="B231" s="240"/>
      <c r="C231" s="284"/>
      <c r="D231" s="235"/>
      <c r="E231" s="235"/>
      <c r="F231" s="230"/>
      <c r="G231" s="235"/>
      <c r="H231" s="235"/>
      <c r="I231" s="320"/>
      <c r="J231" s="235"/>
      <c r="K231" s="235"/>
      <c r="L231" s="235"/>
      <c r="M231" s="375"/>
      <c r="N231" s="236"/>
      <c r="O231" s="235"/>
      <c r="P231" s="241"/>
      <c r="Q231" s="239">
        <f t="shared" ca="1" si="10"/>
        <v>0</v>
      </c>
      <c r="R231" s="106">
        <f t="shared" si="9"/>
        <v>0</v>
      </c>
      <c r="S231" s="2">
        <f t="shared" si="11"/>
        <v>0</v>
      </c>
      <c r="T231" s="305"/>
      <c r="U231" s="235"/>
      <c r="V231" s="235"/>
      <c r="W231" s="235"/>
      <c r="X231" s="241"/>
      <c r="Y231" s="79"/>
      <c r="Z231" s="230"/>
      <c r="AA231" s="230"/>
      <c r="AB231" s="230"/>
      <c r="AC231" s="188"/>
    </row>
    <row r="232" spans="2:29" ht="15.75" thickBot="1" x14ac:dyDescent="0.3">
      <c r="B232" s="240"/>
      <c r="C232" s="284"/>
      <c r="D232" s="235"/>
      <c r="E232" s="235"/>
      <c r="F232" s="230"/>
      <c r="G232" s="235"/>
      <c r="H232" s="235"/>
      <c r="I232" s="320"/>
      <c r="J232" s="235"/>
      <c r="K232" s="235"/>
      <c r="L232" s="235"/>
      <c r="M232" s="375"/>
      <c r="N232" s="236"/>
      <c r="O232" s="235"/>
      <c r="P232" s="241"/>
      <c r="Q232" s="239">
        <f t="shared" ca="1" si="10"/>
        <v>0</v>
      </c>
      <c r="R232" s="106">
        <f t="shared" si="9"/>
        <v>0</v>
      </c>
      <c r="S232" s="2">
        <f t="shared" si="11"/>
        <v>0</v>
      </c>
      <c r="T232" s="305"/>
      <c r="U232" s="235"/>
      <c r="V232" s="235"/>
      <c r="W232" s="235"/>
      <c r="X232" s="241"/>
      <c r="Y232" s="79"/>
      <c r="Z232" s="230"/>
      <c r="AA232" s="230"/>
      <c r="AB232" s="230"/>
      <c r="AC232" s="188"/>
    </row>
    <row r="233" spans="2:29" ht="15.75" thickBot="1" x14ac:dyDescent="0.3">
      <c r="B233" s="240"/>
      <c r="C233" s="284"/>
      <c r="D233" s="235"/>
      <c r="E233" s="235"/>
      <c r="F233" s="230"/>
      <c r="G233" s="235"/>
      <c r="H233" s="235"/>
      <c r="I233" s="320"/>
      <c r="J233" s="235"/>
      <c r="K233" s="235"/>
      <c r="L233" s="235"/>
      <c r="M233" s="375"/>
      <c r="N233" s="236"/>
      <c r="O233" s="235"/>
      <c r="P233" s="241"/>
      <c r="Q233" s="239">
        <f t="shared" ca="1" si="10"/>
        <v>0</v>
      </c>
      <c r="R233" s="106">
        <f t="shared" si="9"/>
        <v>0</v>
      </c>
      <c r="S233" s="2">
        <f t="shared" si="11"/>
        <v>0</v>
      </c>
      <c r="T233" s="305"/>
      <c r="U233" s="235"/>
      <c r="V233" s="235"/>
      <c r="W233" s="235"/>
      <c r="X233" s="241"/>
      <c r="Y233" s="79"/>
      <c r="Z233" s="230"/>
      <c r="AA233" s="230"/>
      <c r="AB233" s="230"/>
      <c r="AC233" s="188"/>
    </row>
    <row r="234" spans="2:29" ht="15.75" thickBot="1" x14ac:dyDescent="0.3">
      <c r="B234" s="240"/>
      <c r="C234" s="284"/>
      <c r="D234" s="235"/>
      <c r="E234" s="235"/>
      <c r="F234" s="230"/>
      <c r="G234" s="235"/>
      <c r="H234" s="235"/>
      <c r="I234" s="320"/>
      <c r="J234" s="235"/>
      <c r="K234" s="235"/>
      <c r="L234" s="235"/>
      <c r="M234" s="375"/>
      <c r="N234" s="236"/>
      <c r="O234" s="235"/>
      <c r="P234" s="241"/>
      <c r="Q234" s="239">
        <f t="shared" ca="1" si="10"/>
        <v>0</v>
      </c>
      <c r="R234" s="106">
        <f t="shared" si="9"/>
        <v>0</v>
      </c>
      <c r="S234" s="2">
        <f t="shared" si="11"/>
        <v>0</v>
      </c>
      <c r="T234" s="305"/>
      <c r="U234" s="235"/>
      <c r="V234" s="235"/>
      <c r="W234" s="235"/>
      <c r="X234" s="241"/>
      <c r="Y234" s="79"/>
      <c r="Z234" s="230"/>
      <c r="AA234" s="230"/>
      <c r="AB234" s="230"/>
      <c r="AC234" s="188"/>
    </row>
    <row r="235" spans="2:29" ht="15.75" thickBot="1" x14ac:dyDescent="0.3">
      <c r="B235" s="240"/>
      <c r="C235" s="284"/>
      <c r="D235" s="235"/>
      <c r="E235" s="235"/>
      <c r="F235" s="230"/>
      <c r="G235" s="235"/>
      <c r="H235" s="235"/>
      <c r="I235" s="320"/>
      <c r="J235" s="235"/>
      <c r="K235" s="235"/>
      <c r="L235" s="235"/>
      <c r="M235" s="375"/>
      <c r="N235" s="236"/>
      <c r="O235" s="235"/>
      <c r="P235" s="241"/>
      <c r="Q235" s="239">
        <f t="shared" ca="1" si="10"/>
        <v>0</v>
      </c>
      <c r="R235" s="106">
        <f t="shared" si="9"/>
        <v>0</v>
      </c>
      <c r="S235" s="2">
        <f t="shared" si="11"/>
        <v>0</v>
      </c>
      <c r="T235" s="305"/>
      <c r="U235" s="235"/>
      <c r="V235" s="235"/>
      <c r="W235" s="235"/>
      <c r="X235" s="241"/>
      <c r="Y235" s="79"/>
      <c r="Z235" s="230"/>
      <c r="AA235" s="230"/>
      <c r="AB235" s="230"/>
      <c r="AC235" s="188"/>
    </row>
    <row r="236" spans="2:29" ht="15.75" thickBot="1" x14ac:dyDescent="0.3">
      <c r="B236" s="240"/>
      <c r="C236" s="284"/>
      <c r="D236" s="235"/>
      <c r="E236" s="235"/>
      <c r="F236" s="230"/>
      <c r="G236" s="235"/>
      <c r="H236" s="235"/>
      <c r="I236" s="320"/>
      <c r="J236" s="235"/>
      <c r="K236" s="235"/>
      <c r="L236" s="235"/>
      <c r="M236" s="375"/>
      <c r="N236" s="236"/>
      <c r="O236" s="235"/>
      <c r="P236" s="241"/>
      <c r="Q236" s="239">
        <f t="shared" ca="1" si="10"/>
        <v>0</v>
      </c>
      <c r="R236" s="106">
        <f t="shared" si="9"/>
        <v>0</v>
      </c>
      <c r="S236" s="2">
        <f t="shared" si="11"/>
        <v>0</v>
      </c>
      <c r="T236" s="305"/>
      <c r="U236" s="235"/>
      <c r="V236" s="235"/>
      <c r="W236" s="235"/>
      <c r="X236" s="241"/>
      <c r="Y236" s="79"/>
      <c r="Z236" s="230"/>
      <c r="AA236" s="230"/>
      <c r="AB236" s="230"/>
      <c r="AC236" s="188"/>
    </row>
    <row r="237" spans="2:29" ht="15.75" thickBot="1" x14ac:dyDescent="0.3">
      <c r="B237" s="240"/>
      <c r="C237" s="284"/>
      <c r="D237" s="235"/>
      <c r="E237" s="235"/>
      <c r="F237" s="230"/>
      <c r="G237" s="235"/>
      <c r="H237" s="235"/>
      <c r="I237" s="320"/>
      <c r="J237" s="235"/>
      <c r="K237" s="235"/>
      <c r="L237" s="235"/>
      <c r="M237" s="375"/>
      <c r="N237" s="236"/>
      <c r="O237" s="235"/>
      <c r="P237" s="241"/>
      <c r="Q237" s="239">
        <f t="shared" ca="1" si="10"/>
        <v>0</v>
      </c>
      <c r="R237" s="106">
        <f t="shared" si="9"/>
        <v>0</v>
      </c>
      <c r="S237" s="2">
        <f t="shared" si="11"/>
        <v>0</v>
      </c>
      <c r="T237" s="305"/>
      <c r="U237" s="235"/>
      <c r="V237" s="235"/>
      <c r="W237" s="235"/>
      <c r="X237" s="241"/>
      <c r="Y237" s="79"/>
      <c r="Z237" s="230"/>
      <c r="AA237" s="230"/>
      <c r="AB237" s="230"/>
      <c r="AC237" s="188"/>
    </row>
    <row r="238" spans="2:29" ht="15.75" thickBot="1" x14ac:dyDescent="0.3">
      <c r="B238" s="240"/>
      <c r="C238" s="284"/>
      <c r="D238" s="235"/>
      <c r="E238" s="235"/>
      <c r="F238" s="230"/>
      <c r="G238" s="235"/>
      <c r="H238" s="235"/>
      <c r="I238" s="320"/>
      <c r="J238" s="235"/>
      <c r="K238" s="235"/>
      <c r="L238" s="235"/>
      <c r="M238" s="375"/>
      <c r="N238" s="236"/>
      <c r="O238" s="235"/>
      <c r="P238" s="241"/>
      <c r="Q238" s="239">
        <f t="shared" ca="1" si="10"/>
        <v>0</v>
      </c>
      <c r="R238" s="106">
        <f t="shared" si="9"/>
        <v>0</v>
      </c>
      <c r="S238" s="2">
        <f t="shared" si="11"/>
        <v>0</v>
      </c>
      <c r="T238" s="305"/>
      <c r="U238" s="235"/>
      <c r="V238" s="235"/>
      <c r="W238" s="235"/>
      <c r="X238" s="241"/>
      <c r="Y238" s="79"/>
      <c r="Z238" s="230"/>
      <c r="AA238" s="230"/>
      <c r="AB238" s="230"/>
      <c r="AC238" s="188"/>
    </row>
    <row r="239" spans="2:29" ht="15.75" thickBot="1" x14ac:dyDescent="0.3">
      <c r="B239" s="240"/>
      <c r="C239" s="284"/>
      <c r="D239" s="235"/>
      <c r="E239" s="235"/>
      <c r="F239" s="230"/>
      <c r="G239" s="235"/>
      <c r="H239" s="235"/>
      <c r="I239" s="320"/>
      <c r="J239" s="235"/>
      <c r="K239" s="235"/>
      <c r="L239" s="235"/>
      <c r="M239" s="375"/>
      <c r="N239" s="236"/>
      <c r="O239" s="235"/>
      <c r="P239" s="241"/>
      <c r="Q239" s="239">
        <f t="shared" ca="1" si="10"/>
        <v>0</v>
      </c>
      <c r="R239" s="106">
        <f t="shared" si="9"/>
        <v>0</v>
      </c>
      <c r="S239" s="2">
        <f t="shared" si="11"/>
        <v>0</v>
      </c>
      <c r="T239" s="305"/>
      <c r="U239" s="235"/>
      <c r="V239" s="235"/>
      <c r="W239" s="235"/>
      <c r="X239" s="241"/>
      <c r="Y239" s="79"/>
      <c r="Z239" s="230"/>
      <c r="AA239" s="230"/>
      <c r="AB239" s="230"/>
      <c r="AC239" s="188"/>
    </row>
    <row r="240" spans="2:29" ht="15.75" thickBot="1" x14ac:dyDescent="0.3">
      <c r="B240" s="240"/>
      <c r="C240" s="284"/>
      <c r="D240" s="235"/>
      <c r="E240" s="235"/>
      <c r="F240" s="230"/>
      <c r="G240" s="235"/>
      <c r="H240" s="235"/>
      <c r="I240" s="320"/>
      <c r="J240" s="235"/>
      <c r="K240" s="235"/>
      <c r="L240" s="235"/>
      <c r="M240" s="375"/>
      <c r="N240" s="236"/>
      <c r="O240" s="235"/>
      <c r="P240" s="241"/>
      <c r="Q240" s="239">
        <f t="shared" ca="1" si="10"/>
        <v>0</v>
      </c>
      <c r="R240" s="106">
        <f t="shared" si="9"/>
        <v>0</v>
      </c>
      <c r="S240" s="2">
        <f t="shared" si="11"/>
        <v>0</v>
      </c>
      <c r="T240" s="305"/>
      <c r="U240" s="235"/>
      <c r="V240" s="235"/>
      <c r="W240" s="235"/>
      <c r="X240" s="241"/>
      <c r="Y240" s="79"/>
      <c r="Z240" s="230"/>
      <c r="AA240" s="230"/>
      <c r="AB240" s="230"/>
      <c r="AC240" s="188"/>
    </row>
    <row r="241" spans="2:29" ht="15.75" thickBot="1" x14ac:dyDescent="0.3">
      <c r="B241" s="240"/>
      <c r="C241" s="284"/>
      <c r="D241" s="235"/>
      <c r="E241" s="235"/>
      <c r="F241" s="230"/>
      <c r="G241" s="235"/>
      <c r="H241" s="235"/>
      <c r="I241" s="320"/>
      <c r="J241" s="235"/>
      <c r="K241" s="235"/>
      <c r="L241" s="235"/>
      <c r="M241" s="375"/>
      <c r="N241" s="236"/>
      <c r="O241" s="235"/>
      <c r="P241" s="241"/>
      <c r="Q241" s="239">
        <f t="shared" ca="1" si="10"/>
        <v>0</v>
      </c>
      <c r="R241" s="106">
        <f t="shared" si="9"/>
        <v>0</v>
      </c>
      <c r="S241" s="2">
        <f t="shared" si="11"/>
        <v>0</v>
      </c>
      <c r="T241" s="305"/>
      <c r="U241" s="235"/>
      <c r="V241" s="235"/>
      <c r="W241" s="235"/>
      <c r="X241" s="241"/>
      <c r="Y241" s="79"/>
      <c r="Z241" s="230"/>
      <c r="AA241" s="230"/>
      <c r="AB241" s="230"/>
      <c r="AC241" s="188"/>
    </row>
    <row r="242" spans="2:29" ht="15.75" thickBot="1" x14ac:dyDescent="0.3">
      <c r="B242" s="240"/>
      <c r="C242" s="284"/>
      <c r="D242" s="235"/>
      <c r="E242" s="235"/>
      <c r="F242" s="230"/>
      <c r="G242" s="235"/>
      <c r="H242" s="235"/>
      <c r="I242" s="320"/>
      <c r="J242" s="235"/>
      <c r="K242" s="235"/>
      <c r="L242" s="235"/>
      <c r="M242" s="375"/>
      <c r="N242" s="236"/>
      <c r="O242" s="235"/>
      <c r="P242" s="241"/>
      <c r="Q242" s="239">
        <f t="shared" ca="1" si="10"/>
        <v>0</v>
      </c>
      <c r="R242" s="106">
        <f t="shared" si="9"/>
        <v>0</v>
      </c>
      <c r="S242" s="2">
        <f t="shared" si="11"/>
        <v>0</v>
      </c>
      <c r="T242" s="305"/>
      <c r="U242" s="235"/>
      <c r="V242" s="235"/>
      <c r="W242" s="235"/>
      <c r="X242" s="241"/>
      <c r="Y242" s="79"/>
      <c r="Z242" s="230"/>
      <c r="AA242" s="230"/>
      <c r="AB242" s="230"/>
      <c r="AC242" s="188"/>
    </row>
    <row r="243" spans="2:29" ht="15.75" thickBot="1" x14ac:dyDescent="0.3">
      <c r="B243" s="240"/>
      <c r="C243" s="284"/>
      <c r="D243" s="235"/>
      <c r="E243" s="235"/>
      <c r="F243" s="230"/>
      <c r="G243" s="235"/>
      <c r="H243" s="235"/>
      <c r="I243" s="320"/>
      <c r="J243" s="235"/>
      <c r="K243" s="235"/>
      <c r="L243" s="235"/>
      <c r="M243" s="375"/>
      <c r="N243" s="236"/>
      <c r="O243" s="235"/>
      <c r="P243" s="241"/>
      <c r="Q243" s="239">
        <f t="shared" ca="1" si="10"/>
        <v>0</v>
      </c>
      <c r="R243" s="106">
        <f t="shared" si="9"/>
        <v>0</v>
      </c>
      <c r="S243" s="2">
        <f t="shared" si="11"/>
        <v>0</v>
      </c>
      <c r="T243" s="305"/>
      <c r="U243" s="235"/>
      <c r="V243" s="235"/>
      <c r="W243" s="235"/>
      <c r="X243" s="241"/>
      <c r="Y243" s="79"/>
      <c r="Z243" s="230"/>
      <c r="AA243" s="230"/>
      <c r="AB243" s="230"/>
      <c r="AC243" s="188"/>
    </row>
    <row r="244" spans="2:29" ht="15.75" thickBot="1" x14ac:dyDescent="0.3">
      <c r="B244" s="240"/>
      <c r="C244" s="284"/>
      <c r="D244" s="235"/>
      <c r="E244" s="235"/>
      <c r="F244" s="230"/>
      <c r="G244" s="235"/>
      <c r="H244" s="235"/>
      <c r="I244" s="320"/>
      <c r="J244" s="235"/>
      <c r="K244" s="235"/>
      <c r="L244" s="235"/>
      <c r="M244" s="375"/>
      <c r="N244" s="236"/>
      <c r="O244" s="235"/>
      <c r="P244" s="241"/>
      <c r="Q244" s="239">
        <f t="shared" ca="1" si="10"/>
        <v>0</v>
      </c>
      <c r="R244" s="106">
        <f t="shared" si="9"/>
        <v>0</v>
      </c>
      <c r="S244" s="2">
        <f t="shared" si="11"/>
        <v>0</v>
      </c>
      <c r="T244" s="305"/>
      <c r="U244" s="235"/>
      <c r="V244" s="235"/>
      <c r="W244" s="235"/>
      <c r="X244" s="241"/>
      <c r="Y244" s="79"/>
      <c r="Z244" s="230"/>
      <c r="AA244" s="230"/>
      <c r="AB244" s="230"/>
      <c r="AC244" s="188"/>
    </row>
    <row r="245" spans="2:29" ht="15.75" thickBot="1" x14ac:dyDescent="0.3">
      <c r="B245" s="240"/>
      <c r="C245" s="284"/>
      <c r="D245" s="235"/>
      <c r="E245" s="235"/>
      <c r="F245" s="230"/>
      <c r="G245" s="235"/>
      <c r="H245" s="235"/>
      <c r="I245" s="320"/>
      <c r="J245" s="235"/>
      <c r="K245" s="235"/>
      <c r="L245" s="235"/>
      <c r="M245" s="375"/>
      <c r="N245" s="236"/>
      <c r="O245" s="235"/>
      <c r="P245" s="241"/>
      <c r="Q245" s="239">
        <f t="shared" ca="1" si="10"/>
        <v>0</v>
      </c>
      <c r="R245" s="106">
        <f t="shared" si="9"/>
        <v>0</v>
      </c>
      <c r="S245" s="2">
        <f t="shared" si="11"/>
        <v>0</v>
      </c>
      <c r="T245" s="305"/>
      <c r="U245" s="235"/>
      <c r="V245" s="235"/>
      <c r="W245" s="235"/>
      <c r="X245" s="241"/>
      <c r="Y245" s="79"/>
      <c r="Z245" s="230"/>
      <c r="AA245" s="230"/>
      <c r="AB245" s="230"/>
      <c r="AC245" s="188"/>
    </row>
    <row r="246" spans="2:29" ht="15.75" thickBot="1" x14ac:dyDescent="0.3">
      <c r="B246" s="240"/>
      <c r="C246" s="284"/>
      <c r="D246" s="235"/>
      <c r="E246" s="235"/>
      <c r="F246" s="230"/>
      <c r="G246" s="235"/>
      <c r="H246" s="235"/>
      <c r="I246" s="320"/>
      <c r="J246" s="235"/>
      <c r="K246" s="235"/>
      <c r="L246" s="235"/>
      <c r="M246" s="375"/>
      <c r="N246" s="236"/>
      <c r="O246" s="235"/>
      <c r="P246" s="241"/>
      <c r="Q246" s="239">
        <f t="shared" ca="1" si="10"/>
        <v>0</v>
      </c>
      <c r="R246" s="106">
        <f t="shared" si="9"/>
        <v>0</v>
      </c>
      <c r="S246" s="2">
        <f t="shared" si="11"/>
        <v>0</v>
      </c>
      <c r="T246" s="305"/>
      <c r="U246" s="235"/>
      <c r="V246" s="235"/>
      <c r="W246" s="235"/>
      <c r="X246" s="241"/>
      <c r="Y246" s="79"/>
      <c r="Z246" s="230"/>
      <c r="AA246" s="230"/>
      <c r="AB246" s="230"/>
      <c r="AC246" s="188"/>
    </row>
    <row r="247" spans="2:29" ht="15.75" thickBot="1" x14ac:dyDescent="0.3">
      <c r="B247" s="240"/>
      <c r="C247" s="284"/>
      <c r="D247" s="235"/>
      <c r="E247" s="235"/>
      <c r="F247" s="230"/>
      <c r="G247" s="235"/>
      <c r="H247" s="235"/>
      <c r="I247" s="320"/>
      <c r="J247" s="235"/>
      <c r="K247" s="235"/>
      <c r="L247" s="235"/>
      <c r="M247" s="375"/>
      <c r="N247" s="236"/>
      <c r="O247" s="235"/>
      <c r="P247" s="241"/>
      <c r="Q247" s="239">
        <f t="shared" ca="1" si="10"/>
        <v>0</v>
      </c>
      <c r="R247" s="106">
        <f t="shared" si="9"/>
        <v>0</v>
      </c>
      <c r="S247" s="2">
        <f t="shared" si="11"/>
        <v>0</v>
      </c>
      <c r="T247" s="305"/>
      <c r="U247" s="235"/>
      <c r="V247" s="235"/>
      <c r="W247" s="235"/>
      <c r="X247" s="241"/>
      <c r="Y247" s="79"/>
      <c r="Z247" s="230"/>
      <c r="AA247" s="230"/>
      <c r="AB247" s="230"/>
      <c r="AC247" s="188"/>
    </row>
    <row r="248" spans="2:29" ht="15.75" thickBot="1" x14ac:dyDescent="0.3">
      <c r="B248" s="240"/>
      <c r="C248" s="284"/>
      <c r="D248" s="235"/>
      <c r="E248" s="235"/>
      <c r="F248" s="230"/>
      <c r="G248" s="235"/>
      <c r="H248" s="235"/>
      <c r="I248" s="320"/>
      <c r="J248" s="235"/>
      <c r="K248" s="235"/>
      <c r="L248" s="235"/>
      <c r="M248" s="375"/>
      <c r="N248" s="236"/>
      <c r="O248" s="235"/>
      <c r="P248" s="241"/>
      <c r="Q248" s="239">
        <f t="shared" ca="1" si="10"/>
        <v>0</v>
      </c>
      <c r="R248" s="106">
        <f t="shared" si="9"/>
        <v>0</v>
      </c>
      <c r="S248" s="2">
        <f t="shared" si="11"/>
        <v>0</v>
      </c>
      <c r="T248" s="305"/>
      <c r="U248" s="235"/>
      <c r="V248" s="235"/>
      <c r="W248" s="235"/>
      <c r="X248" s="241"/>
      <c r="Y248" s="79"/>
      <c r="Z248" s="230"/>
      <c r="AA248" s="230"/>
      <c r="AB248" s="230"/>
      <c r="AC248" s="188"/>
    </row>
    <row r="249" spans="2:29" ht="15.75" thickBot="1" x14ac:dyDescent="0.3">
      <c r="B249" s="240"/>
      <c r="C249" s="284"/>
      <c r="D249" s="235"/>
      <c r="E249" s="235"/>
      <c r="F249" s="230"/>
      <c r="G249" s="235"/>
      <c r="H249" s="235"/>
      <c r="I249" s="320"/>
      <c r="J249" s="235"/>
      <c r="K249" s="235"/>
      <c r="L249" s="235"/>
      <c r="M249" s="375"/>
      <c r="N249" s="236"/>
      <c r="O249" s="235"/>
      <c r="P249" s="241"/>
      <c r="Q249" s="239">
        <f t="shared" ca="1" si="10"/>
        <v>0</v>
      </c>
      <c r="R249" s="106">
        <f t="shared" si="9"/>
        <v>0</v>
      </c>
      <c r="S249" s="2">
        <f t="shared" si="11"/>
        <v>0</v>
      </c>
      <c r="T249" s="305"/>
      <c r="U249" s="235"/>
      <c r="V249" s="235"/>
      <c r="W249" s="235"/>
      <c r="X249" s="241"/>
      <c r="Y249" s="79"/>
      <c r="Z249" s="230"/>
      <c r="AA249" s="230"/>
      <c r="AB249" s="230"/>
      <c r="AC249" s="188"/>
    </row>
    <row r="250" spans="2:29" ht="15.75" thickBot="1" x14ac:dyDescent="0.3">
      <c r="B250" s="240"/>
      <c r="C250" s="284"/>
      <c r="D250" s="235"/>
      <c r="E250" s="235"/>
      <c r="F250" s="230"/>
      <c r="G250" s="235"/>
      <c r="H250" s="235"/>
      <c r="I250" s="320"/>
      <c r="J250" s="235"/>
      <c r="K250" s="235"/>
      <c r="L250" s="235"/>
      <c r="M250" s="375"/>
      <c r="N250" s="236"/>
      <c r="O250" s="235"/>
      <c r="P250" s="241"/>
      <c r="Q250" s="239">
        <f t="shared" ca="1" si="10"/>
        <v>0</v>
      </c>
      <c r="R250" s="106">
        <f t="shared" si="9"/>
        <v>0</v>
      </c>
      <c r="S250" s="2">
        <f t="shared" si="11"/>
        <v>0</v>
      </c>
      <c r="T250" s="305"/>
      <c r="U250" s="235"/>
      <c r="V250" s="235"/>
      <c r="W250" s="235"/>
      <c r="X250" s="241"/>
      <c r="Y250" s="79"/>
      <c r="Z250" s="230"/>
      <c r="AA250" s="230"/>
      <c r="AB250" s="230"/>
      <c r="AC250" s="188"/>
    </row>
    <row r="251" spans="2:29" ht="15.75" thickBot="1" x14ac:dyDescent="0.3">
      <c r="B251" s="240"/>
      <c r="C251" s="284"/>
      <c r="D251" s="235"/>
      <c r="E251" s="235"/>
      <c r="F251" s="230"/>
      <c r="G251" s="235"/>
      <c r="H251" s="235"/>
      <c r="I251" s="320"/>
      <c r="J251" s="235"/>
      <c r="K251" s="235"/>
      <c r="L251" s="235"/>
      <c r="M251" s="375"/>
      <c r="N251" s="236"/>
      <c r="O251" s="235"/>
      <c r="P251" s="241"/>
      <c r="Q251" s="239">
        <f t="shared" ca="1" si="10"/>
        <v>0</v>
      </c>
      <c r="R251" s="106">
        <f t="shared" si="9"/>
        <v>0</v>
      </c>
      <c r="S251" s="2">
        <f t="shared" si="11"/>
        <v>0</v>
      </c>
      <c r="T251" s="305"/>
      <c r="U251" s="235"/>
      <c r="V251" s="235"/>
      <c r="W251" s="235"/>
      <c r="X251" s="241"/>
      <c r="Y251" s="79"/>
      <c r="Z251" s="230"/>
      <c r="AA251" s="230"/>
      <c r="AB251" s="230"/>
      <c r="AC251" s="188"/>
    </row>
    <row r="252" spans="2:29" ht="15.75" thickBot="1" x14ac:dyDescent="0.3">
      <c r="B252" s="240"/>
      <c r="C252" s="284"/>
      <c r="D252" s="235"/>
      <c r="E252" s="235"/>
      <c r="F252" s="230"/>
      <c r="G252" s="235"/>
      <c r="H252" s="235"/>
      <c r="I252" s="320"/>
      <c r="J252" s="235"/>
      <c r="K252" s="235"/>
      <c r="L252" s="235"/>
      <c r="M252" s="375"/>
      <c r="N252" s="236"/>
      <c r="O252" s="235"/>
      <c r="P252" s="241"/>
      <c r="Q252" s="239">
        <f t="shared" ca="1" si="10"/>
        <v>0</v>
      </c>
      <c r="R252" s="106">
        <f t="shared" si="9"/>
        <v>0</v>
      </c>
      <c r="S252" s="2">
        <f t="shared" si="11"/>
        <v>0</v>
      </c>
      <c r="T252" s="305"/>
      <c r="U252" s="235"/>
      <c r="V252" s="235"/>
      <c r="W252" s="235"/>
      <c r="X252" s="241"/>
      <c r="Y252" s="79"/>
      <c r="Z252" s="230"/>
      <c r="AA252" s="230"/>
      <c r="AB252" s="230"/>
      <c r="AC252" s="188"/>
    </row>
    <row r="253" spans="2:29" ht="15.75" thickBot="1" x14ac:dyDescent="0.3">
      <c r="B253" s="240"/>
      <c r="C253" s="284"/>
      <c r="D253" s="235"/>
      <c r="E253" s="235"/>
      <c r="F253" s="230"/>
      <c r="G253" s="235"/>
      <c r="H253" s="235"/>
      <c r="I253" s="320"/>
      <c r="J253" s="235"/>
      <c r="K253" s="235"/>
      <c r="L253" s="235"/>
      <c r="M253" s="375"/>
      <c r="N253" s="236"/>
      <c r="O253" s="235"/>
      <c r="P253" s="241"/>
      <c r="Q253" s="239">
        <f t="shared" ca="1" si="10"/>
        <v>0</v>
      </c>
      <c r="R253" s="106">
        <f t="shared" si="9"/>
        <v>0</v>
      </c>
      <c r="S253" s="2">
        <f t="shared" si="11"/>
        <v>0</v>
      </c>
      <c r="T253" s="305"/>
      <c r="U253" s="235"/>
      <c r="V253" s="235"/>
      <c r="W253" s="235"/>
      <c r="X253" s="241"/>
      <c r="Y253" s="79"/>
      <c r="Z253" s="230"/>
      <c r="AA253" s="230"/>
      <c r="AB253" s="230"/>
      <c r="AC253" s="188"/>
    </row>
    <row r="254" spans="2:29" ht="15.75" thickBot="1" x14ac:dyDescent="0.3">
      <c r="B254" s="240"/>
      <c r="C254" s="284"/>
      <c r="D254" s="235"/>
      <c r="E254" s="235"/>
      <c r="F254" s="230"/>
      <c r="G254" s="235"/>
      <c r="H254" s="235"/>
      <c r="I254" s="320"/>
      <c r="J254" s="235"/>
      <c r="K254" s="235"/>
      <c r="L254" s="235"/>
      <c r="M254" s="375"/>
      <c r="N254" s="236"/>
      <c r="O254" s="235"/>
      <c r="P254" s="241"/>
      <c r="Q254" s="239">
        <f t="shared" ca="1" si="10"/>
        <v>0</v>
      </c>
      <c r="R254" s="106">
        <f t="shared" si="9"/>
        <v>0</v>
      </c>
      <c r="S254" s="2">
        <f t="shared" si="11"/>
        <v>0</v>
      </c>
      <c r="T254" s="305"/>
      <c r="U254" s="235"/>
      <c r="V254" s="235"/>
      <c r="W254" s="235"/>
      <c r="X254" s="241"/>
      <c r="Y254" s="79"/>
      <c r="Z254" s="230"/>
      <c r="AA254" s="230"/>
      <c r="AB254" s="230"/>
      <c r="AC254" s="188"/>
    </row>
    <row r="255" spans="2:29" ht="15.75" thickBot="1" x14ac:dyDescent="0.3">
      <c r="B255" s="240"/>
      <c r="C255" s="284"/>
      <c r="D255" s="235"/>
      <c r="E255" s="235"/>
      <c r="F255" s="230"/>
      <c r="G255" s="235"/>
      <c r="H255" s="235"/>
      <c r="I255" s="320"/>
      <c r="J255" s="235"/>
      <c r="K255" s="235"/>
      <c r="L255" s="235"/>
      <c r="M255" s="375"/>
      <c r="N255" s="236"/>
      <c r="O255" s="235"/>
      <c r="P255" s="241"/>
      <c r="Q255" s="239">
        <f t="shared" ca="1" si="10"/>
        <v>0</v>
      </c>
      <c r="R255" s="106">
        <f t="shared" si="9"/>
        <v>0</v>
      </c>
      <c r="S255" s="2">
        <f t="shared" si="11"/>
        <v>0</v>
      </c>
      <c r="T255" s="305"/>
      <c r="U255" s="235"/>
      <c r="V255" s="235"/>
      <c r="W255" s="235"/>
      <c r="X255" s="241"/>
      <c r="Y255" s="79"/>
      <c r="Z255" s="230"/>
      <c r="AA255" s="230"/>
      <c r="AB255" s="230"/>
      <c r="AC255" s="188"/>
    </row>
    <row r="256" spans="2:29" ht="15.75" thickBot="1" x14ac:dyDescent="0.3">
      <c r="B256" s="240"/>
      <c r="C256" s="284"/>
      <c r="D256" s="235"/>
      <c r="E256" s="235"/>
      <c r="F256" s="230"/>
      <c r="G256" s="235"/>
      <c r="H256" s="235"/>
      <c r="I256" s="320"/>
      <c r="J256" s="235"/>
      <c r="K256" s="235"/>
      <c r="L256" s="235"/>
      <c r="M256" s="375"/>
      <c r="N256" s="236"/>
      <c r="O256" s="235"/>
      <c r="P256" s="241"/>
      <c r="Q256" s="239">
        <f t="shared" ca="1" si="10"/>
        <v>0</v>
      </c>
      <c r="R256" s="106">
        <f t="shared" si="9"/>
        <v>0</v>
      </c>
      <c r="S256" s="2">
        <f t="shared" si="11"/>
        <v>0</v>
      </c>
      <c r="T256" s="305"/>
      <c r="U256" s="235"/>
      <c r="V256" s="235"/>
      <c r="W256" s="235"/>
      <c r="X256" s="241"/>
      <c r="Y256" s="79"/>
      <c r="Z256" s="230"/>
      <c r="AA256" s="230"/>
      <c r="AB256" s="230"/>
      <c r="AC256" s="188"/>
    </row>
    <row r="257" spans="2:29" ht="15.75" thickBot="1" x14ac:dyDescent="0.3">
      <c r="B257" s="240"/>
      <c r="C257" s="284"/>
      <c r="D257" s="235"/>
      <c r="E257" s="235"/>
      <c r="F257" s="230"/>
      <c r="G257" s="235"/>
      <c r="H257" s="235"/>
      <c r="I257" s="320"/>
      <c r="J257" s="235"/>
      <c r="K257" s="235"/>
      <c r="L257" s="235"/>
      <c r="M257" s="375"/>
      <c r="N257" s="236"/>
      <c r="O257" s="235"/>
      <c r="P257" s="241"/>
      <c r="Q257" s="239">
        <f t="shared" ca="1" si="10"/>
        <v>0</v>
      </c>
      <c r="R257" s="106">
        <f t="shared" si="9"/>
        <v>0</v>
      </c>
      <c r="S257" s="2">
        <f t="shared" si="11"/>
        <v>0</v>
      </c>
      <c r="T257" s="305"/>
      <c r="U257" s="235"/>
      <c r="V257" s="235"/>
      <c r="W257" s="235"/>
      <c r="X257" s="241"/>
      <c r="Y257" s="79"/>
      <c r="Z257" s="230"/>
      <c r="AA257" s="230"/>
      <c r="AB257" s="230"/>
      <c r="AC257" s="188"/>
    </row>
    <row r="258" spans="2:29" ht="15.75" thickBot="1" x14ac:dyDescent="0.3">
      <c r="B258" s="240"/>
      <c r="C258" s="284"/>
      <c r="D258" s="235"/>
      <c r="E258" s="235"/>
      <c r="F258" s="230"/>
      <c r="G258" s="235"/>
      <c r="H258" s="235"/>
      <c r="I258" s="320"/>
      <c r="J258" s="235"/>
      <c r="K258" s="235"/>
      <c r="L258" s="235"/>
      <c r="M258" s="375"/>
      <c r="N258" s="236"/>
      <c r="O258" s="235"/>
      <c r="P258" s="241"/>
      <c r="Q258" s="239">
        <f t="shared" ca="1" si="10"/>
        <v>0</v>
      </c>
      <c r="R258" s="106">
        <f t="shared" si="9"/>
        <v>0</v>
      </c>
      <c r="S258" s="2">
        <f t="shared" si="11"/>
        <v>0</v>
      </c>
      <c r="T258" s="305"/>
      <c r="U258" s="235"/>
      <c r="V258" s="235"/>
      <c r="W258" s="235"/>
      <c r="X258" s="241"/>
      <c r="Y258" s="79"/>
      <c r="Z258" s="230"/>
      <c r="AA258" s="230"/>
      <c r="AB258" s="230"/>
      <c r="AC258" s="188"/>
    </row>
    <row r="259" spans="2:29" ht="15.75" thickBot="1" x14ac:dyDescent="0.3">
      <c r="B259" s="240"/>
      <c r="C259" s="284"/>
      <c r="D259" s="235"/>
      <c r="E259" s="235"/>
      <c r="F259" s="230"/>
      <c r="G259" s="235"/>
      <c r="H259" s="235"/>
      <c r="I259" s="320"/>
      <c r="J259" s="235"/>
      <c r="K259" s="235"/>
      <c r="L259" s="235"/>
      <c r="M259" s="375"/>
      <c r="N259" s="236"/>
      <c r="O259" s="235"/>
      <c r="P259" s="241"/>
      <c r="Q259" s="239">
        <f t="shared" ca="1" si="10"/>
        <v>0</v>
      </c>
      <c r="R259" s="106">
        <f t="shared" si="9"/>
        <v>0</v>
      </c>
      <c r="S259" s="2">
        <f t="shared" si="11"/>
        <v>0</v>
      </c>
      <c r="T259" s="305"/>
      <c r="U259" s="235"/>
      <c r="V259" s="235"/>
      <c r="W259" s="235"/>
      <c r="X259" s="241"/>
      <c r="Y259" s="79"/>
      <c r="Z259" s="230"/>
      <c r="AA259" s="230"/>
      <c r="AB259" s="230"/>
      <c r="AC259" s="188"/>
    </row>
    <row r="260" spans="2:29" ht="15.75" thickBot="1" x14ac:dyDescent="0.3">
      <c r="B260" s="240"/>
      <c r="C260" s="284"/>
      <c r="D260" s="235"/>
      <c r="E260" s="235"/>
      <c r="F260" s="230"/>
      <c r="G260" s="235"/>
      <c r="H260" s="235"/>
      <c r="I260" s="320"/>
      <c r="J260" s="235"/>
      <c r="K260" s="235"/>
      <c r="L260" s="235"/>
      <c r="M260" s="375"/>
      <c r="N260" s="236"/>
      <c r="O260" s="235"/>
      <c r="P260" s="241"/>
      <c r="Q260" s="239">
        <f t="shared" ca="1" si="10"/>
        <v>0</v>
      </c>
      <c r="R260" s="106">
        <f t="shared" si="9"/>
        <v>0</v>
      </c>
      <c r="S260" s="2">
        <f t="shared" si="11"/>
        <v>0</v>
      </c>
      <c r="T260" s="305"/>
      <c r="U260" s="235"/>
      <c r="V260" s="235"/>
      <c r="W260" s="235"/>
      <c r="X260" s="241"/>
      <c r="Y260" s="79"/>
      <c r="Z260" s="230"/>
      <c r="AA260" s="230"/>
      <c r="AB260" s="230"/>
      <c r="AC260" s="188"/>
    </row>
    <row r="261" spans="2:29" ht="15.75" thickBot="1" x14ac:dyDescent="0.3">
      <c r="B261" s="240"/>
      <c r="C261" s="284"/>
      <c r="D261" s="235"/>
      <c r="E261" s="235"/>
      <c r="F261" s="230"/>
      <c r="G261" s="235"/>
      <c r="H261" s="235"/>
      <c r="I261" s="320"/>
      <c r="J261" s="235"/>
      <c r="K261" s="235"/>
      <c r="L261" s="235"/>
      <c r="M261" s="375"/>
      <c r="N261" s="236"/>
      <c r="O261" s="235"/>
      <c r="P261" s="241"/>
      <c r="Q261" s="239">
        <f t="shared" ca="1" si="10"/>
        <v>0</v>
      </c>
      <c r="R261" s="106">
        <f t="shared" si="9"/>
        <v>0</v>
      </c>
      <c r="S261" s="2">
        <f t="shared" si="11"/>
        <v>0</v>
      </c>
      <c r="T261" s="305"/>
      <c r="U261" s="235"/>
      <c r="V261" s="235"/>
      <c r="W261" s="235"/>
      <c r="X261" s="241"/>
      <c r="Y261" s="79"/>
      <c r="Z261" s="230"/>
      <c r="AA261" s="230"/>
      <c r="AB261" s="230"/>
      <c r="AC261" s="188"/>
    </row>
    <row r="262" spans="2:29" ht="15.75" thickBot="1" x14ac:dyDescent="0.3">
      <c r="B262" s="240"/>
      <c r="C262" s="284"/>
      <c r="D262" s="235"/>
      <c r="E262" s="235"/>
      <c r="F262" s="230"/>
      <c r="G262" s="235"/>
      <c r="H262" s="235"/>
      <c r="I262" s="320"/>
      <c r="J262" s="235"/>
      <c r="K262" s="235"/>
      <c r="L262" s="235"/>
      <c r="M262" s="375"/>
      <c r="N262" s="236"/>
      <c r="O262" s="235"/>
      <c r="P262" s="241"/>
      <c r="Q262" s="239">
        <f t="shared" ca="1" si="10"/>
        <v>0</v>
      </c>
      <c r="R262" s="106">
        <f t="shared" si="9"/>
        <v>0</v>
      </c>
      <c r="S262" s="2">
        <f t="shared" si="11"/>
        <v>0</v>
      </c>
      <c r="T262" s="305"/>
      <c r="U262" s="235"/>
      <c r="V262" s="235"/>
      <c r="W262" s="235"/>
      <c r="X262" s="241"/>
      <c r="Y262" s="79"/>
      <c r="Z262" s="230"/>
      <c r="AA262" s="230"/>
      <c r="AB262" s="230"/>
      <c r="AC262" s="188"/>
    </row>
    <row r="263" spans="2:29" ht="15.75" thickBot="1" x14ac:dyDescent="0.3">
      <c r="B263" s="240"/>
      <c r="C263" s="284"/>
      <c r="D263" s="235"/>
      <c r="E263" s="235"/>
      <c r="F263" s="230"/>
      <c r="G263" s="235"/>
      <c r="H263" s="235"/>
      <c r="I263" s="320"/>
      <c r="J263" s="235"/>
      <c r="K263" s="235"/>
      <c r="L263" s="235"/>
      <c r="M263" s="375"/>
      <c r="N263" s="236"/>
      <c r="O263" s="235"/>
      <c r="P263" s="241"/>
      <c r="Q263" s="239">
        <f t="shared" ca="1" si="10"/>
        <v>0</v>
      </c>
      <c r="R263" s="106">
        <f t="shared" ref="R263:R300" si="12">IF(COUNTBLANK(E263),0,1)</f>
        <v>0</v>
      </c>
      <c r="S263" s="2">
        <f t="shared" si="11"/>
        <v>0</v>
      </c>
      <c r="T263" s="305"/>
      <c r="U263" s="235"/>
      <c r="V263" s="235"/>
      <c r="W263" s="235"/>
      <c r="X263" s="241"/>
      <c r="Y263" s="79"/>
      <c r="Z263" s="230"/>
      <c r="AA263" s="230"/>
      <c r="AB263" s="230"/>
      <c r="AC263" s="188"/>
    </row>
    <row r="264" spans="2:29" ht="15.75" thickBot="1" x14ac:dyDescent="0.3">
      <c r="B264" s="240"/>
      <c r="C264" s="284"/>
      <c r="D264" s="235"/>
      <c r="E264" s="235"/>
      <c r="F264" s="230"/>
      <c r="G264" s="235"/>
      <c r="H264" s="235"/>
      <c r="I264" s="320"/>
      <c r="J264" s="235"/>
      <c r="K264" s="235"/>
      <c r="L264" s="235"/>
      <c r="M264" s="375"/>
      <c r="N264" s="236"/>
      <c r="O264" s="235"/>
      <c r="P264" s="241"/>
      <c r="Q264" s="239">
        <f t="shared" ref="Q264:Q300" ca="1" si="13">IF(N264=100%,0,IF(M264&gt;=TODAY(),0,IF(ISBLANK(M264),0,1)))</f>
        <v>0</v>
      </c>
      <c r="R264" s="106">
        <f t="shared" si="12"/>
        <v>0</v>
      </c>
      <c r="S264" s="2">
        <f t="shared" ref="S264:S300" si="14">IF(AND(R264=1,COUNTBLANK(M264),N264&lt;100%),1,0)</f>
        <v>0</v>
      </c>
      <c r="T264" s="305"/>
      <c r="U264" s="235"/>
      <c r="V264" s="235"/>
      <c r="W264" s="235"/>
      <c r="X264" s="241"/>
      <c r="Y264" s="79"/>
      <c r="Z264" s="230"/>
      <c r="AA264" s="230"/>
      <c r="AB264" s="230"/>
      <c r="AC264" s="188"/>
    </row>
    <row r="265" spans="2:29" ht="15.75" thickBot="1" x14ac:dyDescent="0.3">
      <c r="B265" s="240"/>
      <c r="C265" s="284"/>
      <c r="D265" s="235"/>
      <c r="E265" s="235"/>
      <c r="F265" s="230"/>
      <c r="G265" s="235"/>
      <c r="H265" s="235"/>
      <c r="I265" s="320"/>
      <c r="J265" s="235"/>
      <c r="K265" s="235"/>
      <c r="L265" s="235"/>
      <c r="M265" s="375"/>
      <c r="N265" s="236"/>
      <c r="O265" s="235"/>
      <c r="P265" s="241"/>
      <c r="Q265" s="239">
        <f t="shared" ca="1" si="13"/>
        <v>0</v>
      </c>
      <c r="R265" s="106">
        <f t="shared" si="12"/>
        <v>0</v>
      </c>
      <c r="S265" s="2">
        <f t="shared" si="14"/>
        <v>0</v>
      </c>
      <c r="T265" s="305"/>
      <c r="U265" s="235"/>
      <c r="V265" s="235"/>
      <c r="W265" s="235"/>
      <c r="X265" s="241"/>
      <c r="Y265" s="79"/>
      <c r="Z265" s="230"/>
      <c r="AA265" s="230"/>
      <c r="AB265" s="230"/>
      <c r="AC265" s="188"/>
    </row>
    <row r="266" spans="2:29" ht="15.75" thickBot="1" x14ac:dyDescent="0.3">
      <c r="B266" s="240"/>
      <c r="C266" s="284"/>
      <c r="D266" s="235"/>
      <c r="E266" s="235"/>
      <c r="F266" s="230"/>
      <c r="G266" s="235"/>
      <c r="H266" s="235"/>
      <c r="I266" s="320"/>
      <c r="J266" s="235"/>
      <c r="K266" s="235"/>
      <c r="L266" s="235"/>
      <c r="M266" s="375"/>
      <c r="N266" s="236"/>
      <c r="O266" s="235"/>
      <c r="P266" s="241"/>
      <c r="Q266" s="239">
        <f t="shared" ca="1" si="13"/>
        <v>0</v>
      </c>
      <c r="R266" s="106">
        <f t="shared" si="12"/>
        <v>0</v>
      </c>
      <c r="S266" s="2">
        <f t="shared" si="14"/>
        <v>0</v>
      </c>
      <c r="T266" s="305"/>
      <c r="U266" s="235"/>
      <c r="V266" s="235"/>
      <c r="W266" s="235"/>
      <c r="X266" s="241"/>
      <c r="Y266" s="79"/>
      <c r="Z266" s="230"/>
      <c r="AA266" s="230"/>
      <c r="AB266" s="230"/>
      <c r="AC266" s="188"/>
    </row>
    <row r="267" spans="2:29" ht="15.75" thickBot="1" x14ac:dyDescent="0.3">
      <c r="B267" s="240"/>
      <c r="C267" s="284"/>
      <c r="D267" s="235"/>
      <c r="E267" s="235"/>
      <c r="F267" s="230"/>
      <c r="G267" s="235"/>
      <c r="H267" s="235"/>
      <c r="I267" s="320"/>
      <c r="J267" s="235"/>
      <c r="K267" s="235"/>
      <c r="L267" s="235"/>
      <c r="M267" s="375"/>
      <c r="N267" s="236"/>
      <c r="O267" s="235"/>
      <c r="P267" s="241"/>
      <c r="Q267" s="239">
        <f t="shared" ca="1" si="13"/>
        <v>0</v>
      </c>
      <c r="R267" s="106">
        <f t="shared" si="12"/>
        <v>0</v>
      </c>
      <c r="S267" s="2">
        <f t="shared" si="14"/>
        <v>0</v>
      </c>
      <c r="T267" s="305"/>
      <c r="U267" s="235"/>
      <c r="V267" s="235"/>
      <c r="W267" s="235"/>
      <c r="X267" s="241"/>
      <c r="Y267" s="79"/>
      <c r="Z267" s="230"/>
      <c r="AA267" s="230"/>
      <c r="AB267" s="230"/>
      <c r="AC267" s="188"/>
    </row>
    <row r="268" spans="2:29" ht="15.75" thickBot="1" x14ac:dyDescent="0.3">
      <c r="B268" s="240"/>
      <c r="C268" s="284"/>
      <c r="D268" s="235"/>
      <c r="E268" s="235"/>
      <c r="F268" s="230"/>
      <c r="G268" s="235"/>
      <c r="H268" s="235"/>
      <c r="I268" s="320"/>
      <c r="J268" s="235"/>
      <c r="K268" s="235"/>
      <c r="L268" s="235"/>
      <c r="M268" s="375"/>
      <c r="N268" s="236"/>
      <c r="O268" s="235"/>
      <c r="P268" s="241"/>
      <c r="Q268" s="239">
        <f t="shared" ca="1" si="13"/>
        <v>0</v>
      </c>
      <c r="R268" s="106">
        <f t="shared" si="12"/>
        <v>0</v>
      </c>
      <c r="S268" s="2">
        <f t="shared" si="14"/>
        <v>0</v>
      </c>
      <c r="T268" s="305"/>
      <c r="U268" s="235"/>
      <c r="V268" s="235"/>
      <c r="W268" s="235"/>
      <c r="X268" s="241"/>
      <c r="Y268" s="79"/>
      <c r="Z268" s="230"/>
      <c r="AA268" s="230"/>
      <c r="AB268" s="230"/>
      <c r="AC268" s="188"/>
    </row>
    <row r="269" spans="2:29" ht="15.75" thickBot="1" x14ac:dyDescent="0.3">
      <c r="B269" s="240"/>
      <c r="C269" s="284"/>
      <c r="D269" s="235"/>
      <c r="E269" s="235"/>
      <c r="F269" s="230"/>
      <c r="G269" s="235"/>
      <c r="H269" s="235"/>
      <c r="I269" s="320"/>
      <c r="J269" s="235"/>
      <c r="K269" s="235"/>
      <c r="L269" s="235"/>
      <c r="M269" s="375"/>
      <c r="N269" s="236"/>
      <c r="O269" s="235"/>
      <c r="P269" s="241"/>
      <c r="Q269" s="239">
        <f t="shared" ca="1" si="13"/>
        <v>0</v>
      </c>
      <c r="R269" s="106">
        <f t="shared" si="12"/>
        <v>0</v>
      </c>
      <c r="S269" s="2">
        <f t="shared" si="14"/>
        <v>0</v>
      </c>
      <c r="T269" s="305"/>
      <c r="U269" s="235"/>
      <c r="V269" s="235"/>
      <c r="W269" s="235"/>
      <c r="X269" s="241"/>
      <c r="Y269" s="79"/>
      <c r="Z269" s="230"/>
      <c r="AA269" s="230"/>
      <c r="AB269" s="230"/>
      <c r="AC269" s="188"/>
    </row>
    <row r="270" spans="2:29" ht="15.75" thickBot="1" x14ac:dyDescent="0.3">
      <c r="B270" s="240"/>
      <c r="C270" s="284"/>
      <c r="D270" s="235"/>
      <c r="E270" s="235"/>
      <c r="F270" s="230"/>
      <c r="G270" s="235"/>
      <c r="H270" s="235"/>
      <c r="I270" s="320"/>
      <c r="J270" s="235"/>
      <c r="K270" s="235"/>
      <c r="L270" s="235"/>
      <c r="M270" s="375"/>
      <c r="N270" s="236"/>
      <c r="O270" s="235"/>
      <c r="P270" s="241"/>
      <c r="Q270" s="239">
        <f t="shared" ca="1" si="13"/>
        <v>0</v>
      </c>
      <c r="R270" s="106">
        <f t="shared" si="12"/>
        <v>0</v>
      </c>
      <c r="S270" s="2">
        <f t="shared" si="14"/>
        <v>0</v>
      </c>
      <c r="T270" s="305"/>
      <c r="U270" s="235"/>
      <c r="V270" s="235"/>
      <c r="W270" s="235"/>
      <c r="X270" s="241"/>
      <c r="Y270" s="79"/>
      <c r="Z270" s="230"/>
      <c r="AA270" s="230"/>
      <c r="AB270" s="230"/>
      <c r="AC270" s="188"/>
    </row>
    <row r="271" spans="2:29" ht="15.75" thickBot="1" x14ac:dyDescent="0.3">
      <c r="B271" s="240"/>
      <c r="C271" s="284"/>
      <c r="D271" s="235"/>
      <c r="E271" s="235"/>
      <c r="F271" s="230"/>
      <c r="G271" s="235"/>
      <c r="H271" s="235"/>
      <c r="I271" s="320"/>
      <c r="J271" s="235"/>
      <c r="K271" s="235"/>
      <c r="L271" s="235"/>
      <c r="M271" s="375"/>
      <c r="N271" s="236"/>
      <c r="O271" s="235"/>
      <c r="P271" s="241"/>
      <c r="Q271" s="239">
        <f t="shared" ca="1" si="13"/>
        <v>0</v>
      </c>
      <c r="R271" s="106">
        <f t="shared" si="12"/>
        <v>0</v>
      </c>
      <c r="S271" s="2">
        <f t="shared" si="14"/>
        <v>0</v>
      </c>
      <c r="T271" s="305"/>
      <c r="U271" s="235"/>
      <c r="V271" s="235"/>
      <c r="W271" s="235"/>
      <c r="X271" s="241"/>
      <c r="Y271" s="79"/>
      <c r="Z271" s="230"/>
      <c r="AA271" s="230"/>
      <c r="AB271" s="230"/>
      <c r="AC271" s="188"/>
    </row>
    <row r="272" spans="2:29" ht="15.75" thickBot="1" x14ac:dyDescent="0.3">
      <c r="B272" s="240"/>
      <c r="C272" s="284"/>
      <c r="D272" s="235"/>
      <c r="E272" s="235"/>
      <c r="F272" s="230"/>
      <c r="G272" s="235"/>
      <c r="H272" s="235"/>
      <c r="I272" s="320"/>
      <c r="J272" s="235"/>
      <c r="K272" s="235"/>
      <c r="L272" s="235"/>
      <c r="M272" s="375"/>
      <c r="N272" s="236"/>
      <c r="O272" s="235"/>
      <c r="P272" s="241"/>
      <c r="Q272" s="239">
        <f t="shared" ca="1" si="13"/>
        <v>0</v>
      </c>
      <c r="R272" s="106">
        <f t="shared" si="12"/>
        <v>0</v>
      </c>
      <c r="S272" s="2">
        <f t="shared" si="14"/>
        <v>0</v>
      </c>
      <c r="T272" s="305"/>
      <c r="U272" s="235"/>
      <c r="V272" s="235"/>
      <c r="W272" s="235"/>
      <c r="X272" s="241"/>
      <c r="Y272" s="79"/>
      <c r="Z272" s="230"/>
      <c r="AA272" s="230"/>
      <c r="AB272" s="230"/>
      <c r="AC272" s="188"/>
    </row>
    <row r="273" spans="2:29" ht="15.75" thickBot="1" x14ac:dyDescent="0.3">
      <c r="B273" s="240"/>
      <c r="C273" s="284"/>
      <c r="D273" s="235"/>
      <c r="E273" s="235"/>
      <c r="F273" s="230"/>
      <c r="G273" s="235"/>
      <c r="H273" s="235"/>
      <c r="I273" s="320"/>
      <c r="J273" s="235"/>
      <c r="K273" s="235"/>
      <c r="L273" s="235"/>
      <c r="M273" s="375"/>
      <c r="N273" s="236"/>
      <c r="O273" s="235"/>
      <c r="P273" s="241"/>
      <c r="Q273" s="239">
        <f t="shared" ca="1" si="13"/>
        <v>0</v>
      </c>
      <c r="R273" s="106">
        <f t="shared" si="12"/>
        <v>0</v>
      </c>
      <c r="S273" s="2">
        <f t="shared" si="14"/>
        <v>0</v>
      </c>
      <c r="T273" s="305"/>
      <c r="U273" s="235"/>
      <c r="V273" s="235"/>
      <c r="W273" s="235"/>
      <c r="X273" s="241"/>
      <c r="Y273" s="79"/>
      <c r="Z273" s="230"/>
      <c r="AA273" s="230"/>
      <c r="AB273" s="230"/>
      <c r="AC273" s="188"/>
    </row>
    <row r="274" spans="2:29" ht="15.75" thickBot="1" x14ac:dyDescent="0.3">
      <c r="B274" s="240"/>
      <c r="C274" s="284"/>
      <c r="D274" s="235"/>
      <c r="E274" s="235"/>
      <c r="F274" s="230"/>
      <c r="G274" s="235"/>
      <c r="H274" s="235"/>
      <c r="I274" s="320"/>
      <c r="J274" s="235"/>
      <c r="K274" s="235"/>
      <c r="L274" s="235"/>
      <c r="M274" s="375"/>
      <c r="N274" s="236"/>
      <c r="O274" s="235"/>
      <c r="P274" s="241"/>
      <c r="Q274" s="239">
        <f t="shared" ca="1" si="13"/>
        <v>0</v>
      </c>
      <c r="R274" s="106">
        <f t="shared" si="12"/>
        <v>0</v>
      </c>
      <c r="S274" s="2">
        <f t="shared" si="14"/>
        <v>0</v>
      </c>
      <c r="T274" s="305"/>
      <c r="U274" s="235"/>
      <c r="V274" s="235"/>
      <c r="W274" s="235"/>
      <c r="X274" s="241"/>
      <c r="Y274" s="79"/>
      <c r="Z274" s="230"/>
      <c r="AA274" s="230"/>
      <c r="AB274" s="230"/>
      <c r="AC274" s="188"/>
    </row>
    <row r="275" spans="2:29" ht="15.75" thickBot="1" x14ac:dyDescent="0.3">
      <c r="B275" s="240"/>
      <c r="C275" s="284"/>
      <c r="D275" s="235"/>
      <c r="E275" s="235"/>
      <c r="F275" s="230"/>
      <c r="G275" s="235"/>
      <c r="H275" s="235"/>
      <c r="I275" s="320"/>
      <c r="J275" s="235"/>
      <c r="K275" s="235"/>
      <c r="L275" s="235"/>
      <c r="M275" s="375"/>
      <c r="N275" s="236"/>
      <c r="O275" s="235"/>
      <c r="P275" s="241"/>
      <c r="Q275" s="239">
        <f t="shared" ca="1" si="13"/>
        <v>0</v>
      </c>
      <c r="R275" s="106">
        <f t="shared" si="12"/>
        <v>0</v>
      </c>
      <c r="S275" s="2">
        <f t="shared" si="14"/>
        <v>0</v>
      </c>
      <c r="T275" s="305"/>
      <c r="U275" s="235"/>
      <c r="V275" s="235"/>
      <c r="W275" s="235"/>
      <c r="X275" s="241"/>
      <c r="Y275" s="79"/>
      <c r="Z275" s="230"/>
      <c r="AA275" s="230"/>
      <c r="AB275" s="230"/>
      <c r="AC275" s="188"/>
    </row>
    <row r="276" spans="2:29" ht="15.75" thickBot="1" x14ac:dyDescent="0.3">
      <c r="B276" s="240"/>
      <c r="C276" s="284"/>
      <c r="D276" s="235"/>
      <c r="E276" s="235"/>
      <c r="F276" s="230"/>
      <c r="G276" s="235"/>
      <c r="H276" s="235"/>
      <c r="I276" s="320"/>
      <c r="J276" s="235"/>
      <c r="K276" s="235"/>
      <c r="L276" s="235"/>
      <c r="M276" s="375"/>
      <c r="N276" s="236"/>
      <c r="O276" s="235"/>
      <c r="P276" s="241"/>
      <c r="Q276" s="239">
        <f t="shared" ca="1" si="13"/>
        <v>0</v>
      </c>
      <c r="R276" s="106">
        <f t="shared" si="12"/>
        <v>0</v>
      </c>
      <c r="S276" s="2">
        <f t="shared" si="14"/>
        <v>0</v>
      </c>
      <c r="T276" s="305"/>
      <c r="U276" s="235"/>
      <c r="V276" s="235"/>
      <c r="W276" s="235"/>
      <c r="X276" s="241"/>
      <c r="Y276" s="79"/>
      <c r="Z276" s="230"/>
      <c r="AA276" s="230"/>
      <c r="AB276" s="230"/>
      <c r="AC276" s="188"/>
    </row>
    <row r="277" spans="2:29" ht="15.75" thickBot="1" x14ac:dyDescent="0.3">
      <c r="B277" s="240"/>
      <c r="C277" s="284"/>
      <c r="D277" s="235"/>
      <c r="E277" s="235"/>
      <c r="F277" s="230"/>
      <c r="G277" s="235"/>
      <c r="H277" s="235"/>
      <c r="I277" s="320"/>
      <c r="J277" s="235"/>
      <c r="K277" s="235"/>
      <c r="L277" s="235"/>
      <c r="M277" s="375"/>
      <c r="N277" s="236"/>
      <c r="O277" s="235"/>
      <c r="P277" s="241"/>
      <c r="Q277" s="239">
        <f t="shared" ca="1" si="13"/>
        <v>0</v>
      </c>
      <c r="R277" s="106">
        <f t="shared" si="12"/>
        <v>0</v>
      </c>
      <c r="S277" s="2">
        <f t="shared" si="14"/>
        <v>0</v>
      </c>
      <c r="T277" s="305"/>
      <c r="U277" s="235"/>
      <c r="V277" s="235"/>
      <c r="W277" s="235"/>
      <c r="X277" s="241"/>
      <c r="Y277" s="79"/>
      <c r="Z277" s="230"/>
      <c r="AA277" s="230"/>
      <c r="AB277" s="230"/>
      <c r="AC277" s="188"/>
    </row>
    <row r="278" spans="2:29" ht="15.75" thickBot="1" x14ac:dyDescent="0.3">
      <c r="B278" s="240"/>
      <c r="C278" s="284"/>
      <c r="D278" s="235"/>
      <c r="E278" s="235"/>
      <c r="F278" s="230"/>
      <c r="G278" s="235"/>
      <c r="H278" s="235"/>
      <c r="I278" s="320"/>
      <c r="J278" s="235"/>
      <c r="K278" s="235"/>
      <c r="L278" s="235"/>
      <c r="M278" s="375"/>
      <c r="N278" s="236"/>
      <c r="O278" s="235"/>
      <c r="P278" s="241"/>
      <c r="Q278" s="239">
        <f t="shared" ca="1" si="13"/>
        <v>0</v>
      </c>
      <c r="R278" s="106">
        <f t="shared" si="12"/>
        <v>0</v>
      </c>
      <c r="S278" s="2">
        <f t="shared" si="14"/>
        <v>0</v>
      </c>
      <c r="T278" s="305"/>
      <c r="U278" s="235"/>
      <c r="V278" s="235"/>
      <c r="W278" s="235"/>
      <c r="X278" s="241"/>
      <c r="Y278" s="79"/>
      <c r="Z278" s="230"/>
      <c r="AA278" s="230"/>
      <c r="AB278" s="230"/>
      <c r="AC278" s="188"/>
    </row>
    <row r="279" spans="2:29" ht="15.75" thickBot="1" x14ac:dyDescent="0.3">
      <c r="B279" s="240"/>
      <c r="C279" s="284"/>
      <c r="D279" s="235"/>
      <c r="E279" s="235"/>
      <c r="F279" s="230"/>
      <c r="G279" s="235"/>
      <c r="H279" s="235"/>
      <c r="I279" s="320"/>
      <c r="J279" s="235"/>
      <c r="K279" s="235"/>
      <c r="L279" s="235"/>
      <c r="M279" s="375"/>
      <c r="N279" s="236"/>
      <c r="O279" s="235"/>
      <c r="P279" s="241"/>
      <c r="Q279" s="239">
        <f t="shared" ca="1" si="13"/>
        <v>0</v>
      </c>
      <c r="R279" s="106">
        <f t="shared" si="12"/>
        <v>0</v>
      </c>
      <c r="S279" s="2">
        <f t="shared" si="14"/>
        <v>0</v>
      </c>
      <c r="T279" s="305"/>
      <c r="U279" s="235"/>
      <c r="V279" s="235"/>
      <c r="W279" s="235"/>
      <c r="X279" s="241"/>
      <c r="Y279" s="79"/>
      <c r="Z279" s="230"/>
      <c r="AA279" s="230"/>
      <c r="AB279" s="230"/>
      <c r="AC279" s="188"/>
    </row>
    <row r="280" spans="2:29" ht="15.75" thickBot="1" x14ac:dyDescent="0.3">
      <c r="B280" s="240"/>
      <c r="C280" s="284"/>
      <c r="D280" s="235"/>
      <c r="E280" s="235"/>
      <c r="F280" s="230"/>
      <c r="G280" s="235"/>
      <c r="H280" s="235"/>
      <c r="I280" s="320"/>
      <c r="J280" s="235"/>
      <c r="K280" s="235"/>
      <c r="L280" s="235"/>
      <c r="M280" s="375"/>
      <c r="N280" s="236"/>
      <c r="O280" s="235"/>
      <c r="P280" s="241"/>
      <c r="Q280" s="239">
        <f t="shared" ca="1" si="13"/>
        <v>0</v>
      </c>
      <c r="R280" s="106">
        <f t="shared" si="12"/>
        <v>0</v>
      </c>
      <c r="S280" s="2">
        <f t="shared" si="14"/>
        <v>0</v>
      </c>
      <c r="T280" s="305"/>
      <c r="U280" s="235"/>
      <c r="V280" s="235"/>
      <c r="W280" s="235"/>
      <c r="X280" s="241"/>
      <c r="Y280" s="79"/>
      <c r="Z280" s="230"/>
      <c r="AA280" s="230"/>
      <c r="AB280" s="230"/>
      <c r="AC280" s="188"/>
    </row>
    <row r="281" spans="2:29" ht="15.75" thickBot="1" x14ac:dyDescent="0.3">
      <c r="B281" s="240"/>
      <c r="C281" s="284"/>
      <c r="D281" s="235"/>
      <c r="E281" s="235"/>
      <c r="F281" s="230"/>
      <c r="G281" s="235"/>
      <c r="H281" s="235"/>
      <c r="I281" s="320"/>
      <c r="J281" s="235"/>
      <c r="K281" s="235"/>
      <c r="L281" s="235"/>
      <c r="M281" s="375"/>
      <c r="N281" s="236"/>
      <c r="O281" s="235"/>
      <c r="P281" s="241"/>
      <c r="Q281" s="239">
        <f t="shared" ca="1" si="13"/>
        <v>0</v>
      </c>
      <c r="R281" s="106">
        <f t="shared" si="12"/>
        <v>0</v>
      </c>
      <c r="S281" s="2">
        <f t="shared" si="14"/>
        <v>0</v>
      </c>
      <c r="T281" s="305"/>
      <c r="U281" s="235"/>
      <c r="V281" s="235"/>
      <c r="W281" s="235"/>
      <c r="X281" s="241"/>
      <c r="Y281" s="79"/>
      <c r="Z281" s="230"/>
      <c r="AA281" s="230"/>
      <c r="AB281" s="230"/>
      <c r="AC281" s="188"/>
    </row>
    <row r="282" spans="2:29" ht="15.75" thickBot="1" x14ac:dyDescent="0.3">
      <c r="B282" s="240"/>
      <c r="C282" s="284"/>
      <c r="D282" s="235"/>
      <c r="E282" s="235"/>
      <c r="F282" s="230"/>
      <c r="G282" s="235"/>
      <c r="H282" s="235"/>
      <c r="I282" s="320"/>
      <c r="J282" s="235"/>
      <c r="K282" s="235"/>
      <c r="L282" s="235"/>
      <c r="M282" s="375"/>
      <c r="N282" s="236"/>
      <c r="O282" s="235"/>
      <c r="P282" s="241"/>
      <c r="Q282" s="239">
        <f t="shared" ca="1" si="13"/>
        <v>0</v>
      </c>
      <c r="R282" s="106">
        <f t="shared" si="12"/>
        <v>0</v>
      </c>
      <c r="S282" s="2">
        <f t="shared" si="14"/>
        <v>0</v>
      </c>
      <c r="T282" s="305"/>
      <c r="U282" s="235"/>
      <c r="V282" s="235"/>
      <c r="W282" s="235"/>
      <c r="X282" s="241"/>
      <c r="Y282" s="79"/>
      <c r="Z282" s="230"/>
      <c r="AA282" s="230"/>
      <c r="AB282" s="230"/>
      <c r="AC282" s="188"/>
    </row>
    <row r="283" spans="2:29" ht="15.75" thickBot="1" x14ac:dyDescent="0.3">
      <c r="B283" s="240"/>
      <c r="C283" s="284"/>
      <c r="D283" s="235"/>
      <c r="E283" s="235"/>
      <c r="F283" s="230"/>
      <c r="G283" s="235"/>
      <c r="H283" s="235"/>
      <c r="I283" s="320"/>
      <c r="J283" s="235"/>
      <c r="K283" s="235"/>
      <c r="L283" s="235"/>
      <c r="M283" s="375"/>
      <c r="N283" s="236"/>
      <c r="O283" s="235"/>
      <c r="P283" s="241"/>
      <c r="Q283" s="239">
        <f t="shared" ca="1" si="13"/>
        <v>0</v>
      </c>
      <c r="R283" s="106">
        <f t="shared" si="12"/>
        <v>0</v>
      </c>
      <c r="S283" s="2">
        <f t="shared" si="14"/>
        <v>0</v>
      </c>
      <c r="T283" s="305"/>
      <c r="U283" s="235"/>
      <c r="V283" s="235"/>
      <c r="W283" s="235"/>
      <c r="X283" s="241"/>
      <c r="Y283" s="79"/>
      <c r="Z283" s="230"/>
      <c r="AA283" s="230"/>
      <c r="AB283" s="230"/>
      <c r="AC283" s="188"/>
    </row>
    <row r="284" spans="2:29" ht="15.75" thickBot="1" x14ac:dyDescent="0.3">
      <c r="B284" s="240"/>
      <c r="C284" s="284"/>
      <c r="D284" s="235"/>
      <c r="E284" s="235"/>
      <c r="F284" s="230"/>
      <c r="G284" s="235"/>
      <c r="H284" s="235"/>
      <c r="I284" s="320"/>
      <c r="J284" s="235"/>
      <c r="K284" s="235"/>
      <c r="L284" s="235"/>
      <c r="M284" s="375"/>
      <c r="N284" s="236"/>
      <c r="O284" s="235"/>
      <c r="P284" s="241"/>
      <c r="Q284" s="239">
        <f t="shared" ca="1" si="13"/>
        <v>0</v>
      </c>
      <c r="R284" s="106">
        <f t="shared" si="12"/>
        <v>0</v>
      </c>
      <c r="S284" s="2">
        <f t="shared" si="14"/>
        <v>0</v>
      </c>
      <c r="T284" s="305"/>
      <c r="U284" s="235"/>
      <c r="V284" s="235"/>
      <c r="W284" s="235"/>
      <c r="X284" s="241"/>
      <c r="Y284" s="79"/>
      <c r="Z284" s="230"/>
      <c r="AA284" s="230"/>
      <c r="AB284" s="230"/>
      <c r="AC284" s="188"/>
    </row>
    <row r="285" spans="2:29" ht="15.75" thickBot="1" x14ac:dyDescent="0.3">
      <c r="B285" s="240"/>
      <c r="C285" s="284"/>
      <c r="D285" s="235"/>
      <c r="E285" s="235"/>
      <c r="F285" s="230"/>
      <c r="G285" s="235"/>
      <c r="H285" s="235"/>
      <c r="I285" s="320"/>
      <c r="J285" s="235"/>
      <c r="K285" s="235"/>
      <c r="L285" s="235"/>
      <c r="M285" s="375"/>
      <c r="N285" s="236"/>
      <c r="O285" s="235"/>
      <c r="P285" s="241"/>
      <c r="Q285" s="239">
        <f t="shared" ca="1" si="13"/>
        <v>0</v>
      </c>
      <c r="R285" s="106">
        <f t="shared" si="12"/>
        <v>0</v>
      </c>
      <c r="S285" s="2">
        <f t="shared" si="14"/>
        <v>0</v>
      </c>
      <c r="T285" s="305"/>
      <c r="U285" s="235"/>
      <c r="V285" s="235"/>
      <c r="W285" s="235"/>
      <c r="X285" s="241"/>
      <c r="Y285" s="79"/>
      <c r="Z285" s="230"/>
      <c r="AA285" s="230"/>
      <c r="AB285" s="230"/>
      <c r="AC285" s="188"/>
    </row>
    <row r="286" spans="2:29" ht="15.75" thickBot="1" x14ac:dyDescent="0.3">
      <c r="B286" s="240"/>
      <c r="C286" s="284"/>
      <c r="D286" s="235"/>
      <c r="E286" s="235"/>
      <c r="F286" s="230"/>
      <c r="G286" s="235"/>
      <c r="H286" s="235"/>
      <c r="I286" s="320"/>
      <c r="J286" s="235"/>
      <c r="K286" s="235"/>
      <c r="L286" s="235"/>
      <c r="M286" s="375"/>
      <c r="N286" s="236"/>
      <c r="O286" s="235"/>
      <c r="P286" s="241"/>
      <c r="Q286" s="239">
        <f t="shared" ca="1" si="13"/>
        <v>0</v>
      </c>
      <c r="R286" s="106">
        <f t="shared" si="12"/>
        <v>0</v>
      </c>
      <c r="S286" s="2">
        <f t="shared" si="14"/>
        <v>0</v>
      </c>
      <c r="T286" s="305"/>
      <c r="U286" s="235"/>
      <c r="V286" s="235"/>
      <c r="W286" s="235"/>
      <c r="X286" s="241"/>
      <c r="Y286" s="79"/>
      <c r="Z286" s="230"/>
      <c r="AA286" s="230"/>
      <c r="AB286" s="230"/>
      <c r="AC286" s="188"/>
    </row>
    <row r="287" spans="2:29" ht="15.75" thickBot="1" x14ac:dyDescent="0.3">
      <c r="B287" s="240"/>
      <c r="C287" s="284"/>
      <c r="D287" s="235"/>
      <c r="E287" s="235"/>
      <c r="F287" s="230"/>
      <c r="G287" s="235"/>
      <c r="H287" s="235"/>
      <c r="I287" s="320"/>
      <c r="J287" s="235"/>
      <c r="K287" s="235"/>
      <c r="L287" s="235"/>
      <c r="M287" s="375"/>
      <c r="N287" s="236"/>
      <c r="O287" s="235"/>
      <c r="P287" s="241"/>
      <c r="Q287" s="239">
        <f t="shared" ca="1" si="13"/>
        <v>0</v>
      </c>
      <c r="R287" s="106">
        <f t="shared" si="12"/>
        <v>0</v>
      </c>
      <c r="S287" s="2">
        <f t="shared" si="14"/>
        <v>0</v>
      </c>
      <c r="T287" s="305"/>
      <c r="U287" s="235"/>
      <c r="V287" s="235"/>
      <c r="W287" s="235"/>
      <c r="X287" s="241"/>
      <c r="Y287" s="79"/>
      <c r="Z287" s="230"/>
      <c r="AA287" s="230"/>
      <c r="AB287" s="230"/>
      <c r="AC287" s="188"/>
    </row>
    <row r="288" spans="2:29" ht="15.75" thickBot="1" x14ac:dyDescent="0.3">
      <c r="B288" s="240"/>
      <c r="C288" s="284"/>
      <c r="D288" s="235"/>
      <c r="E288" s="235"/>
      <c r="F288" s="230"/>
      <c r="G288" s="235"/>
      <c r="H288" s="235"/>
      <c r="I288" s="320"/>
      <c r="J288" s="235"/>
      <c r="K288" s="235"/>
      <c r="L288" s="235"/>
      <c r="M288" s="375"/>
      <c r="N288" s="236"/>
      <c r="O288" s="235"/>
      <c r="P288" s="241"/>
      <c r="Q288" s="239">
        <f t="shared" ca="1" si="13"/>
        <v>0</v>
      </c>
      <c r="R288" s="106">
        <f t="shared" si="12"/>
        <v>0</v>
      </c>
      <c r="S288" s="2">
        <f t="shared" si="14"/>
        <v>0</v>
      </c>
      <c r="T288" s="305"/>
      <c r="U288" s="235"/>
      <c r="V288" s="235"/>
      <c r="W288" s="235"/>
      <c r="X288" s="241"/>
      <c r="Y288" s="79"/>
      <c r="Z288" s="230"/>
      <c r="AA288" s="230"/>
      <c r="AB288" s="230"/>
      <c r="AC288" s="188"/>
    </row>
    <row r="289" spans="2:29" ht="15.75" thickBot="1" x14ac:dyDescent="0.3">
      <c r="B289" s="240"/>
      <c r="C289" s="284"/>
      <c r="D289" s="235"/>
      <c r="E289" s="235"/>
      <c r="F289" s="230"/>
      <c r="G289" s="235"/>
      <c r="H289" s="235"/>
      <c r="I289" s="320"/>
      <c r="J289" s="235"/>
      <c r="K289" s="235"/>
      <c r="L289" s="235"/>
      <c r="M289" s="375"/>
      <c r="N289" s="236"/>
      <c r="O289" s="235"/>
      <c r="P289" s="241"/>
      <c r="Q289" s="239">
        <f t="shared" ca="1" si="13"/>
        <v>0</v>
      </c>
      <c r="R289" s="106">
        <f t="shared" si="12"/>
        <v>0</v>
      </c>
      <c r="S289" s="2">
        <f t="shared" si="14"/>
        <v>0</v>
      </c>
      <c r="T289" s="305"/>
      <c r="U289" s="235"/>
      <c r="V289" s="235"/>
      <c r="W289" s="235"/>
      <c r="X289" s="241"/>
      <c r="Y289" s="79"/>
      <c r="Z289" s="230"/>
      <c r="AA289" s="230"/>
      <c r="AB289" s="230"/>
      <c r="AC289" s="188"/>
    </row>
    <row r="290" spans="2:29" ht="15.75" thickBot="1" x14ac:dyDescent="0.3">
      <c r="B290" s="240"/>
      <c r="C290" s="284"/>
      <c r="D290" s="235"/>
      <c r="E290" s="235"/>
      <c r="F290" s="230"/>
      <c r="G290" s="235"/>
      <c r="H290" s="235"/>
      <c r="I290" s="320"/>
      <c r="J290" s="235"/>
      <c r="K290" s="235"/>
      <c r="L290" s="235"/>
      <c r="M290" s="375"/>
      <c r="N290" s="236"/>
      <c r="O290" s="235"/>
      <c r="P290" s="241"/>
      <c r="Q290" s="239">
        <f t="shared" ca="1" si="13"/>
        <v>0</v>
      </c>
      <c r="R290" s="106">
        <f t="shared" si="12"/>
        <v>0</v>
      </c>
      <c r="S290" s="2">
        <f t="shared" si="14"/>
        <v>0</v>
      </c>
      <c r="T290" s="305"/>
      <c r="U290" s="235"/>
      <c r="V290" s="235"/>
      <c r="W290" s="235"/>
      <c r="X290" s="241"/>
      <c r="Y290" s="79"/>
      <c r="Z290" s="230"/>
      <c r="AA290" s="230"/>
      <c r="AB290" s="230"/>
      <c r="AC290" s="188"/>
    </row>
    <row r="291" spans="2:29" ht="15.75" thickBot="1" x14ac:dyDescent="0.3">
      <c r="B291" s="240"/>
      <c r="C291" s="284"/>
      <c r="D291" s="235"/>
      <c r="E291" s="235"/>
      <c r="F291" s="230"/>
      <c r="G291" s="235"/>
      <c r="H291" s="235"/>
      <c r="I291" s="320"/>
      <c r="J291" s="235"/>
      <c r="K291" s="235"/>
      <c r="L291" s="235"/>
      <c r="M291" s="375"/>
      <c r="N291" s="236"/>
      <c r="O291" s="235"/>
      <c r="P291" s="241"/>
      <c r="Q291" s="239">
        <f t="shared" ca="1" si="13"/>
        <v>0</v>
      </c>
      <c r="R291" s="106">
        <f t="shared" si="12"/>
        <v>0</v>
      </c>
      <c r="S291" s="2">
        <f t="shared" si="14"/>
        <v>0</v>
      </c>
      <c r="T291" s="305"/>
      <c r="U291" s="235"/>
      <c r="V291" s="235"/>
      <c r="W291" s="235"/>
      <c r="X291" s="241"/>
      <c r="Y291" s="79"/>
      <c r="Z291" s="230"/>
      <c r="AA291" s="230"/>
      <c r="AB291" s="230"/>
      <c r="AC291" s="188"/>
    </row>
    <row r="292" spans="2:29" ht="15.75" thickBot="1" x14ac:dyDescent="0.3">
      <c r="B292" s="240"/>
      <c r="C292" s="284"/>
      <c r="D292" s="235"/>
      <c r="E292" s="235"/>
      <c r="F292" s="230"/>
      <c r="G292" s="235"/>
      <c r="H292" s="235"/>
      <c r="I292" s="320"/>
      <c r="J292" s="235"/>
      <c r="K292" s="235"/>
      <c r="L292" s="235"/>
      <c r="M292" s="375"/>
      <c r="N292" s="236"/>
      <c r="O292" s="235"/>
      <c r="P292" s="241"/>
      <c r="Q292" s="239">
        <f t="shared" ca="1" si="13"/>
        <v>0</v>
      </c>
      <c r="R292" s="106">
        <f t="shared" si="12"/>
        <v>0</v>
      </c>
      <c r="S292" s="2">
        <f t="shared" si="14"/>
        <v>0</v>
      </c>
      <c r="T292" s="305"/>
      <c r="U292" s="235"/>
      <c r="V292" s="235"/>
      <c r="W292" s="235"/>
      <c r="X292" s="241"/>
      <c r="Y292" s="79"/>
      <c r="Z292" s="230"/>
      <c r="AA292" s="230"/>
      <c r="AB292" s="230"/>
      <c r="AC292" s="188"/>
    </row>
    <row r="293" spans="2:29" ht="15.75" thickBot="1" x14ac:dyDescent="0.3">
      <c r="B293" s="240"/>
      <c r="C293" s="284"/>
      <c r="D293" s="235"/>
      <c r="E293" s="235"/>
      <c r="F293" s="230"/>
      <c r="G293" s="235"/>
      <c r="H293" s="235"/>
      <c r="I293" s="320"/>
      <c r="J293" s="235"/>
      <c r="K293" s="235"/>
      <c r="L293" s="235"/>
      <c r="M293" s="375"/>
      <c r="N293" s="236"/>
      <c r="O293" s="235"/>
      <c r="P293" s="241"/>
      <c r="Q293" s="239">
        <f t="shared" ca="1" si="13"/>
        <v>0</v>
      </c>
      <c r="R293" s="106">
        <f t="shared" si="12"/>
        <v>0</v>
      </c>
      <c r="S293" s="2">
        <f t="shared" si="14"/>
        <v>0</v>
      </c>
      <c r="T293" s="305"/>
      <c r="U293" s="235"/>
      <c r="V293" s="235"/>
      <c r="W293" s="235"/>
      <c r="X293" s="241"/>
      <c r="Y293" s="79"/>
      <c r="Z293" s="230"/>
      <c r="AA293" s="230"/>
      <c r="AB293" s="230"/>
      <c r="AC293" s="188"/>
    </row>
    <row r="294" spans="2:29" ht="15.75" thickBot="1" x14ac:dyDescent="0.3">
      <c r="B294" s="240"/>
      <c r="C294" s="284"/>
      <c r="D294" s="235"/>
      <c r="E294" s="235"/>
      <c r="F294" s="230"/>
      <c r="G294" s="235"/>
      <c r="H294" s="235"/>
      <c r="I294" s="320"/>
      <c r="J294" s="235"/>
      <c r="K294" s="235"/>
      <c r="L294" s="235"/>
      <c r="M294" s="375"/>
      <c r="N294" s="236"/>
      <c r="O294" s="235"/>
      <c r="P294" s="241"/>
      <c r="Q294" s="239">
        <f t="shared" ca="1" si="13"/>
        <v>0</v>
      </c>
      <c r="R294" s="106">
        <f t="shared" si="12"/>
        <v>0</v>
      </c>
      <c r="S294" s="2">
        <f t="shared" si="14"/>
        <v>0</v>
      </c>
      <c r="T294" s="305"/>
      <c r="U294" s="235"/>
      <c r="V294" s="235"/>
      <c r="W294" s="235"/>
      <c r="X294" s="241"/>
      <c r="Y294" s="79"/>
      <c r="Z294" s="230"/>
      <c r="AA294" s="230"/>
      <c r="AB294" s="230"/>
      <c r="AC294" s="188"/>
    </row>
    <row r="295" spans="2:29" ht="15.75" thickBot="1" x14ac:dyDescent="0.3">
      <c r="B295" s="240"/>
      <c r="C295" s="284"/>
      <c r="D295" s="235"/>
      <c r="E295" s="235"/>
      <c r="F295" s="230"/>
      <c r="G295" s="235"/>
      <c r="H295" s="235"/>
      <c r="I295" s="320"/>
      <c r="J295" s="235"/>
      <c r="K295" s="235"/>
      <c r="L295" s="235"/>
      <c r="M295" s="375"/>
      <c r="N295" s="236"/>
      <c r="O295" s="235"/>
      <c r="P295" s="241"/>
      <c r="Q295" s="239">
        <f t="shared" ca="1" si="13"/>
        <v>0</v>
      </c>
      <c r="R295" s="106">
        <f t="shared" si="12"/>
        <v>0</v>
      </c>
      <c r="S295" s="2">
        <f t="shared" si="14"/>
        <v>0</v>
      </c>
      <c r="T295" s="305"/>
      <c r="U295" s="235"/>
      <c r="V295" s="235"/>
      <c r="W295" s="235"/>
      <c r="X295" s="241"/>
      <c r="Y295" s="79"/>
      <c r="Z295" s="230"/>
      <c r="AA295" s="230"/>
      <c r="AB295" s="230"/>
      <c r="AC295" s="188"/>
    </row>
    <row r="296" spans="2:29" ht="15.75" thickBot="1" x14ac:dyDescent="0.3">
      <c r="B296" s="240"/>
      <c r="C296" s="284"/>
      <c r="D296" s="235"/>
      <c r="E296" s="235"/>
      <c r="F296" s="230"/>
      <c r="G296" s="235"/>
      <c r="H296" s="235"/>
      <c r="I296" s="320"/>
      <c r="J296" s="235"/>
      <c r="K296" s="235"/>
      <c r="L296" s="235"/>
      <c r="M296" s="375"/>
      <c r="N296" s="236"/>
      <c r="O296" s="235"/>
      <c r="P296" s="241"/>
      <c r="Q296" s="239">
        <f t="shared" ca="1" si="13"/>
        <v>0</v>
      </c>
      <c r="R296" s="106">
        <f t="shared" si="12"/>
        <v>0</v>
      </c>
      <c r="S296" s="2">
        <f t="shared" si="14"/>
        <v>0</v>
      </c>
      <c r="T296" s="305"/>
      <c r="U296" s="235"/>
      <c r="V296" s="235"/>
      <c r="W296" s="235"/>
      <c r="X296" s="241"/>
      <c r="Y296" s="79"/>
      <c r="Z296" s="230"/>
      <c r="AA296" s="230"/>
      <c r="AB296" s="230"/>
      <c r="AC296" s="188"/>
    </row>
    <row r="297" spans="2:29" ht="15.75" thickBot="1" x14ac:dyDescent="0.3">
      <c r="B297" s="240"/>
      <c r="C297" s="284"/>
      <c r="D297" s="235"/>
      <c r="E297" s="235"/>
      <c r="F297" s="230"/>
      <c r="G297" s="235"/>
      <c r="H297" s="235"/>
      <c r="I297" s="320"/>
      <c r="J297" s="235"/>
      <c r="K297" s="235"/>
      <c r="L297" s="235"/>
      <c r="M297" s="375"/>
      <c r="N297" s="236"/>
      <c r="O297" s="235"/>
      <c r="P297" s="241"/>
      <c r="Q297" s="239">
        <f t="shared" ca="1" si="13"/>
        <v>0</v>
      </c>
      <c r="R297" s="106">
        <f t="shared" si="12"/>
        <v>0</v>
      </c>
      <c r="S297" s="2">
        <f t="shared" si="14"/>
        <v>0</v>
      </c>
      <c r="T297" s="305"/>
      <c r="U297" s="235"/>
      <c r="V297" s="235"/>
      <c r="W297" s="235"/>
      <c r="X297" s="241"/>
      <c r="Y297" s="79"/>
      <c r="Z297" s="230"/>
      <c r="AA297" s="230"/>
      <c r="AB297" s="230"/>
      <c r="AC297" s="188"/>
    </row>
    <row r="298" spans="2:29" ht="15.75" thickBot="1" x14ac:dyDescent="0.3">
      <c r="B298" s="240"/>
      <c r="C298" s="284"/>
      <c r="D298" s="235"/>
      <c r="E298" s="235"/>
      <c r="F298" s="230"/>
      <c r="G298" s="235"/>
      <c r="H298" s="235"/>
      <c r="I298" s="320"/>
      <c r="J298" s="235"/>
      <c r="K298" s="235"/>
      <c r="L298" s="235"/>
      <c r="M298" s="375"/>
      <c r="N298" s="236"/>
      <c r="O298" s="235"/>
      <c r="P298" s="241"/>
      <c r="Q298" s="239">
        <f t="shared" ca="1" si="13"/>
        <v>0</v>
      </c>
      <c r="R298" s="106">
        <f t="shared" si="12"/>
        <v>0</v>
      </c>
      <c r="S298" s="2">
        <f t="shared" si="14"/>
        <v>0</v>
      </c>
      <c r="T298" s="305"/>
      <c r="U298" s="235"/>
      <c r="V298" s="235"/>
      <c r="W298" s="235"/>
      <c r="X298" s="241"/>
      <c r="Y298" s="79"/>
      <c r="Z298" s="230"/>
      <c r="AA298" s="230"/>
      <c r="AB298" s="230"/>
      <c r="AC298" s="188"/>
    </row>
    <row r="299" spans="2:29" ht="15.75" thickBot="1" x14ac:dyDescent="0.3">
      <c r="B299" s="240"/>
      <c r="C299" s="284"/>
      <c r="D299" s="235"/>
      <c r="E299" s="235"/>
      <c r="F299" s="230"/>
      <c r="G299" s="235"/>
      <c r="H299" s="235"/>
      <c r="I299" s="320"/>
      <c r="J299" s="235"/>
      <c r="K299" s="235"/>
      <c r="L299" s="235"/>
      <c r="M299" s="375"/>
      <c r="N299" s="236"/>
      <c r="O299" s="235"/>
      <c r="P299" s="241"/>
      <c r="Q299" s="239">
        <f t="shared" ca="1" si="13"/>
        <v>0</v>
      </c>
      <c r="R299" s="106">
        <f t="shared" si="12"/>
        <v>0</v>
      </c>
      <c r="S299" s="2">
        <f t="shared" si="14"/>
        <v>0</v>
      </c>
      <c r="T299" s="305"/>
      <c r="U299" s="235"/>
      <c r="V299" s="235"/>
      <c r="W299" s="235"/>
      <c r="X299" s="241"/>
      <c r="Y299" s="79"/>
      <c r="Z299" s="230"/>
      <c r="AA299" s="230"/>
      <c r="AB299" s="230"/>
      <c r="AC299" s="188"/>
    </row>
    <row r="300" spans="2:29" ht="15.75" thickBot="1" x14ac:dyDescent="0.3">
      <c r="B300" s="242"/>
      <c r="C300" s="284"/>
      <c r="D300" s="243"/>
      <c r="E300" s="243"/>
      <c r="F300" s="244"/>
      <c r="G300" s="243"/>
      <c r="H300" s="243"/>
      <c r="I300" s="320"/>
      <c r="J300" s="243"/>
      <c r="K300" s="243"/>
      <c r="L300" s="243"/>
      <c r="M300" s="376"/>
      <c r="N300" s="245"/>
      <c r="O300" s="243"/>
      <c r="P300" s="246"/>
      <c r="Q300" s="239">
        <f t="shared" ca="1" si="13"/>
        <v>0</v>
      </c>
      <c r="R300" s="106">
        <f t="shared" si="12"/>
        <v>0</v>
      </c>
      <c r="S300" s="2">
        <f t="shared" si="14"/>
        <v>0</v>
      </c>
      <c r="T300" s="305"/>
      <c r="U300" s="243"/>
      <c r="V300" s="243"/>
      <c r="W300" s="243"/>
      <c r="X300" s="246"/>
      <c r="Y300" s="102"/>
      <c r="Z300" s="244"/>
      <c r="AA300" s="244"/>
      <c r="AB300" s="244"/>
      <c r="AC300" s="189"/>
    </row>
    <row r="301" spans="2:29" x14ac:dyDescent="0.25">
      <c r="B301" s="232"/>
      <c r="C301" s="237"/>
      <c r="D301" s="232"/>
      <c r="E301" s="232"/>
      <c r="F301" s="106"/>
      <c r="G301" s="232"/>
      <c r="H301" s="232"/>
      <c r="I301" s="232"/>
      <c r="J301" s="232"/>
      <c r="K301" s="232"/>
      <c r="L301" s="232"/>
      <c r="M301" s="232"/>
      <c r="N301" s="234"/>
      <c r="O301" s="232"/>
      <c r="P301" s="232"/>
    </row>
    <row r="302" spans="2:29" x14ac:dyDescent="0.25">
      <c r="B302" s="232"/>
      <c r="C302" s="232"/>
      <c r="D302" s="232"/>
      <c r="E302" s="232"/>
      <c r="F302" s="106"/>
      <c r="G302" s="232"/>
      <c r="H302" s="232"/>
      <c r="I302" s="232"/>
      <c r="J302" s="232"/>
      <c r="K302" s="232"/>
      <c r="L302" s="232"/>
      <c r="M302" s="232"/>
      <c r="N302" s="234"/>
      <c r="O302" s="232"/>
      <c r="P302" s="232"/>
    </row>
    <row r="303" spans="2:29" x14ac:dyDescent="0.25">
      <c r="B303" s="232"/>
      <c r="C303" s="232"/>
      <c r="D303" s="232"/>
      <c r="E303" s="232"/>
      <c r="F303" s="106"/>
      <c r="G303" s="232"/>
      <c r="H303" s="232"/>
      <c r="I303" s="232"/>
      <c r="J303" s="232"/>
      <c r="K303" s="232"/>
      <c r="L303" s="232"/>
      <c r="M303" s="232"/>
      <c r="N303" s="234"/>
      <c r="O303" s="232"/>
      <c r="P303" s="232"/>
    </row>
    <row r="304" spans="2:29" x14ac:dyDescent="0.25">
      <c r="B304" s="232"/>
      <c r="C304" s="232"/>
      <c r="D304" s="232"/>
      <c r="E304" s="232"/>
      <c r="F304" s="106"/>
      <c r="G304" s="232"/>
      <c r="H304" s="232"/>
      <c r="I304" s="232"/>
      <c r="J304" s="232"/>
      <c r="K304" s="232"/>
      <c r="L304" s="232"/>
      <c r="M304" s="232"/>
      <c r="N304" s="234"/>
      <c r="O304" s="232"/>
      <c r="P304" s="232"/>
    </row>
    <row r="305" spans="2:16" x14ac:dyDescent="0.25">
      <c r="B305" s="232"/>
      <c r="C305" s="232"/>
      <c r="D305" s="232"/>
      <c r="E305" s="232"/>
      <c r="F305" s="106"/>
      <c r="G305" s="232"/>
      <c r="H305" s="232"/>
      <c r="I305" s="232"/>
      <c r="J305" s="232"/>
      <c r="K305" s="232"/>
      <c r="L305" s="232"/>
      <c r="M305" s="232"/>
      <c r="N305" s="234"/>
      <c r="O305" s="232"/>
      <c r="P305" s="232"/>
    </row>
    <row r="306" spans="2:16" x14ac:dyDescent="0.25">
      <c r="B306" s="232"/>
      <c r="C306" s="232"/>
      <c r="D306" s="232"/>
      <c r="E306" s="232"/>
      <c r="F306" s="106"/>
      <c r="G306" s="232"/>
      <c r="H306" s="232"/>
      <c r="I306" s="232"/>
      <c r="J306" s="232"/>
      <c r="K306" s="232"/>
      <c r="L306" s="232"/>
      <c r="M306" s="232"/>
      <c r="N306" s="234"/>
      <c r="O306" s="232"/>
      <c r="P306" s="232"/>
    </row>
    <row r="307" spans="2:16" x14ac:dyDescent="0.25">
      <c r="B307" s="232"/>
      <c r="C307" s="232"/>
      <c r="D307" s="232"/>
      <c r="E307" s="232"/>
      <c r="F307" s="106"/>
      <c r="G307" s="232"/>
      <c r="H307" s="232"/>
      <c r="I307" s="232"/>
      <c r="J307" s="232"/>
      <c r="K307" s="232"/>
      <c r="L307" s="232"/>
      <c r="M307" s="232"/>
      <c r="N307" s="234"/>
      <c r="O307" s="232"/>
      <c r="P307" s="232"/>
    </row>
    <row r="308" spans="2:16" x14ac:dyDescent="0.25">
      <c r="B308" s="232"/>
      <c r="C308" s="232"/>
      <c r="D308" s="232"/>
      <c r="E308" s="232"/>
      <c r="F308" s="106"/>
      <c r="G308" s="232"/>
      <c r="H308" s="232"/>
      <c r="I308" s="232"/>
      <c r="J308" s="232"/>
      <c r="K308" s="232"/>
      <c r="L308" s="232"/>
      <c r="M308" s="232"/>
      <c r="N308" s="234"/>
      <c r="O308" s="232"/>
      <c r="P308" s="232"/>
    </row>
    <row r="309" spans="2:16" x14ac:dyDescent="0.25">
      <c r="B309" s="232"/>
      <c r="C309" s="232"/>
      <c r="D309" s="232"/>
      <c r="E309" s="232"/>
      <c r="F309" s="106"/>
      <c r="G309" s="232"/>
      <c r="H309" s="232"/>
      <c r="I309" s="232"/>
      <c r="J309" s="232"/>
      <c r="K309" s="232"/>
      <c r="L309" s="232"/>
      <c r="M309" s="232"/>
      <c r="N309" s="234"/>
      <c r="O309" s="232"/>
      <c r="P309" s="232"/>
    </row>
    <row r="310" spans="2:16" x14ac:dyDescent="0.25">
      <c r="B310" s="232"/>
      <c r="C310" s="232"/>
      <c r="D310" s="232"/>
      <c r="E310" s="232"/>
      <c r="F310" s="106"/>
      <c r="G310" s="232"/>
      <c r="H310" s="232"/>
      <c r="I310" s="232"/>
      <c r="J310" s="232"/>
      <c r="K310" s="232"/>
      <c r="L310" s="232"/>
      <c r="M310" s="232"/>
      <c r="N310" s="234"/>
      <c r="O310" s="232"/>
      <c r="P310" s="232"/>
    </row>
    <row r="311" spans="2:16" x14ac:dyDescent="0.25">
      <c r="B311" s="232"/>
      <c r="C311" s="232"/>
      <c r="D311" s="232"/>
      <c r="E311" s="232"/>
      <c r="F311" s="106"/>
      <c r="G311" s="232"/>
      <c r="H311" s="232"/>
      <c r="I311" s="232"/>
      <c r="J311" s="232"/>
      <c r="K311" s="232"/>
      <c r="L311" s="232"/>
      <c r="M311" s="232"/>
      <c r="N311" s="234"/>
      <c r="O311" s="232"/>
      <c r="P311" s="232"/>
    </row>
    <row r="312" spans="2:16" x14ac:dyDescent="0.25">
      <c r="B312" s="232"/>
      <c r="C312" s="232"/>
      <c r="D312" s="232"/>
      <c r="E312" s="232"/>
      <c r="F312" s="106"/>
      <c r="G312" s="232"/>
      <c r="H312" s="232"/>
      <c r="I312" s="232"/>
      <c r="J312" s="232"/>
      <c r="K312" s="232"/>
      <c r="L312" s="232"/>
      <c r="M312" s="232"/>
      <c r="N312" s="234"/>
      <c r="O312" s="232"/>
      <c r="P312" s="232"/>
    </row>
  </sheetData>
  <autoFilter ref="B6:V6"/>
  <mergeCells count="23">
    <mergeCell ref="E3:F4"/>
    <mergeCell ref="T5:X5"/>
    <mergeCell ref="A1:AC1"/>
    <mergeCell ref="J3:M4"/>
    <mergeCell ref="O5:O6"/>
    <mergeCell ref="N3:O3"/>
    <mergeCell ref="N4:O4"/>
    <mergeCell ref="K5:K6"/>
    <mergeCell ref="M5:M6"/>
    <mergeCell ref="G3:I3"/>
    <mergeCell ref="G4:I4"/>
    <mergeCell ref="G5:I5"/>
    <mergeCell ref="C5:C6"/>
    <mergeCell ref="B2:D2"/>
    <mergeCell ref="L5:L6"/>
    <mergeCell ref="B5:B6"/>
    <mergeCell ref="D5:D6"/>
    <mergeCell ref="E5:E6"/>
    <mergeCell ref="F5:F6"/>
    <mergeCell ref="J5:J6"/>
    <mergeCell ref="Y5:AC5"/>
    <mergeCell ref="N5:N6"/>
    <mergeCell ref="P5:P6"/>
  </mergeCells>
  <phoneticPr fontId="0" type="noConversion"/>
  <conditionalFormatting sqref="I8:I300">
    <cfRule type="expression" dxfId="31" priority="10">
      <formula>$G8="Non"</formula>
    </cfRule>
  </conditionalFormatting>
  <conditionalFormatting sqref="C7:C9">
    <cfRule type="expression" dxfId="30" priority="8">
      <formula>N7=100%</formula>
    </cfRule>
  </conditionalFormatting>
  <conditionalFormatting sqref="F7:F9">
    <cfRule type="expression" dxfId="29" priority="6">
      <formula>H7="3 irréversible"</formula>
    </cfRule>
    <cfRule type="expression" dxfId="28" priority="7">
      <formula>H7="4 mortelle"</formula>
    </cfRule>
  </conditionalFormatting>
  <conditionalFormatting sqref="F9">
    <cfRule type="expression" dxfId="27" priority="4">
      <formula>H9="3 irréversible"</formula>
    </cfRule>
    <cfRule type="expression" dxfId="26" priority="5">
      <formula>H9="4 mortelle"</formula>
    </cfRule>
  </conditionalFormatting>
  <conditionalFormatting sqref="B13:B16 B7:B8">
    <cfRule type="expression" dxfId="25" priority="3">
      <formula>N7=100%</formula>
    </cfRule>
  </conditionalFormatting>
  <conditionalFormatting sqref="B9">
    <cfRule type="expression" dxfId="24" priority="2">
      <formula>N9=100%</formula>
    </cfRule>
  </conditionalFormatting>
  <conditionalFormatting sqref="B10:B12">
    <cfRule type="expression" dxfId="23" priority="1">
      <formula>N10=100%</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1">
        <x14:dataValidation type="list" allowBlank="1" showInputMessage="1">
          <x14:formula1>
            <xm:f>'Données (ne pas toucher)'!$N$2:$N$30</xm:f>
          </x14:formula1>
          <xm:sqref>D7:D312</xm:sqref>
        </x14:dataValidation>
        <x14:dataValidation type="list" allowBlank="1" showInputMessage="1">
          <x14:formula1>
            <xm:f>'Données (ne pas toucher)'!$L$2:$L$3</xm:f>
          </x14:formula1>
          <xm:sqref>G7:G312</xm:sqref>
        </x14:dataValidation>
        <x14:dataValidation type="list" allowBlank="1" showInputMessage="1">
          <x14:formula1>
            <xm:f>'Données (ne pas toucher)'!$C$2:$C$9</xm:f>
          </x14:formula1>
          <xm:sqref>I301:I312</xm:sqref>
        </x14:dataValidation>
        <x14:dataValidation type="list" allowBlank="1" showInputMessage="1">
          <x14:formula1>
            <xm:f>'Données (ne pas toucher)'!$F$2:$F$3</xm:f>
          </x14:formula1>
          <xm:sqref>L7:L312</xm:sqref>
        </x14:dataValidation>
        <x14:dataValidation type="list" allowBlank="1" showInputMessage="1">
          <x14:formula1>
            <xm:f>'Données (ne pas toucher)'!$B$2:$B$23</xm:f>
          </x14:formula1>
          <xm:sqref>U7:U300</xm:sqref>
        </x14:dataValidation>
        <x14:dataValidation type="list" allowBlank="1" showInputMessage="1">
          <x14:formula1>
            <xm:f>'Données (ne pas toucher)'!$A$26:$A$33</xm:f>
          </x14:formula1>
          <xm:sqref>T7:T300</xm:sqref>
        </x14:dataValidation>
        <x14:dataValidation type="list" allowBlank="1" showInputMessage="1">
          <x14:formula1>
            <xm:f>'Données (ne pas toucher)'!$B$26:$B$31</xm:f>
          </x14:formula1>
          <xm:sqref>V14:V300</xm:sqref>
        </x14:dataValidation>
        <x14:dataValidation type="list" allowBlank="1" showInputMessage="1">
          <x14:formula1>
            <xm:f>'Données (ne pas toucher)'!$C$26:$C$28</xm:f>
          </x14:formula1>
          <xm:sqref>W7:W300</xm:sqref>
        </x14:dataValidation>
        <x14:dataValidation type="list" allowBlank="1" showInputMessage="1">
          <x14:formula1>
            <xm:f>'Données (ne pas toucher)'!$A$35:$A$43</xm:f>
          </x14:formula1>
          <xm:sqref>X7:X300</xm:sqref>
        </x14:dataValidation>
        <x14:dataValidation type="list" allowBlank="1" showInputMessage="1" showErrorMessage="1">
          <x14:formula1>
            <xm:f>'Données (ne pas toucher)'!$C$2:$C$9</xm:f>
          </x14:formula1>
          <xm:sqref>I7:I300</xm:sqref>
        </x14:dataValidation>
        <x14:dataValidation type="list" allowBlank="1" showInputMessage="1" showErrorMessage="1">
          <x14:formula1>
            <xm:f>'[1]Données (ne pas toucher)'!#REF!</xm:f>
          </x14:formula1>
          <xm:sqref>V7:V13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J19"/>
  <sheetViews>
    <sheetView zoomScaleNormal="100" workbookViewId="0">
      <selection activeCell="I24" sqref="I24"/>
    </sheetView>
  </sheetViews>
  <sheetFormatPr baseColWidth="10" defaultColWidth="11.42578125" defaultRowHeight="15" x14ac:dyDescent="0.25"/>
  <cols>
    <col min="1" max="1" width="10.7109375" style="165" customWidth="1"/>
    <col min="2" max="2" width="13.140625" style="143" customWidth="1"/>
    <col min="3" max="3" width="10.5703125" style="142" customWidth="1"/>
    <col min="4" max="4" width="22.7109375" style="142" customWidth="1"/>
    <col min="5" max="5" width="9.7109375" style="142" bestFit="1" customWidth="1"/>
    <col min="6" max="6" width="10.5703125" style="142" customWidth="1"/>
    <col min="7" max="7" width="11.85546875" style="140" customWidth="1"/>
    <col min="8" max="8" width="10.5703125" style="142" customWidth="1"/>
    <col min="9" max="9" width="25.7109375" style="17" bestFit="1" customWidth="1"/>
    <col min="10" max="10" width="12.140625" style="145" customWidth="1"/>
  </cols>
  <sheetData>
    <row r="1" spans="1:10" ht="39" customHeight="1" thickBot="1" x14ac:dyDescent="0.55000000000000004">
      <c r="A1" s="614" t="s">
        <v>92</v>
      </c>
      <c r="B1" s="614"/>
      <c r="C1" s="614"/>
      <c r="D1" s="614"/>
      <c r="E1" s="614"/>
      <c r="F1" s="614"/>
      <c r="G1" s="614"/>
      <c r="H1" s="614"/>
      <c r="I1" s="614"/>
      <c r="J1" s="614"/>
    </row>
    <row r="2" spans="1:10" ht="5.0999999999999996" customHeight="1" thickBot="1" x14ac:dyDescent="0.55000000000000004">
      <c r="C2" s="144"/>
      <c r="D2" s="144"/>
      <c r="E2" s="144"/>
      <c r="F2" s="141"/>
      <c r="G2" s="139"/>
      <c r="H2" s="141"/>
    </row>
    <row r="3" spans="1:10" ht="32.25" thickBot="1" x14ac:dyDescent="0.55000000000000004">
      <c r="A3" s="144"/>
      <c r="B3" s="144"/>
      <c r="C3" s="144"/>
      <c r="D3" s="144"/>
      <c r="F3" s="216" t="s">
        <v>190</v>
      </c>
      <c r="G3" s="161">
        <v>36526</v>
      </c>
      <c r="H3" s="162" t="s">
        <v>191</v>
      </c>
      <c r="I3" s="164">
        <f ca="1">A4-G3</f>
        <v>6977</v>
      </c>
    </row>
    <row r="4" spans="1:10" ht="43.5" hidden="1" customHeight="1" x14ac:dyDescent="0.5">
      <c r="A4" s="166">
        <f ca="1">TODAY()</f>
        <v>43503</v>
      </c>
      <c r="B4" s="163"/>
      <c r="C4" s="144"/>
      <c r="D4" s="144"/>
      <c r="E4" s="144"/>
      <c r="F4" s="141"/>
      <c r="G4" s="139"/>
      <c r="H4" s="141"/>
    </row>
    <row r="5" spans="1:10" ht="5.0999999999999996" customHeight="1" thickBot="1" x14ac:dyDescent="0.55000000000000004">
      <c r="A5" s="167"/>
      <c r="B5" s="144"/>
      <c r="C5" s="144"/>
      <c r="D5" s="144"/>
      <c r="E5" s="144"/>
      <c r="F5" s="141"/>
      <c r="G5" s="139"/>
      <c r="H5" s="141"/>
    </row>
    <row r="6" spans="1:10" ht="26.25" customHeight="1" x14ac:dyDescent="0.25">
      <c r="A6" s="624" t="s">
        <v>3</v>
      </c>
      <c r="B6" s="626" t="s">
        <v>100</v>
      </c>
      <c r="C6" s="628" t="s">
        <v>236</v>
      </c>
      <c r="D6" s="628" t="s">
        <v>323</v>
      </c>
      <c r="E6" s="617" t="s">
        <v>102</v>
      </c>
      <c r="F6" s="621" t="s">
        <v>104</v>
      </c>
      <c r="G6" s="619" t="s">
        <v>103</v>
      </c>
      <c r="H6" s="621" t="s">
        <v>47</v>
      </c>
      <c r="I6" s="623" t="s">
        <v>180</v>
      </c>
      <c r="J6" s="615" t="s">
        <v>181</v>
      </c>
    </row>
    <row r="7" spans="1:10" ht="19.5" customHeight="1" thickBot="1" x14ac:dyDescent="0.3">
      <c r="A7" s="625"/>
      <c r="B7" s="627"/>
      <c r="C7" s="629"/>
      <c r="D7" s="629"/>
      <c r="E7" s="618"/>
      <c r="F7" s="622"/>
      <c r="G7" s="620"/>
      <c r="H7" s="622"/>
      <c r="I7" s="502"/>
      <c r="J7" s="616"/>
    </row>
    <row r="8" spans="1:10" s="107" customFormat="1" ht="15" customHeight="1" x14ac:dyDescent="0.2">
      <c r="A8" s="168"/>
      <c r="B8" s="170"/>
      <c r="C8" s="170"/>
      <c r="D8" s="171"/>
      <c r="E8" s="170"/>
      <c r="F8" s="170"/>
      <c r="G8" s="176" t="str">
        <f>IF(E8&lt;&gt;"ATAA","",F8-C8-1)</f>
        <v/>
      </c>
      <c r="H8" s="170"/>
      <c r="I8" s="172" t="str">
        <f t="shared" ref="I8:I19" si="0">IF(E8&lt;&gt;"ATAA","",(IF(G8&gt;29,"visite de reprise obligatoire","Pas nécessaire")))</f>
        <v/>
      </c>
      <c r="J8" s="170"/>
    </row>
    <row r="9" spans="1:10" s="107" customFormat="1" ht="15" customHeight="1" x14ac:dyDescent="0.2">
      <c r="A9" s="169"/>
      <c r="B9" s="173"/>
      <c r="C9" s="173"/>
      <c r="D9" s="217"/>
      <c r="E9" s="175"/>
      <c r="F9" s="173"/>
      <c r="G9" s="176" t="str">
        <f t="shared" ref="G9:G19" si="1">IF(E9&lt;&gt;"ATAA","",F9-C9-1)</f>
        <v/>
      </c>
      <c r="H9" s="173"/>
      <c r="I9" s="177" t="str">
        <f t="shared" si="0"/>
        <v/>
      </c>
      <c r="J9" s="173"/>
    </row>
    <row r="10" spans="1:10" s="107" customFormat="1" ht="15" customHeight="1" x14ac:dyDescent="0.2">
      <c r="A10" s="169"/>
      <c r="B10" s="173"/>
      <c r="C10" s="173"/>
      <c r="D10" s="174"/>
      <c r="E10" s="175"/>
      <c r="F10" s="173"/>
      <c r="G10" s="176" t="str">
        <f t="shared" si="1"/>
        <v/>
      </c>
      <c r="H10" s="173"/>
      <c r="I10" s="177" t="str">
        <f t="shared" si="0"/>
        <v/>
      </c>
      <c r="J10" s="173"/>
    </row>
    <row r="11" spans="1:10" s="107" customFormat="1" ht="15" customHeight="1" x14ac:dyDescent="0.2">
      <c r="A11" s="169"/>
      <c r="B11" s="173"/>
      <c r="C11" s="173"/>
      <c r="D11" s="174"/>
      <c r="E11" s="175"/>
      <c r="F11" s="173"/>
      <c r="G11" s="176" t="str">
        <f t="shared" si="1"/>
        <v/>
      </c>
      <c r="H11" s="173"/>
      <c r="I11" s="177" t="str">
        <f t="shared" si="0"/>
        <v/>
      </c>
      <c r="J11" s="173"/>
    </row>
    <row r="12" spans="1:10" s="107" customFormat="1" ht="15" customHeight="1" x14ac:dyDescent="0.2">
      <c r="A12" s="169"/>
      <c r="B12" s="173"/>
      <c r="C12" s="173"/>
      <c r="D12" s="174"/>
      <c r="E12" s="175"/>
      <c r="F12" s="173"/>
      <c r="G12" s="176" t="str">
        <f t="shared" si="1"/>
        <v/>
      </c>
      <c r="H12" s="173"/>
      <c r="I12" s="177" t="str">
        <f t="shared" si="0"/>
        <v/>
      </c>
      <c r="J12" s="173"/>
    </row>
    <row r="13" spans="1:10" s="107" customFormat="1" ht="15" customHeight="1" x14ac:dyDescent="0.2">
      <c r="A13" s="169"/>
      <c r="B13" s="173"/>
      <c r="C13" s="173"/>
      <c r="D13" s="174"/>
      <c r="E13" s="175"/>
      <c r="F13" s="173"/>
      <c r="G13" s="176" t="str">
        <f t="shared" si="1"/>
        <v/>
      </c>
      <c r="H13" s="173"/>
      <c r="I13" s="177" t="str">
        <f t="shared" si="0"/>
        <v/>
      </c>
      <c r="J13" s="173"/>
    </row>
    <row r="14" spans="1:10" s="107" customFormat="1" ht="15" customHeight="1" x14ac:dyDescent="0.2">
      <c r="A14" s="169"/>
      <c r="B14" s="173"/>
      <c r="C14" s="173"/>
      <c r="D14" s="174"/>
      <c r="E14" s="175"/>
      <c r="F14" s="173"/>
      <c r="G14" s="176" t="str">
        <f t="shared" si="1"/>
        <v/>
      </c>
      <c r="H14" s="173"/>
      <c r="I14" s="177" t="str">
        <f t="shared" si="0"/>
        <v/>
      </c>
      <c r="J14" s="173"/>
    </row>
    <row r="15" spans="1:10" s="107" customFormat="1" ht="15" customHeight="1" x14ac:dyDescent="0.2">
      <c r="A15" s="169"/>
      <c r="B15" s="173"/>
      <c r="C15" s="173"/>
      <c r="D15" s="174"/>
      <c r="E15" s="175"/>
      <c r="F15" s="173"/>
      <c r="G15" s="176" t="str">
        <f t="shared" si="1"/>
        <v/>
      </c>
      <c r="H15" s="173"/>
      <c r="I15" s="177" t="str">
        <f t="shared" si="0"/>
        <v/>
      </c>
      <c r="J15" s="173"/>
    </row>
    <row r="16" spans="1:10" s="107" customFormat="1" ht="15" customHeight="1" x14ac:dyDescent="0.2">
      <c r="A16" s="169"/>
      <c r="B16" s="173"/>
      <c r="C16" s="173"/>
      <c r="D16" s="174"/>
      <c r="E16" s="175"/>
      <c r="F16" s="173"/>
      <c r="G16" s="176" t="str">
        <f t="shared" si="1"/>
        <v/>
      </c>
      <c r="H16" s="173"/>
      <c r="I16" s="177" t="str">
        <f t="shared" si="0"/>
        <v/>
      </c>
      <c r="J16" s="173"/>
    </row>
    <row r="17" spans="1:10" s="107" customFormat="1" ht="15" customHeight="1" x14ac:dyDescent="0.2">
      <c r="A17" s="169"/>
      <c r="B17" s="173"/>
      <c r="C17" s="173"/>
      <c r="D17" s="174"/>
      <c r="E17" s="175"/>
      <c r="F17" s="173"/>
      <c r="G17" s="176" t="str">
        <f t="shared" si="1"/>
        <v/>
      </c>
      <c r="H17" s="173"/>
      <c r="I17" s="177" t="str">
        <f t="shared" si="0"/>
        <v/>
      </c>
      <c r="J17" s="173"/>
    </row>
    <row r="18" spans="1:10" s="107" customFormat="1" ht="15" customHeight="1" x14ac:dyDescent="0.2">
      <c r="A18" s="169"/>
      <c r="B18" s="173"/>
      <c r="C18" s="173"/>
      <c r="D18" s="174"/>
      <c r="E18" s="175"/>
      <c r="F18" s="173"/>
      <c r="G18" s="176" t="str">
        <f t="shared" si="1"/>
        <v/>
      </c>
      <c r="H18" s="173"/>
      <c r="I18" s="177" t="str">
        <f t="shared" si="0"/>
        <v/>
      </c>
      <c r="J18" s="173"/>
    </row>
    <row r="19" spans="1:10" s="107" customFormat="1" ht="15" customHeight="1" x14ac:dyDescent="0.2">
      <c r="A19" s="169"/>
      <c r="B19" s="173"/>
      <c r="C19" s="173"/>
      <c r="D19" s="174"/>
      <c r="E19" s="175"/>
      <c r="F19" s="173"/>
      <c r="G19" s="176" t="str">
        <f t="shared" si="1"/>
        <v/>
      </c>
      <c r="H19" s="173"/>
      <c r="I19" s="177" t="str">
        <f t="shared" si="0"/>
        <v/>
      </c>
      <c r="J19" s="173"/>
    </row>
  </sheetData>
  <autoFilter ref="A7:J7"/>
  <mergeCells count="11">
    <mergeCell ref="A1:J1"/>
    <mergeCell ref="J6:J7"/>
    <mergeCell ref="E6:E7"/>
    <mergeCell ref="G6:G7"/>
    <mergeCell ref="F6:F7"/>
    <mergeCell ref="I6:I7"/>
    <mergeCell ref="A6:A7"/>
    <mergeCell ref="B6:B7"/>
    <mergeCell ref="C6:C7"/>
    <mergeCell ref="H6:H7"/>
    <mergeCell ref="D6:D7"/>
  </mergeCells>
  <phoneticPr fontId="0" type="noConversion"/>
  <conditionalFormatting sqref="E8:E19">
    <cfRule type="expression" dxfId="22" priority="9">
      <formula>#REF!="Sinistre auto"</formula>
    </cfRule>
  </conditionalFormatting>
  <conditionalFormatting sqref="I8:I19">
    <cfRule type="containsText" dxfId="21" priority="1" operator="containsText" text="visite de reprise obligatoire">
      <formula>NOT(ISERROR(SEARCH("visite de reprise obligatoire",I8)))</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x14:formula1>
            <xm:f>'Données (ne pas toucher)'!$J$2:$J$6</xm:f>
          </x14:formula1>
          <xm:sqref>E8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P34"/>
  <sheetViews>
    <sheetView workbookViewId="0">
      <selection activeCell="I16" sqref="I16"/>
    </sheetView>
  </sheetViews>
  <sheetFormatPr baseColWidth="10" defaultRowHeight="15" x14ac:dyDescent="0.25"/>
  <cols>
    <col min="1" max="1" width="8.42578125" customWidth="1"/>
    <col min="2" max="2" width="6.42578125" customWidth="1"/>
    <col min="3" max="3" width="14.42578125" bestFit="1" customWidth="1"/>
    <col min="4" max="4" width="13.140625" bestFit="1" customWidth="1"/>
    <col min="5" max="5" width="30.85546875" customWidth="1"/>
    <col min="6" max="6" width="14" customWidth="1"/>
  </cols>
  <sheetData>
    <row r="1" spans="1:16" ht="27.6" customHeight="1" thickBot="1" x14ac:dyDescent="0.45">
      <c r="A1" s="630" t="s">
        <v>83</v>
      </c>
      <c r="B1" s="630"/>
      <c r="C1" s="630"/>
      <c r="D1" s="630"/>
      <c r="E1" s="630"/>
      <c r="F1" s="630"/>
    </row>
    <row r="2" spans="1:16" ht="5.0999999999999996" customHeight="1" x14ac:dyDescent="0.5">
      <c r="A2" s="134"/>
      <c r="B2" s="134"/>
      <c r="C2" s="134"/>
      <c r="D2" s="134"/>
      <c r="E2" s="134"/>
      <c r="F2" s="134"/>
    </row>
    <row r="3" spans="1:16" s="107" customFormat="1" ht="11.25" x14ac:dyDescent="0.2">
      <c r="A3" s="206" t="s">
        <v>182</v>
      </c>
      <c r="B3" s="207"/>
      <c r="C3" s="207"/>
      <c r="D3" s="135"/>
      <c r="E3" s="135"/>
      <c r="F3" s="135"/>
    </row>
    <row r="4" spans="1:16" ht="5.0999999999999996" customHeight="1" thickBot="1" x14ac:dyDescent="0.55000000000000004">
      <c r="A4" s="134"/>
      <c r="B4" s="134"/>
      <c r="C4" s="134"/>
      <c r="D4" s="134"/>
      <c r="E4" s="134"/>
      <c r="F4" s="134"/>
    </row>
    <row r="5" spans="1:16" ht="26.25" customHeight="1" x14ac:dyDescent="0.25">
      <c r="A5" s="631" t="s">
        <v>4</v>
      </c>
      <c r="B5" s="631" t="s">
        <v>46</v>
      </c>
      <c r="C5" s="631" t="s">
        <v>84</v>
      </c>
      <c r="D5" s="631" t="s">
        <v>85</v>
      </c>
      <c r="E5" s="633" t="s">
        <v>28</v>
      </c>
      <c r="F5" s="635" t="s">
        <v>86</v>
      </c>
      <c r="O5" s="3"/>
      <c r="P5" s="17"/>
    </row>
    <row r="6" spans="1:16" ht="15.75" thickBot="1" x14ac:dyDescent="0.3">
      <c r="A6" s="632"/>
      <c r="B6" s="632"/>
      <c r="C6" s="632"/>
      <c r="D6" s="632"/>
      <c r="E6" s="634"/>
      <c r="F6" s="636"/>
      <c r="O6" s="2"/>
      <c r="P6" s="17"/>
    </row>
    <row r="7" spans="1:16" x14ac:dyDescent="0.25">
      <c r="A7" s="6"/>
      <c r="B7" s="6"/>
      <c r="C7" s="6"/>
      <c r="D7" s="6"/>
      <c r="E7" s="81"/>
      <c r="F7" s="136"/>
      <c r="O7" s="3"/>
      <c r="P7" s="17"/>
    </row>
    <row r="8" spans="1:16" x14ac:dyDescent="0.25">
      <c r="A8" s="5"/>
      <c r="B8" s="5"/>
      <c r="C8" s="6"/>
      <c r="D8" s="5"/>
      <c r="E8" s="15"/>
      <c r="F8" s="137"/>
      <c r="O8" s="3"/>
      <c r="P8" s="17"/>
    </row>
    <row r="9" spans="1:16" x14ac:dyDescent="0.25">
      <c r="A9" s="5"/>
      <c r="B9" s="5"/>
      <c r="C9" s="6"/>
      <c r="D9" s="5"/>
      <c r="E9" s="15"/>
      <c r="F9" s="137"/>
      <c r="O9" s="3"/>
      <c r="P9" s="17"/>
    </row>
    <row r="10" spans="1:16" x14ac:dyDescent="0.25">
      <c r="A10" s="5"/>
      <c r="B10" s="5"/>
      <c r="C10" s="6"/>
      <c r="D10" s="5"/>
      <c r="E10" s="15"/>
      <c r="F10" s="137"/>
      <c r="O10" s="3"/>
      <c r="P10" s="17"/>
    </row>
    <row r="11" spans="1:16" x14ac:dyDescent="0.25">
      <c r="A11" s="5"/>
      <c r="B11" s="5"/>
      <c r="C11" s="6"/>
      <c r="D11" s="5"/>
      <c r="E11" s="15"/>
      <c r="F11" s="137"/>
      <c r="O11" s="3"/>
      <c r="P11" s="17"/>
    </row>
    <row r="12" spans="1:16" x14ac:dyDescent="0.25">
      <c r="A12" s="5"/>
      <c r="B12" s="5"/>
      <c r="C12" s="6"/>
      <c r="D12" s="5"/>
      <c r="E12" s="15"/>
      <c r="F12" s="137"/>
    </row>
    <row r="13" spans="1:16" x14ac:dyDescent="0.25">
      <c r="A13" s="5"/>
      <c r="B13" s="5"/>
      <c r="C13" s="6"/>
      <c r="D13" s="5"/>
      <c r="E13" s="15"/>
      <c r="F13" s="137"/>
    </row>
    <row r="14" spans="1:16" x14ac:dyDescent="0.25">
      <c r="A14" s="5"/>
      <c r="B14" s="5"/>
      <c r="C14" s="6"/>
      <c r="D14" s="5"/>
      <c r="E14" s="15"/>
      <c r="F14" s="137"/>
    </row>
    <row r="15" spans="1:16" x14ac:dyDescent="0.25">
      <c r="A15" s="5"/>
      <c r="B15" s="5"/>
      <c r="C15" s="6"/>
      <c r="D15" s="5"/>
      <c r="E15" s="15"/>
      <c r="F15" s="137"/>
    </row>
    <row r="16" spans="1:16" x14ac:dyDescent="0.25">
      <c r="A16" s="5"/>
      <c r="B16" s="5"/>
      <c r="C16" s="6"/>
      <c r="D16" s="5"/>
      <c r="E16" s="15"/>
      <c r="F16" s="137"/>
    </row>
    <row r="17" spans="1:6" x14ac:dyDescent="0.25">
      <c r="A17" s="5"/>
      <c r="B17" s="5"/>
      <c r="C17" s="6"/>
      <c r="D17" s="5"/>
      <c r="E17" s="15"/>
      <c r="F17" s="137"/>
    </row>
    <row r="18" spans="1:6" x14ac:dyDescent="0.25">
      <c r="A18" s="5"/>
      <c r="B18" s="5"/>
      <c r="C18" s="6"/>
      <c r="D18" s="5"/>
      <c r="E18" s="15"/>
      <c r="F18" s="137"/>
    </row>
    <row r="19" spans="1:6" x14ac:dyDescent="0.25">
      <c r="A19" s="5"/>
      <c r="B19" s="5"/>
      <c r="C19" s="6"/>
      <c r="D19" s="5"/>
      <c r="E19" s="15"/>
      <c r="F19" s="137"/>
    </row>
    <row r="20" spans="1:6" x14ac:dyDescent="0.25">
      <c r="A20" s="5"/>
      <c r="B20" s="5"/>
      <c r="C20" s="6"/>
      <c r="D20" s="5"/>
      <c r="E20" s="15"/>
      <c r="F20" s="137"/>
    </row>
    <row r="21" spans="1:6" x14ac:dyDescent="0.25">
      <c r="A21" s="5"/>
      <c r="B21" s="5"/>
      <c r="C21" s="6"/>
      <c r="D21" s="5"/>
      <c r="E21" s="15"/>
      <c r="F21" s="137"/>
    </row>
    <row r="22" spans="1:6" x14ac:dyDescent="0.25">
      <c r="A22" s="5"/>
      <c r="B22" s="5"/>
      <c r="C22" s="6"/>
      <c r="D22" s="5"/>
      <c r="E22" s="15"/>
      <c r="F22" s="137"/>
    </row>
    <row r="23" spans="1:6" x14ac:dyDescent="0.25">
      <c r="A23" s="5"/>
      <c r="B23" s="5"/>
      <c r="C23" s="6"/>
      <c r="D23" s="5"/>
      <c r="E23" s="15"/>
      <c r="F23" s="137"/>
    </row>
    <row r="24" spans="1:6" x14ac:dyDescent="0.25">
      <c r="A24" s="5"/>
      <c r="B24" s="5"/>
      <c r="C24" s="6"/>
      <c r="D24" s="5"/>
      <c r="E24" s="15"/>
      <c r="F24" s="137"/>
    </row>
    <row r="25" spans="1:6" x14ac:dyDescent="0.25">
      <c r="A25" s="5"/>
      <c r="B25" s="5"/>
      <c r="C25" s="6"/>
      <c r="D25" s="5"/>
      <c r="E25" s="15"/>
      <c r="F25" s="137"/>
    </row>
    <row r="26" spans="1:6" x14ac:dyDescent="0.25">
      <c r="A26" s="5"/>
      <c r="B26" s="5"/>
      <c r="C26" s="6"/>
      <c r="D26" s="5"/>
      <c r="E26" s="15"/>
      <c r="F26" s="137"/>
    </row>
    <row r="27" spans="1:6" x14ac:dyDescent="0.25">
      <c r="A27" s="5"/>
      <c r="B27" s="5"/>
      <c r="C27" s="6"/>
      <c r="D27" s="5"/>
      <c r="E27" s="15"/>
      <c r="F27" s="137"/>
    </row>
    <row r="28" spans="1:6" x14ac:dyDescent="0.25">
      <c r="A28" s="5"/>
      <c r="B28" s="5"/>
      <c r="C28" s="6"/>
      <c r="D28" s="5"/>
      <c r="E28" s="15"/>
      <c r="F28" s="137"/>
    </row>
    <row r="29" spans="1:6" x14ac:dyDescent="0.25">
      <c r="A29" s="5"/>
      <c r="B29" s="5"/>
      <c r="C29" s="6"/>
      <c r="D29" s="5"/>
      <c r="E29" s="15"/>
      <c r="F29" s="137"/>
    </row>
    <row r="30" spans="1:6" x14ac:dyDescent="0.25">
      <c r="A30" s="5"/>
      <c r="B30" s="5"/>
      <c r="C30" s="6"/>
      <c r="D30" s="5"/>
      <c r="E30" s="15"/>
      <c r="F30" s="137"/>
    </row>
    <row r="31" spans="1:6" x14ac:dyDescent="0.25">
      <c r="A31" s="5"/>
      <c r="B31" s="5"/>
      <c r="C31" s="6"/>
      <c r="D31" s="5"/>
      <c r="E31" s="15"/>
      <c r="F31" s="137"/>
    </row>
    <row r="32" spans="1:6" ht="15.75" thickBot="1" x14ac:dyDescent="0.3">
      <c r="A32" s="8"/>
      <c r="B32" s="8"/>
      <c r="C32" s="6"/>
      <c r="D32" s="8"/>
      <c r="E32" s="16"/>
      <c r="F32" s="138"/>
    </row>
    <row r="33" spans="1:6" hidden="1" x14ac:dyDescent="0.25">
      <c r="A33">
        <f>COUNTA(A7:A32)</f>
        <v>0</v>
      </c>
      <c r="E33" t="s">
        <v>10</v>
      </c>
      <c r="F33">
        <f>COUNTIF(F7:F32,E33)</f>
        <v>0</v>
      </c>
    </row>
    <row r="34" spans="1:6" hidden="1" x14ac:dyDescent="0.25">
      <c r="E34" t="s">
        <v>11</v>
      </c>
      <c r="F34">
        <f>COUNTIF(F8:F33,E34)</f>
        <v>0</v>
      </c>
    </row>
  </sheetData>
  <autoFilter ref="A6:P6"/>
  <mergeCells count="7">
    <mergeCell ref="A1:F1"/>
    <mergeCell ref="D5:D6"/>
    <mergeCell ref="E5:E6"/>
    <mergeCell ref="F5:F6"/>
    <mergeCell ref="A5:A6"/>
    <mergeCell ref="B5:B6"/>
    <mergeCell ref="C5:C6"/>
  </mergeCells>
  <conditionalFormatting sqref="D7:D31">
    <cfRule type="expression" dxfId="20" priority="5">
      <formula>#REF!="Sinistre auto"</formula>
    </cfRule>
  </conditionalFormatting>
  <conditionalFormatting sqref="E7:E31">
    <cfRule type="expression" dxfId="19" priority="4">
      <formula>#REF!="Sinistre auto"</formula>
    </cfRule>
  </conditionalFormatting>
  <conditionalFormatting sqref="F7:F31">
    <cfRule type="expression" dxfId="18" priority="3">
      <formula>#REF!="Sinistre auto"</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x14:formula1>
            <xm:f>'Données (ne pas toucher)'!$E$15:$E$19</xm:f>
          </x14:formula1>
          <xm:sqref>C7:C32</xm:sqref>
        </x14:dataValidation>
        <x14:dataValidation type="list" allowBlank="1" showInputMessage="1">
          <x14:formula1>
            <xm:f>'Données (ne pas toucher)'!$F$15:$F$27</xm:f>
          </x14:formula1>
          <xm:sqref>D7:D32</xm:sqref>
        </x14:dataValidation>
        <x14:dataValidation type="list" allowBlank="1" showInputMessage="1">
          <x14:formula1>
            <xm:f>'Données (ne pas toucher)'!$L$2:$L$3</xm:f>
          </x14:formula1>
          <xm:sqref>F7:F32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6"/>
  <dimension ref="A1:N95"/>
  <sheetViews>
    <sheetView workbookViewId="0">
      <selection activeCell="I17" sqref="I17"/>
    </sheetView>
  </sheetViews>
  <sheetFormatPr baseColWidth="10" defaultColWidth="11.42578125" defaultRowHeight="12.75" x14ac:dyDescent="0.25"/>
  <cols>
    <col min="1" max="1" width="16.85546875" style="82" customWidth="1"/>
    <col min="2" max="2" width="20.7109375" style="82" customWidth="1"/>
    <col min="3" max="3" width="16.28515625" style="82" bestFit="1" customWidth="1"/>
    <col min="4" max="4" width="14.7109375" style="82" customWidth="1"/>
    <col min="5" max="5" width="9.28515625" style="82" customWidth="1"/>
    <col min="6" max="6" width="9.42578125" style="82" customWidth="1"/>
    <col min="7" max="7" width="11.42578125" style="82"/>
    <col min="8" max="8" width="11.42578125" style="82" customWidth="1"/>
    <col min="9" max="9" width="11.140625" style="82" customWidth="1"/>
    <col min="10" max="10" width="12.140625" style="82" bestFit="1" customWidth="1"/>
    <col min="11" max="12" width="12.140625" style="82" customWidth="1"/>
    <col min="13" max="13" width="10.42578125" style="88" bestFit="1" customWidth="1"/>
    <col min="14" max="14" width="32.28515625" style="82" customWidth="1"/>
    <col min="15" max="16384" width="11.42578125" style="82"/>
  </cols>
  <sheetData>
    <row r="1" spans="1:14" ht="39" customHeight="1" thickBot="1" x14ac:dyDescent="0.55000000000000004">
      <c r="A1" s="637" t="s">
        <v>118</v>
      </c>
      <c r="B1" s="637"/>
      <c r="C1" s="637"/>
      <c r="D1" s="637"/>
      <c r="E1" s="637"/>
      <c r="F1" s="637"/>
      <c r="G1" s="637"/>
      <c r="H1" s="637"/>
      <c r="I1" s="637"/>
      <c r="J1" s="637"/>
      <c r="K1" s="637"/>
      <c r="L1" s="637"/>
      <c r="M1" s="637"/>
      <c r="N1" s="637"/>
    </row>
    <row r="2" spans="1:14" x14ac:dyDescent="0.25">
      <c r="A2" s="113" t="s">
        <v>40</v>
      </c>
      <c r="B2" s="114">
        <f ca="1">TODAY()</f>
        <v>43503</v>
      </c>
    </row>
    <row r="3" spans="1:14" s="117" customFormat="1" ht="33.75" x14ac:dyDescent="0.25">
      <c r="A3" s="111" t="s">
        <v>106</v>
      </c>
      <c r="B3" s="111" t="s">
        <v>107</v>
      </c>
      <c r="C3" s="111" t="s">
        <v>108</v>
      </c>
      <c r="D3" s="111" t="s">
        <v>100</v>
      </c>
      <c r="E3" s="111" t="s">
        <v>109</v>
      </c>
      <c r="F3" s="111" t="s">
        <v>110</v>
      </c>
      <c r="G3" s="111" t="s">
        <v>111</v>
      </c>
      <c r="H3" s="111" t="s">
        <v>112</v>
      </c>
      <c r="I3" s="111" t="s">
        <v>113</v>
      </c>
      <c r="J3" s="111" t="s">
        <v>114</v>
      </c>
      <c r="K3" s="115" t="s">
        <v>115</v>
      </c>
      <c r="L3" s="116" t="s">
        <v>116</v>
      </c>
      <c r="M3" s="111" t="s">
        <v>117</v>
      </c>
      <c r="N3" s="111" t="s">
        <v>28</v>
      </c>
    </row>
    <row r="4" spans="1:14" ht="25.5" customHeight="1" x14ac:dyDescent="0.25">
      <c r="A4" s="118" t="s">
        <v>127</v>
      </c>
      <c r="B4" s="118" t="s">
        <v>128</v>
      </c>
      <c r="C4" s="120" t="s">
        <v>3</v>
      </c>
      <c r="D4" s="93"/>
      <c r="E4" s="93" t="s">
        <v>464</v>
      </c>
      <c r="F4" s="93">
        <v>1</v>
      </c>
      <c r="G4" s="112"/>
      <c r="H4" s="93"/>
      <c r="I4" s="93"/>
      <c r="J4" s="93" t="str">
        <f>IF(E4="Non","",IF(H4=0,"NA",H4-I4))</f>
        <v/>
      </c>
      <c r="K4" s="112"/>
      <c r="L4" s="112" t="str">
        <f>IF(G4="","",IF(G4="NA","_",G4+(F4*365)))</f>
        <v/>
      </c>
      <c r="M4" s="112"/>
      <c r="N4" s="93"/>
    </row>
    <row r="5" spans="1:14" ht="25.5" customHeight="1" x14ac:dyDescent="0.25">
      <c r="A5" s="118" t="s">
        <v>127</v>
      </c>
      <c r="B5" s="118" t="s">
        <v>171</v>
      </c>
      <c r="C5" s="120" t="s">
        <v>3</v>
      </c>
      <c r="D5" s="93"/>
      <c r="E5" s="93" t="s">
        <v>464</v>
      </c>
      <c r="F5" s="93">
        <v>1</v>
      </c>
      <c r="G5" s="112"/>
      <c r="H5" s="93"/>
      <c r="I5" s="93"/>
      <c r="J5" s="93" t="str">
        <f t="shared" ref="J5:J68" si="0">IF(E5="Non","",IF(H5=0,"NA",H5-I5))</f>
        <v/>
      </c>
      <c r="K5" s="112"/>
      <c r="L5" s="112" t="str">
        <f t="shared" ref="L5:L68" si="1">IF(G5="","",IF(G5="NA","_",G5+(F5*365)))</f>
        <v/>
      </c>
      <c r="M5" s="112"/>
      <c r="N5" s="93"/>
    </row>
    <row r="6" spans="1:14" ht="25.5" customHeight="1" x14ac:dyDescent="0.25">
      <c r="A6" s="119" t="s">
        <v>31</v>
      </c>
      <c r="B6" s="119" t="s">
        <v>131</v>
      </c>
      <c r="C6" s="120" t="s">
        <v>3</v>
      </c>
      <c r="D6" s="93"/>
      <c r="E6" s="93" t="s">
        <v>464</v>
      </c>
      <c r="F6" s="93">
        <v>1</v>
      </c>
      <c r="G6" s="112"/>
      <c r="H6" s="93"/>
      <c r="I6" s="93"/>
      <c r="J6" s="93" t="str">
        <f t="shared" si="0"/>
        <v/>
      </c>
      <c r="K6" s="112"/>
      <c r="L6" s="112" t="str">
        <f t="shared" si="1"/>
        <v/>
      </c>
      <c r="M6" s="112"/>
      <c r="N6" s="93"/>
    </row>
    <row r="7" spans="1:14" ht="25.5" customHeight="1" x14ac:dyDescent="0.25">
      <c r="A7" s="119" t="s">
        <v>31</v>
      </c>
      <c r="B7" s="119" t="s">
        <v>132</v>
      </c>
      <c r="C7" s="120" t="s">
        <v>3</v>
      </c>
      <c r="D7" s="93"/>
      <c r="E7" s="93" t="s">
        <v>464</v>
      </c>
      <c r="F7" s="93">
        <v>1</v>
      </c>
      <c r="G7" s="112"/>
      <c r="H7" s="93"/>
      <c r="I7" s="93"/>
      <c r="J7" s="93" t="str">
        <f t="shared" si="0"/>
        <v/>
      </c>
      <c r="K7" s="112"/>
      <c r="L7" s="112" t="str">
        <f t="shared" si="1"/>
        <v/>
      </c>
      <c r="M7" s="112"/>
      <c r="N7" s="93"/>
    </row>
    <row r="8" spans="1:14" ht="25.5" customHeight="1" x14ac:dyDescent="0.25">
      <c r="A8" s="119" t="s">
        <v>31</v>
      </c>
      <c r="B8" s="119" t="s">
        <v>32</v>
      </c>
      <c r="C8" s="120" t="s">
        <v>3</v>
      </c>
      <c r="D8" s="93"/>
      <c r="E8" s="93" t="s">
        <v>464</v>
      </c>
      <c r="F8" s="93">
        <v>1</v>
      </c>
      <c r="G8" s="112"/>
      <c r="H8" s="93"/>
      <c r="I8" s="93"/>
      <c r="J8" s="93" t="str">
        <f t="shared" si="0"/>
        <v/>
      </c>
      <c r="K8" s="112"/>
      <c r="L8" s="112" t="str">
        <f t="shared" si="1"/>
        <v/>
      </c>
      <c r="M8" s="112"/>
      <c r="N8" s="93"/>
    </row>
    <row r="9" spans="1:14" ht="25.5" customHeight="1" x14ac:dyDescent="0.25">
      <c r="A9" s="119" t="s">
        <v>31</v>
      </c>
      <c r="B9" s="119" t="s">
        <v>133</v>
      </c>
      <c r="C9" s="120" t="s">
        <v>3</v>
      </c>
      <c r="D9" s="93"/>
      <c r="E9" s="93" t="s">
        <v>464</v>
      </c>
      <c r="F9" s="93">
        <v>1</v>
      </c>
      <c r="G9" s="112"/>
      <c r="H9" s="93"/>
      <c r="I9" s="93"/>
      <c r="J9" s="93" t="str">
        <f t="shared" si="0"/>
        <v/>
      </c>
      <c r="K9" s="112"/>
      <c r="L9" s="112" t="str">
        <f t="shared" si="1"/>
        <v/>
      </c>
      <c r="M9" s="112"/>
      <c r="N9" s="93"/>
    </row>
    <row r="10" spans="1:14" ht="25.5" customHeight="1" x14ac:dyDescent="0.25">
      <c r="A10" s="119" t="s">
        <v>31</v>
      </c>
      <c r="B10" s="119" t="s">
        <v>134</v>
      </c>
      <c r="C10" s="120" t="s">
        <v>3</v>
      </c>
      <c r="D10" s="93"/>
      <c r="E10" s="93" t="s">
        <v>464</v>
      </c>
      <c r="F10" s="93">
        <v>1</v>
      </c>
      <c r="G10" s="112"/>
      <c r="H10" s="93"/>
      <c r="I10" s="93"/>
      <c r="J10" s="93" t="str">
        <f t="shared" si="0"/>
        <v/>
      </c>
      <c r="K10" s="112"/>
      <c r="L10" s="112" t="str">
        <f t="shared" si="1"/>
        <v/>
      </c>
      <c r="M10" s="112"/>
      <c r="N10" s="93"/>
    </row>
    <row r="11" spans="1:14" ht="25.5" customHeight="1" x14ac:dyDescent="0.25">
      <c r="A11" s="119" t="s">
        <v>31</v>
      </c>
      <c r="B11" s="119" t="s">
        <v>135</v>
      </c>
      <c r="C11" s="120" t="s">
        <v>3</v>
      </c>
      <c r="D11" s="93"/>
      <c r="E11" s="93" t="s">
        <v>464</v>
      </c>
      <c r="F11" s="93">
        <v>1</v>
      </c>
      <c r="G11" s="112"/>
      <c r="H11" s="93"/>
      <c r="I11" s="93"/>
      <c r="J11" s="93" t="str">
        <f t="shared" si="0"/>
        <v/>
      </c>
      <c r="K11" s="112"/>
      <c r="L11" s="112" t="str">
        <f t="shared" si="1"/>
        <v/>
      </c>
      <c r="M11" s="112"/>
      <c r="N11" s="93"/>
    </row>
    <row r="12" spans="1:14" ht="25.5" customHeight="1" x14ac:dyDescent="0.25">
      <c r="A12" s="119" t="s">
        <v>31</v>
      </c>
      <c r="B12" s="119" t="s">
        <v>136</v>
      </c>
      <c r="C12" s="120" t="s">
        <v>3</v>
      </c>
      <c r="D12" s="93"/>
      <c r="E12" s="93" t="s">
        <v>464</v>
      </c>
      <c r="F12" s="93">
        <v>0.5</v>
      </c>
      <c r="G12" s="112"/>
      <c r="H12" s="93"/>
      <c r="I12" s="93"/>
      <c r="J12" s="93" t="str">
        <f t="shared" si="0"/>
        <v/>
      </c>
      <c r="K12" s="112"/>
      <c r="L12" s="112" t="str">
        <f t="shared" si="1"/>
        <v/>
      </c>
      <c r="M12" s="112"/>
      <c r="N12" s="93"/>
    </row>
    <row r="13" spans="1:14" ht="25.5" customHeight="1" x14ac:dyDescent="0.25">
      <c r="A13" s="119" t="s">
        <v>141</v>
      </c>
      <c r="B13" s="119" t="s">
        <v>142</v>
      </c>
      <c r="C13" s="120" t="s">
        <v>3</v>
      </c>
      <c r="D13" s="93"/>
      <c r="E13" s="93" t="s">
        <v>464</v>
      </c>
      <c r="F13" s="93">
        <v>1</v>
      </c>
      <c r="G13" s="112"/>
      <c r="H13" s="93"/>
      <c r="I13" s="93"/>
      <c r="J13" s="93" t="str">
        <f t="shared" si="0"/>
        <v/>
      </c>
      <c r="K13" s="112"/>
      <c r="L13" s="112" t="str">
        <f t="shared" si="1"/>
        <v/>
      </c>
      <c r="M13" s="112"/>
      <c r="N13" s="93"/>
    </row>
    <row r="14" spans="1:14" ht="25.5" customHeight="1" x14ac:dyDescent="0.25">
      <c r="A14" s="119" t="s">
        <v>141</v>
      </c>
      <c r="B14" s="119" t="s">
        <v>144</v>
      </c>
      <c r="C14" s="120" t="s">
        <v>3</v>
      </c>
      <c r="D14" s="93"/>
      <c r="E14" s="93" t="s">
        <v>464</v>
      </c>
      <c r="F14" s="93">
        <v>1</v>
      </c>
      <c r="G14" s="112"/>
      <c r="H14" s="93"/>
      <c r="I14" s="93"/>
      <c r="J14" s="93" t="str">
        <f t="shared" si="0"/>
        <v/>
      </c>
      <c r="K14" s="112"/>
      <c r="L14" s="112" t="str">
        <f t="shared" si="1"/>
        <v/>
      </c>
      <c r="M14" s="112"/>
      <c r="N14" s="93"/>
    </row>
    <row r="15" spans="1:14" ht="25.5" customHeight="1" x14ac:dyDescent="0.25">
      <c r="A15" s="119" t="s">
        <v>141</v>
      </c>
      <c r="B15" s="119" t="s">
        <v>145</v>
      </c>
      <c r="C15" s="120" t="s">
        <v>3</v>
      </c>
      <c r="D15" s="93"/>
      <c r="E15" s="93" t="s">
        <v>464</v>
      </c>
      <c r="F15" s="93">
        <v>1</v>
      </c>
      <c r="G15" s="112"/>
      <c r="H15" s="93"/>
      <c r="I15" s="93"/>
      <c r="J15" s="93" t="str">
        <f t="shared" si="0"/>
        <v/>
      </c>
      <c r="K15" s="112"/>
      <c r="L15" s="112" t="str">
        <f t="shared" si="1"/>
        <v/>
      </c>
      <c r="M15" s="112"/>
      <c r="N15" s="93"/>
    </row>
    <row r="16" spans="1:14" ht="25.5" customHeight="1" x14ac:dyDescent="0.25">
      <c r="A16" s="119" t="s">
        <v>141</v>
      </c>
      <c r="B16" s="119" t="s">
        <v>143</v>
      </c>
      <c r="C16" s="120" t="s">
        <v>3</v>
      </c>
      <c r="D16" s="93"/>
      <c r="E16" s="93" t="s">
        <v>464</v>
      </c>
      <c r="F16" s="93">
        <v>1</v>
      </c>
      <c r="G16" s="112"/>
      <c r="H16" s="93"/>
      <c r="I16" s="93"/>
      <c r="J16" s="93" t="str">
        <f t="shared" si="0"/>
        <v/>
      </c>
      <c r="K16" s="112"/>
      <c r="L16" s="112" t="str">
        <f t="shared" si="1"/>
        <v/>
      </c>
      <c r="M16" s="112"/>
      <c r="N16" s="93"/>
    </row>
    <row r="17" spans="1:14" ht="25.5" customHeight="1" x14ac:dyDescent="0.25">
      <c r="A17" s="119" t="s">
        <v>146</v>
      </c>
      <c r="B17" s="119" t="s">
        <v>147</v>
      </c>
      <c r="C17" s="120" t="s">
        <v>3</v>
      </c>
      <c r="D17" s="93"/>
      <c r="E17" s="93" t="s">
        <v>464</v>
      </c>
      <c r="F17" s="93">
        <v>3</v>
      </c>
      <c r="G17" s="112"/>
      <c r="H17" s="93"/>
      <c r="I17" s="93"/>
      <c r="J17" s="93" t="str">
        <f t="shared" si="0"/>
        <v/>
      </c>
      <c r="K17" s="112"/>
      <c r="L17" s="112" t="str">
        <f t="shared" si="1"/>
        <v/>
      </c>
      <c r="M17" s="112"/>
      <c r="N17" s="93"/>
    </row>
    <row r="18" spans="1:14" ht="25.5" customHeight="1" x14ac:dyDescent="0.25">
      <c r="A18" s="119" t="s">
        <v>146</v>
      </c>
      <c r="B18" s="119" t="s">
        <v>148</v>
      </c>
      <c r="C18" s="120" t="s">
        <v>3</v>
      </c>
      <c r="D18" s="93"/>
      <c r="E18" s="93" t="s">
        <v>464</v>
      </c>
      <c r="F18" s="93">
        <v>1</v>
      </c>
      <c r="G18" s="112"/>
      <c r="H18" s="93"/>
      <c r="I18" s="93"/>
      <c r="J18" s="93" t="str">
        <f t="shared" si="0"/>
        <v/>
      </c>
      <c r="K18" s="112"/>
      <c r="L18" s="112" t="str">
        <f t="shared" si="1"/>
        <v/>
      </c>
      <c r="M18" s="112"/>
      <c r="N18" s="93"/>
    </row>
    <row r="19" spans="1:14" ht="25.5" customHeight="1" x14ac:dyDescent="0.25">
      <c r="A19" s="119" t="s">
        <v>146</v>
      </c>
      <c r="B19" s="119" t="s">
        <v>161</v>
      </c>
      <c r="C19" s="120" t="s">
        <v>3</v>
      </c>
      <c r="D19" s="93"/>
      <c r="E19" s="93" t="s">
        <v>464</v>
      </c>
      <c r="F19" s="93">
        <v>5</v>
      </c>
      <c r="G19" s="112"/>
      <c r="H19" s="93"/>
      <c r="I19" s="93"/>
      <c r="J19" s="93" t="str">
        <f t="shared" si="0"/>
        <v/>
      </c>
      <c r="K19" s="112"/>
      <c r="L19" s="112" t="str">
        <f t="shared" si="1"/>
        <v/>
      </c>
      <c r="M19" s="112"/>
      <c r="N19" s="93"/>
    </row>
    <row r="20" spans="1:14" ht="25.5" customHeight="1" x14ac:dyDescent="0.25">
      <c r="A20" s="119" t="s">
        <v>73</v>
      </c>
      <c r="B20" s="119" t="s">
        <v>154</v>
      </c>
      <c r="C20" s="120" t="s">
        <v>3</v>
      </c>
      <c r="D20" s="93"/>
      <c r="E20" s="93" t="s">
        <v>464</v>
      </c>
      <c r="F20" s="93">
        <v>1</v>
      </c>
      <c r="G20" s="112"/>
      <c r="H20" s="93"/>
      <c r="I20" s="93"/>
      <c r="J20" s="93" t="str">
        <f t="shared" si="0"/>
        <v/>
      </c>
      <c r="K20" s="112"/>
      <c r="L20" s="112" t="str">
        <f t="shared" si="1"/>
        <v/>
      </c>
      <c r="M20" s="112"/>
      <c r="N20" s="93"/>
    </row>
    <row r="21" spans="1:14" ht="25.5" customHeight="1" x14ac:dyDescent="0.25">
      <c r="A21" s="119" t="s">
        <v>73</v>
      </c>
      <c r="B21" s="119" t="s">
        <v>155</v>
      </c>
      <c r="C21" s="120" t="s">
        <v>3</v>
      </c>
      <c r="D21" s="93"/>
      <c r="E21" s="93" t="s">
        <v>464</v>
      </c>
      <c r="F21" s="93">
        <v>1</v>
      </c>
      <c r="G21" s="112"/>
      <c r="H21" s="93"/>
      <c r="I21" s="93"/>
      <c r="J21" s="93" t="str">
        <f t="shared" si="0"/>
        <v/>
      </c>
      <c r="K21" s="112"/>
      <c r="L21" s="112" t="str">
        <f t="shared" si="1"/>
        <v/>
      </c>
      <c r="M21" s="112"/>
      <c r="N21" s="93"/>
    </row>
    <row r="22" spans="1:14" ht="25.5" customHeight="1" x14ac:dyDescent="0.25">
      <c r="A22" s="119" t="s">
        <v>73</v>
      </c>
      <c r="B22" s="119" t="s">
        <v>156</v>
      </c>
      <c r="C22" s="120" t="s">
        <v>3</v>
      </c>
      <c r="D22" s="93"/>
      <c r="E22" s="93" t="s">
        <v>464</v>
      </c>
      <c r="F22" s="93">
        <v>1</v>
      </c>
      <c r="G22" s="112"/>
      <c r="H22" s="93"/>
      <c r="I22" s="93"/>
      <c r="J22" s="93" t="str">
        <f t="shared" si="0"/>
        <v/>
      </c>
      <c r="K22" s="112"/>
      <c r="L22" s="112" t="str">
        <f t="shared" si="1"/>
        <v/>
      </c>
      <c r="M22" s="112"/>
      <c r="N22" s="93"/>
    </row>
    <row r="23" spans="1:14" ht="25.5" customHeight="1" x14ac:dyDescent="0.25">
      <c r="A23" s="119" t="s">
        <v>73</v>
      </c>
      <c r="B23" s="119" t="s">
        <v>162</v>
      </c>
      <c r="C23" s="120" t="s">
        <v>3</v>
      </c>
      <c r="D23" s="93"/>
      <c r="E23" s="93" t="s">
        <v>464</v>
      </c>
      <c r="F23" s="93">
        <v>1</v>
      </c>
      <c r="G23" s="112"/>
      <c r="H23" s="93"/>
      <c r="I23" s="93"/>
      <c r="J23" s="93" t="str">
        <f t="shared" si="0"/>
        <v/>
      </c>
      <c r="K23" s="112"/>
      <c r="L23" s="112" t="str">
        <f t="shared" si="1"/>
        <v/>
      </c>
      <c r="M23" s="112"/>
      <c r="N23" s="93"/>
    </row>
    <row r="24" spans="1:14" ht="25.5" customHeight="1" x14ac:dyDescent="0.25">
      <c r="A24" s="118" t="s">
        <v>127</v>
      </c>
      <c r="B24" s="118" t="s">
        <v>128</v>
      </c>
      <c r="C24" s="121" t="s">
        <v>130</v>
      </c>
      <c r="D24" s="93"/>
      <c r="E24" s="93" t="s">
        <v>464</v>
      </c>
      <c r="F24" s="93">
        <v>1</v>
      </c>
      <c r="G24" s="112"/>
      <c r="H24" s="93"/>
      <c r="I24" s="93"/>
      <c r="J24" s="93" t="str">
        <f t="shared" si="0"/>
        <v/>
      </c>
      <c r="K24" s="112"/>
      <c r="L24" s="112" t="str">
        <f t="shared" si="1"/>
        <v/>
      </c>
      <c r="M24" s="112"/>
      <c r="N24" s="93"/>
    </row>
    <row r="25" spans="1:14" ht="25.5" customHeight="1" x14ac:dyDescent="0.25">
      <c r="A25" s="118" t="s">
        <v>127</v>
      </c>
      <c r="B25" s="118" t="s">
        <v>171</v>
      </c>
      <c r="C25" s="121" t="s">
        <v>130</v>
      </c>
      <c r="D25" s="93"/>
      <c r="E25" s="93" t="s">
        <v>464</v>
      </c>
      <c r="F25" s="93">
        <v>1</v>
      </c>
      <c r="G25" s="112"/>
      <c r="H25" s="93"/>
      <c r="I25" s="93"/>
      <c r="J25" s="93" t="str">
        <f t="shared" si="0"/>
        <v/>
      </c>
      <c r="K25" s="112"/>
      <c r="L25" s="112" t="str">
        <f t="shared" si="1"/>
        <v/>
      </c>
      <c r="M25" s="112"/>
      <c r="N25" s="93"/>
    </row>
    <row r="26" spans="1:14" ht="25.5" customHeight="1" x14ac:dyDescent="0.25">
      <c r="A26" s="119" t="s">
        <v>31</v>
      </c>
      <c r="B26" s="119" t="s">
        <v>131</v>
      </c>
      <c r="C26" s="121" t="s">
        <v>130</v>
      </c>
      <c r="D26" s="93"/>
      <c r="E26" s="93" t="s">
        <v>464</v>
      </c>
      <c r="F26" s="93">
        <v>1</v>
      </c>
      <c r="G26" s="112"/>
      <c r="H26" s="93"/>
      <c r="I26" s="93"/>
      <c r="J26" s="93" t="str">
        <f t="shared" si="0"/>
        <v/>
      </c>
      <c r="K26" s="112"/>
      <c r="L26" s="112" t="str">
        <f t="shared" si="1"/>
        <v/>
      </c>
      <c r="M26" s="112"/>
      <c r="N26" s="93"/>
    </row>
    <row r="27" spans="1:14" ht="25.5" customHeight="1" x14ac:dyDescent="0.25">
      <c r="A27" s="119" t="s">
        <v>31</v>
      </c>
      <c r="B27" s="119" t="s">
        <v>132</v>
      </c>
      <c r="C27" s="121" t="s">
        <v>130</v>
      </c>
      <c r="D27" s="93"/>
      <c r="E27" s="93" t="s">
        <v>464</v>
      </c>
      <c r="F27" s="93">
        <v>1</v>
      </c>
      <c r="G27" s="112"/>
      <c r="H27" s="93"/>
      <c r="I27" s="93"/>
      <c r="J27" s="93" t="str">
        <f t="shared" si="0"/>
        <v/>
      </c>
      <c r="K27" s="112"/>
      <c r="L27" s="112" t="str">
        <f t="shared" si="1"/>
        <v/>
      </c>
      <c r="M27" s="112"/>
      <c r="N27" s="93"/>
    </row>
    <row r="28" spans="1:14" ht="25.5" customHeight="1" x14ac:dyDescent="0.25">
      <c r="A28" s="119" t="s">
        <v>31</v>
      </c>
      <c r="B28" s="119" t="s">
        <v>32</v>
      </c>
      <c r="C28" s="121" t="s">
        <v>130</v>
      </c>
      <c r="D28" s="93"/>
      <c r="E28" s="93" t="s">
        <v>464</v>
      </c>
      <c r="F28" s="93">
        <v>1</v>
      </c>
      <c r="G28" s="112"/>
      <c r="H28" s="93"/>
      <c r="I28" s="93"/>
      <c r="J28" s="93" t="str">
        <f t="shared" si="0"/>
        <v/>
      </c>
      <c r="K28" s="112"/>
      <c r="L28" s="112" t="str">
        <f t="shared" si="1"/>
        <v/>
      </c>
      <c r="M28" s="112"/>
      <c r="N28" s="93"/>
    </row>
    <row r="29" spans="1:14" ht="25.5" customHeight="1" x14ac:dyDescent="0.25">
      <c r="A29" s="119" t="s">
        <v>31</v>
      </c>
      <c r="B29" s="119" t="s">
        <v>133</v>
      </c>
      <c r="C29" s="121" t="s">
        <v>130</v>
      </c>
      <c r="D29" s="93"/>
      <c r="E29" s="93" t="s">
        <v>464</v>
      </c>
      <c r="F29" s="93">
        <v>1</v>
      </c>
      <c r="G29" s="112"/>
      <c r="H29" s="93"/>
      <c r="I29" s="93"/>
      <c r="J29" s="93" t="str">
        <f t="shared" si="0"/>
        <v/>
      </c>
      <c r="K29" s="112"/>
      <c r="L29" s="112" t="str">
        <f t="shared" si="1"/>
        <v/>
      </c>
      <c r="M29" s="112"/>
      <c r="N29" s="93"/>
    </row>
    <row r="30" spans="1:14" ht="25.5" customHeight="1" x14ac:dyDescent="0.25">
      <c r="A30" s="119" t="s">
        <v>31</v>
      </c>
      <c r="B30" s="119" t="s">
        <v>134</v>
      </c>
      <c r="C30" s="121" t="s">
        <v>130</v>
      </c>
      <c r="D30" s="93"/>
      <c r="E30" s="93" t="s">
        <v>464</v>
      </c>
      <c r="F30" s="93">
        <v>1</v>
      </c>
      <c r="G30" s="112"/>
      <c r="H30" s="93"/>
      <c r="I30" s="93"/>
      <c r="J30" s="93" t="str">
        <f t="shared" si="0"/>
        <v/>
      </c>
      <c r="K30" s="112"/>
      <c r="L30" s="112" t="str">
        <f t="shared" si="1"/>
        <v/>
      </c>
      <c r="M30" s="112"/>
      <c r="N30" s="93"/>
    </row>
    <row r="31" spans="1:14" ht="25.5" customHeight="1" x14ac:dyDescent="0.25">
      <c r="A31" s="119" t="s">
        <v>31</v>
      </c>
      <c r="B31" s="119" t="s">
        <v>135</v>
      </c>
      <c r="C31" s="121" t="s">
        <v>130</v>
      </c>
      <c r="D31" s="93"/>
      <c r="E31" s="93" t="s">
        <v>464</v>
      </c>
      <c r="F31" s="93">
        <v>1</v>
      </c>
      <c r="G31" s="112"/>
      <c r="H31" s="93"/>
      <c r="I31" s="93"/>
      <c r="J31" s="93" t="str">
        <f t="shared" si="0"/>
        <v/>
      </c>
      <c r="K31" s="112"/>
      <c r="L31" s="112" t="str">
        <f t="shared" si="1"/>
        <v/>
      </c>
      <c r="M31" s="112"/>
      <c r="N31" s="93"/>
    </row>
    <row r="32" spans="1:14" ht="25.5" customHeight="1" x14ac:dyDescent="0.25">
      <c r="A32" s="119" t="s">
        <v>31</v>
      </c>
      <c r="B32" s="119" t="s">
        <v>136</v>
      </c>
      <c r="C32" s="121" t="s">
        <v>130</v>
      </c>
      <c r="D32" s="93"/>
      <c r="E32" s="93" t="s">
        <v>464</v>
      </c>
      <c r="F32" s="93">
        <v>0.5</v>
      </c>
      <c r="G32" s="112"/>
      <c r="H32" s="93"/>
      <c r="I32" s="93"/>
      <c r="J32" s="93" t="str">
        <f t="shared" si="0"/>
        <v/>
      </c>
      <c r="K32" s="112"/>
      <c r="L32" s="112" t="str">
        <f t="shared" si="1"/>
        <v/>
      </c>
      <c r="M32" s="112"/>
      <c r="N32" s="93"/>
    </row>
    <row r="33" spans="1:14" ht="25.5" customHeight="1" x14ac:dyDescent="0.25">
      <c r="A33" s="119" t="s">
        <v>33</v>
      </c>
      <c r="B33" s="119" t="s">
        <v>137</v>
      </c>
      <c r="C33" s="121" t="s">
        <v>130</v>
      </c>
      <c r="D33" s="93"/>
      <c r="E33" s="93" t="s">
        <v>464</v>
      </c>
      <c r="F33" s="93">
        <v>0.5</v>
      </c>
      <c r="G33" s="112"/>
      <c r="H33" s="93"/>
      <c r="I33" s="93"/>
      <c r="J33" s="93" t="str">
        <f t="shared" si="0"/>
        <v/>
      </c>
      <c r="K33" s="112"/>
      <c r="L33" s="112" t="str">
        <f t="shared" si="1"/>
        <v/>
      </c>
      <c r="M33" s="112"/>
      <c r="N33" s="93"/>
    </row>
    <row r="34" spans="1:14" ht="25.5" customHeight="1" x14ac:dyDescent="0.25">
      <c r="A34" s="119" t="s">
        <v>33</v>
      </c>
      <c r="B34" s="119" t="s">
        <v>138</v>
      </c>
      <c r="C34" s="121" t="s">
        <v>130</v>
      </c>
      <c r="D34" s="93"/>
      <c r="E34" s="93" t="s">
        <v>464</v>
      </c>
      <c r="F34" s="93">
        <v>0.5</v>
      </c>
      <c r="G34" s="112"/>
      <c r="H34" s="93"/>
      <c r="I34" s="93"/>
      <c r="J34" s="93" t="str">
        <f t="shared" si="0"/>
        <v/>
      </c>
      <c r="K34" s="112"/>
      <c r="L34" s="112" t="str">
        <f t="shared" si="1"/>
        <v/>
      </c>
      <c r="M34" s="112"/>
      <c r="N34" s="93"/>
    </row>
    <row r="35" spans="1:14" ht="25.5" customHeight="1" x14ac:dyDescent="0.25">
      <c r="A35" s="119" t="s">
        <v>33</v>
      </c>
      <c r="B35" s="119" t="s">
        <v>167</v>
      </c>
      <c r="C35" s="121" t="s">
        <v>130</v>
      </c>
      <c r="D35" s="93"/>
      <c r="E35" s="93" t="s">
        <v>464</v>
      </c>
      <c r="F35" s="93">
        <v>0.5</v>
      </c>
      <c r="G35" s="112"/>
      <c r="H35" s="93"/>
      <c r="I35" s="93"/>
      <c r="J35" s="93" t="str">
        <f t="shared" si="0"/>
        <v/>
      </c>
      <c r="K35" s="112"/>
      <c r="L35" s="112" t="str">
        <f t="shared" si="1"/>
        <v/>
      </c>
      <c r="M35" s="112"/>
      <c r="N35" s="93"/>
    </row>
    <row r="36" spans="1:14" ht="25.5" customHeight="1" x14ac:dyDescent="0.25">
      <c r="A36" s="119" t="s">
        <v>33</v>
      </c>
      <c r="B36" s="119" t="s">
        <v>139</v>
      </c>
      <c r="C36" s="121" t="s">
        <v>130</v>
      </c>
      <c r="D36" s="93"/>
      <c r="E36" s="93" t="s">
        <v>464</v>
      </c>
      <c r="F36" s="93">
        <v>0.5</v>
      </c>
      <c r="G36" s="112"/>
      <c r="H36" s="93"/>
      <c r="I36" s="93"/>
      <c r="J36" s="93" t="str">
        <f t="shared" si="0"/>
        <v/>
      </c>
      <c r="K36" s="112"/>
      <c r="L36" s="112" t="str">
        <f t="shared" si="1"/>
        <v/>
      </c>
      <c r="M36" s="112"/>
      <c r="N36" s="93"/>
    </row>
    <row r="37" spans="1:14" ht="25.5" customHeight="1" x14ac:dyDescent="0.25">
      <c r="A37" s="119" t="s">
        <v>33</v>
      </c>
      <c r="B37" s="119" t="s">
        <v>140</v>
      </c>
      <c r="C37" s="121" t="s">
        <v>130</v>
      </c>
      <c r="D37" s="93"/>
      <c r="E37" s="93" t="s">
        <v>464</v>
      </c>
      <c r="F37" s="93">
        <v>1</v>
      </c>
      <c r="G37" s="112"/>
      <c r="H37" s="93"/>
      <c r="I37" s="93"/>
      <c r="J37" s="93" t="str">
        <f t="shared" si="0"/>
        <v/>
      </c>
      <c r="K37" s="112"/>
      <c r="L37" s="112" t="str">
        <f t="shared" si="1"/>
        <v/>
      </c>
      <c r="M37" s="112"/>
      <c r="N37" s="93"/>
    </row>
    <row r="38" spans="1:14" ht="25.5" customHeight="1" x14ac:dyDescent="0.25">
      <c r="A38" s="119" t="s">
        <v>149</v>
      </c>
      <c r="B38" s="119" t="s">
        <v>150</v>
      </c>
      <c r="C38" s="121" t="s">
        <v>130</v>
      </c>
      <c r="D38" s="93"/>
      <c r="E38" s="93" t="s">
        <v>464</v>
      </c>
      <c r="F38" s="93">
        <v>0.5</v>
      </c>
      <c r="G38" s="112"/>
      <c r="H38" s="93"/>
      <c r="I38" s="93"/>
      <c r="J38" s="93" t="str">
        <f t="shared" si="0"/>
        <v/>
      </c>
      <c r="K38" s="112"/>
      <c r="L38" s="112" t="str">
        <f t="shared" si="1"/>
        <v/>
      </c>
      <c r="M38" s="112"/>
      <c r="N38" s="93"/>
    </row>
    <row r="39" spans="1:14" ht="25.5" customHeight="1" x14ac:dyDescent="0.25">
      <c r="A39" s="119" t="s">
        <v>151</v>
      </c>
      <c r="B39" s="119" t="s">
        <v>152</v>
      </c>
      <c r="C39" s="121" t="s">
        <v>130</v>
      </c>
      <c r="D39" s="93"/>
      <c r="E39" s="93" t="s">
        <v>464</v>
      </c>
      <c r="F39" s="93">
        <v>1</v>
      </c>
      <c r="G39" s="112"/>
      <c r="H39" s="93"/>
      <c r="I39" s="93"/>
      <c r="J39" s="93" t="str">
        <f t="shared" si="0"/>
        <v/>
      </c>
      <c r="K39" s="112"/>
      <c r="L39" s="112" t="str">
        <f t="shared" si="1"/>
        <v/>
      </c>
      <c r="M39" s="112"/>
      <c r="N39" s="93"/>
    </row>
    <row r="40" spans="1:14" ht="25.5" customHeight="1" x14ac:dyDescent="0.25">
      <c r="A40" s="119" t="s">
        <v>151</v>
      </c>
      <c r="B40" s="119" t="s">
        <v>153</v>
      </c>
      <c r="C40" s="121" t="s">
        <v>130</v>
      </c>
      <c r="D40" s="93"/>
      <c r="E40" s="93" t="s">
        <v>464</v>
      </c>
      <c r="F40" s="93">
        <v>1</v>
      </c>
      <c r="G40" s="112"/>
      <c r="H40" s="93"/>
      <c r="I40" s="93"/>
      <c r="J40" s="93" t="str">
        <f t="shared" si="0"/>
        <v/>
      </c>
      <c r="K40" s="112"/>
      <c r="L40" s="112" t="str">
        <f t="shared" si="1"/>
        <v/>
      </c>
      <c r="M40" s="112"/>
      <c r="N40" s="93"/>
    </row>
    <row r="41" spans="1:14" ht="25.5" customHeight="1" x14ac:dyDescent="0.25">
      <c r="A41" s="119" t="s">
        <v>141</v>
      </c>
      <c r="B41" s="119" t="s">
        <v>143</v>
      </c>
      <c r="C41" s="121" t="s">
        <v>130</v>
      </c>
      <c r="D41" s="93"/>
      <c r="E41" s="93" t="s">
        <v>464</v>
      </c>
      <c r="F41" s="93">
        <v>1</v>
      </c>
      <c r="G41" s="112"/>
      <c r="H41" s="93"/>
      <c r="I41" s="93"/>
      <c r="J41" s="93" t="str">
        <f t="shared" si="0"/>
        <v/>
      </c>
      <c r="K41" s="112"/>
      <c r="L41" s="112" t="str">
        <f t="shared" si="1"/>
        <v/>
      </c>
      <c r="M41" s="112"/>
      <c r="N41" s="93"/>
    </row>
    <row r="42" spans="1:14" ht="25.5" customHeight="1" x14ac:dyDescent="0.25">
      <c r="A42" s="119" t="s">
        <v>146</v>
      </c>
      <c r="B42" s="119" t="s">
        <v>147</v>
      </c>
      <c r="C42" s="121" t="s">
        <v>130</v>
      </c>
      <c r="D42" s="93"/>
      <c r="E42" s="93" t="s">
        <v>464</v>
      </c>
      <c r="F42" s="93">
        <v>3</v>
      </c>
      <c r="G42" s="112"/>
      <c r="H42" s="93"/>
      <c r="I42" s="93"/>
      <c r="J42" s="93" t="str">
        <f t="shared" si="0"/>
        <v/>
      </c>
      <c r="K42" s="112"/>
      <c r="L42" s="112" t="str">
        <f t="shared" si="1"/>
        <v/>
      </c>
      <c r="M42" s="112"/>
      <c r="N42" s="93"/>
    </row>
    <row r="43" spans="1:14" ht="25.5" customHeight="1" x14ac:dyDescent="0.25">
      <c r="A43" s="119" t="s">
        <v>146</v>
      </c>
      <c r="B43" s="119" t="s">
        <v>148</v>
      </c>
      <c r="C43" s="121" t="s">
        <v>130</v>
      </c>
      <c r="D43" s="93"/>
      <c r="E43" s="93" t="s">
        <v>464</v>
      </c>
      <c r="F43" s="93">
        <v>1</v>
      </c>
      <c r="G43" s="112"/>
      <c r="H43" s="93"/>
      <c r="I43" s="93"/>
      <c r="J43" s="93" t="str">
        <f t="shared" si="0"/>
        <v/>
      </c>
      <c r="K43" s="112"/>
      <c r="L43" s="112" t="str">
        <f t="shared" si="1"/>
        <v/>
      </c>
      <c r="M43" s="112"/>
      <c r="N43" s="93"/>
    </row>
    <row r="44" spans="1:14" ht="25.5" customHeight="1" x14ac:dyDescent="0.25">
      <c r="A44" s="119" t="s">
        <v>159</v>
      </c>
      <c r="B44" s="119" t="s">
        <v>160</v>
      </c>
      <c r="C44" s="121" t="s">
        <v>130</v>
      </c>
      <c r="D44" s="93"/>
      <c r="E44" s="93" t="s">
        <v>464</v>
      </c>
      <c r="F44" s="93">
        <v>0.25</v>
      </c>
      <c r="G44" s="112"/>
      <c r="H44" s="93"/>
      <c r="I44" s="93"/>
      <c r="J44" s="93" t="str">
        <f t="shared" si="0"/>
        <v/>
      </c>
      <c r="K44" s="112"/>
      <c r="L44" s="112" t="str">
        <f t="shared" si="1"/>
        <v/>
      </c>
      <c r="M44" s="112"/>
      <c r="N44" s="93"/>
    </row>
    <row r="45" spans="1:14" ht="25.5" customHeight="1" x14ac:dyDescent="0.25">
      <c r="A45" s="119" t="s">
        <v>172</v>
      </c>
      <c r="B45" s="119" t="s">
        <v>175</v>
      </c>
      <c r="C45" s="121" t="s">
        <v>130</v>
      </c>
      <c r="D45" s="93"/>
      <c r="E45" s="93" t="s">
        <v>464</v>
      </c>
      <c r="F45" s="93">
        <v>1</v>
      </c>
      <c r="G45" s="112"/>
      <c r="H45" s="93"/>
      <c r="I45" s="93"/>
      <c r="J45" s="93" t="str">
        <f t="shared" si="0"/>
        <v/>
      </c>
      <c r="K45" s="112"/>
      <c r="L45" s="112" t="str">
        <f t="shared" si="1"/>
        <v/>
      </c>
      <c r="M45" s="112"/>
      <c r="N45" s="93"/>
    </row>
    <row r="46" spans="1:14" ht="25.5" customHeight="1" x14ac:dyDescent="0.25">
      <c r="A46" s="119" t="s">
        <v>172</v>
      </c>
      <c r="B46" s="119" t="s">
        <v>174</v>
      </c>
      <c r="C46" s="121" t="s">
        <v>130</v>
      </c>
      <c r="D46" s="93"/>
      <c r="E46" s="93" t="s">
        <v>464</v>
      </c>
      <c r="F46" s="93">
        <v>1</v>
      </c>
      <c r="G46" s="112"/>
      <c r="H46" s="93"/>
      <c r="I46" s="93"/>
      <c r="J46" s="93" t="str">
        <f t="shared" si="0"/>
        <v/>
      </c>
      <c r="K46" s="112"/>
      <c r="L46" s="112" t="str">
        <f t="shared" si="1"/>
        <v/>
      </c>
      <c r="M46" s="112"/>
      <c r="N46" s="93"/>
    </row>
    <row r="47" spans="1:14" ht="25.5" customHeight="1" x14ac:dyDescent="0.25">
      <c r="A47" s="119" t="s">
        <v>73</v>
      </c>
      <c r="B47" s="119" t="s">
        <v>154</v>
      </c>
      <c r="C47" s="121" t="s">
        <v>130</v>
      </c>
      <c r="D47" s="93"/>
      <c r="E47" s="93" t="s">
        <v>464</v>
      </c>
      <c r="F47" s="93">
        <v>1</v>
      </c>
      <c r="G47" s="112"/>
      <c r="H47" s="93"/>
      <c r="I47" s="93"/>
      <c r="J47" s="93" t="str">
        <f t="shared" si="0"/>
        <v/>
      </c>
      <c r="K47" s="112"/>
      <c r="L47" s="112" t="str">
        <f t="shared" si="1"/>
        <v/>
      </c>
      <c r="M47" s="112"/>
      <c r="N47" s="93"/>
    </row>
    <row r="48" spans="1:14" ht="25.5" customHeight="1" x14ac:dyDescent="0.25">
      <c r="A48" s="119" t="s">
        <v>73</v>
      </c>
      <c r="B48" s="119" t="s">
        <v>155</v>
      </c>
      <c r="C48" s="121" t="s">
        <v>130</v>
      </c>
      <c r="D48" s="93"/>
      <c r="E48" s="93" t="s">
        <v>464</v>
      </c>
      <c r="F48" s="93">
        <v>1</v>
      </c>
      <c r="G48" s="112"/>
      <c r="H48" s="93"/>
      <c r="I48" s="93"/>
      <c r="J48" s="93" t="str">
        <f t="shared" si="0"/>
        <v/>
      </c>
      <c r="K48" s="112"/>
      <c r="L48" s="112" t="str">
        <f t="shared" si="1"/>
        <v/>
      </c>
      <c r="M48" s="112"/>
      <c r="N48" s="93"/>
    </row>
    <row r="49" spans="1:14" ht="25.5" customHeight="1" x14ac:dyDescent="0.25">
      <c r="A49" s="119" t="s">
        <v>73</v>
      </c>
      <c r="B49" s="119" t="s">
        <v>156</v>
      </c>
      <c r="C49" s="121" t="s">
        <v>130</v>
      </c>
      <c r="D49" s="93"/>
      <c r="E49" s="93" t="s">
        <v>464</v>
      </c>
      <c r="F49" s="93">
        <v>1</v>
      </c>
      <c r="G49" s="112"/>
      <c r="H49" s="93"/>
      <c r="I49" s="93"/>
      <c r="J49" s="93" t="str">
        <f t="shared" si="0"/>
        <v/>
      </c>
      <c r="K49" s="112"/>
      <c r="L49" s="112" t="str">
        <f t="shared" si="1"/>
        <v/>
      </c>
      <c r="M49" s="112"/>
      <c r="N49" s="93"/>
    </row>
    <row r="50" spans="1:14" ht="25.5" customHeight="1" x14ac:dyDescent="0.25">
      <c r="A50" s="119" t="s">
        <v>73</v>
      </c>
      <c r="B50" s="119" t="s">
        <v>168</v>
      </c>
      <c r="C50" s="121" t="s">
        <v>130</v>
      </c>
      <c r="D50" s="93"/>
      <c r="E50" s="93" t="s">
        <v>464</v>
      </c>
      <c r="F50" s="93">
        <v>1</v>
      </c>
      <c r="G50" s="112"/>
      <c r="H50" s="93"/>
      <c r="I50" s="93"/>
      <c r="J50" s="93" t="str">
        <f t="shared" si="0"/>
        <v/>
      </c>
      <c r="K50" s="112"/>
      <c r="L50" s="112" t="str">
        <f t="shared" si="1"/>
        <v/>
      </c>
      <c r="M50" s="112"/>
      <c r="N50" s="93"/>
    </row>
    <row r="51" spans="1:14" ht="25.5" customHeight="1" x14ac:dyDescent="0.25">
      <c r="A51" s="119" t="s">
        <v>73</v>
      </c>
      <c r="B51" s="119" t="s">
        <v>157</v>
      </c>
      <c r="C51" s="121" t="s">
        <v>130</v>
      </c>
      <c r="D51" s="93"/>
      <c r="E51" s="93" t="s">
        <v>464</v>
      </c>
      <c r="F51" s="93">
        <v>1</v>
      </c>
      <c r="G51" s="112"/>
      <c r="H51" s="93"/>
      <c r="I51" s="93"/>
      <c r="J51" s="93" t="str">
        <f t="shared" si="0"/>
        <v/>
      </c>
      <c r="K51" s="112"/>
      <c r="L51" s="112" t="str">
        <f t="shared" si="1"/>
        <v/>
      </c>
      <c r="M51" s="112"/>
      <c r="N51" s="93"/>
    </row>
    <row r="52" spans="1:14" ht="25.5" customHeight="1" x14ac:dyDescent="0.25">
      <c r="A52" s="119" t="s">
        <v>73</v>
      </c>
      <c r="B52" s="119" t="s">
        <v>158</v>
      </c>
      <c r="C52" s="121" t="s">
        <v>130</v>
      </c>
      <c r="D52" s="93"/>
      <c r="E52" s="93" t="s">
        <v>464</v>
      </c>
      <c r="F52" s="93">
        <v>1</v>
      </c>
      <c r="G52" s="112"/>
      <c r="H52" s="93"/>
      <c r="I52" s="93"/>
      <c r="J52" s="93" t="str">
        <f t="shared" si="0"/>
        <v/>
      </c>
      <c r="K52" s="112"/>
      <c r="L52" s="112" t="str">
        <f t="shared" si="1"/>
        <v/>
      </c>
      <c r="M52" s="112"/>
      <c r="N52" s="93"/>
    </row>
    <row r="53" spans="1:14" ht="25.5" customHeight="1" x14ac:dyDescent="0.25">
      <c r="A53" s="119" t="s">
        <v>73</v>
      </c>
      <c r="B53" s="119" t="s">
        <v>164</v>
      </c>
      <c r="C53" s="121" t="s">
        <v>130</v>
      </c>
      <c r="D53" s="93"/>
      <c r="E53" s="93" t="s">
        <v>464</v>
      </c>
      <c r="F53" s="93">
        <v>1</v>
      </c>
      <c r="G53" s="112"/>
      <c r="H53" s="93"/>
      <c r="I53" s="93"/>
      <c r="J53" s="93" t="str">
        <f t="shared" si="0"/>
        <v/>
      </c>
      <c r="K53" s="112"/>
      <c r="L53" s="112" t="str">
        <f t="shared" si="1"/>
        <v/>
      </c>
      <c r="M53" s="112"/>
      <c r="N53" s="93"/>
    </row>
    <row r="54" spans="1:14" ht="25.5" customHeight="1" x14ac:dyDescent="0.25">
      <c r="A54" s="119" t="s">
        <v>73</v>
      </c>
      <c r="B54" s="119" t="s">
        <v>165</v>
      </c>
      <c r="C54" s="121" t="s">
        <v>130</v>
      </c>
      <c r="D54" s="93"/>
      <c r="E54" s="93" t="s">
        <v>464</v>
      </c>
      <c r="F54" s="93">
        <v>1</v>
      </c>
      <c r="G54" s="112"/>
      <c r="H54" s="93"/>
      <c r="I54" s="93"/>
      <c r="J54" s="93" t="str">
        <f t="shared" si="0"/>
        <v/>
      </c>
      <c r="K54" s="112"/>
      <c r="L54" s="112" t="str">
        <f t="shared" si="1"/>
        <v/>
      </c>
      <c r="M54" s="112"/>
      <c r="N54" s="93"/>
    </row>
    <row r="55" spans="1:14" ht="25.5" customHeight="1" x14ac:dyDescent="0.25">
      <c r="A55" s="119" t="s">
        <v>125</v>
      </c>
      <c r="B55" s="119" t="s">
        <v>170</v>
      </c>
      <c r="C55" s="122" t="s">
        <v>126</v>
      </c>
      <c r="D55" s="93"/>
      <c r="E55" s="93" t="s">
        <v>464</v>
      </c>
      <c r="F55" s="93">
        <v>1</v>
      </c>
      <c r="G55" s="112"/>
      <c r="H55" s="93"/>
      <c r="I55" s="93"/>
      <c r="J55" s="93" t="str">
        <f t="shared" si="0"/>
        <v/>
      </c>
      <c r="K55" s="112"/>
      <c r="L55" s="112" t="str">
        <f t="shared" si="1"/>
        <v/>
      </c>
      <c r="M55" s="112"/>
      <c r="N55" s="93"/>
    </row>
    <row r="56" spans="1:14" ht="25.5" customHeight="1" x14ac:dyDescent="0.25">
      <c r="A56" s="119" t="s">
        <v>125</v>
      </c>
      <c r="B56" s="119" t="s">
        <v>120</v>
      </c>
      <c r="C56" s="122" t="s">
        <v>169</v>
      </c>
      <c r="D56" s="93"/>
      <c r="E56" s="93" t="s">
        <v>464</v>
      </c>
      <c r="F56" s="93">
        <v>1</v>
      </c>
      <c r="G56" s="112"/>
      <c r="H56" s="93"/>
      <c r="I56" s="93"/>
      <c r="J56" s="93" t="str">
        <f t="shared" si="0"/>
        <v/>
      </c>
      <c r="K56" s="112"/>
      <c r="L56" s="112" t="str">
        <f t="shared" si="1"/>
        <v/>
      </c>
      <c r="M56" s="112"/>
      <c r="N56" s="93"/>
    </row>
    <row r="57" spans="1:14" ht="25.5" customHeight="1" x14ac:dyDescent="0.25">
      <c r="A57" s="119" t="s">
        <v>125</v>
      </c>
      <c r="B57" s="119" t="s">
        <v>121</v>
      </c>
      <c r="C57" s="122" t="s">
        <v>169</v>
      </c>
      <c r="D57" s="93"/>
      <c r="E57" s="93" t="s">
        <v>464</v>
      </c>
      <c r="F57" s="93">
        <v>1</v>
      </c>
      <c r="G57" s="112"/>
      <c r="H57" s="93"/>
      <c r="I57" s="93"/>
      <c r="J57" s="93" t="str">
        <f t="shared" si="0"/>
        <v/>
      </c>
      <c r="K57" s="112"/>
      <c r="L57" s="112" t="str">
        <f t="shared" si="1"/>
        <v/>
      </c>
      <c r="M57" s="112"/>
      <c r="N57" s="93"/>
    </row>
    <row r="58" spans="1:14" ht="25.5" customHeight="1" x14ac:dyDescent="0.25">
      <c r="A58" s="119" t="s">
        <v>119</v>
      </c>
      <c r="B58" s="119" t="s">
        <v>122</v>
      </c>
      <c r="C58" s="122" t="s">
        <v>126</v>
      </c>
      <c r="D58" s="93"/>
      <c r="E58" s="93" t="s">
        <v>464</v>
      </c>
      <c r="F58" s="93">
        <v>1</v>
      </c>
      <c r="G58" s="112"/>
      <c r="H58" s="93"/>
      <c r="I58" s="93"/>
      <c r="J58" s="93" t="str">
        <f t="shared" si="0"/>
        <v/>
      </c>
      <c r="K58" s="112"/>
      <c r="L58" s="112" t="str">
        <f t="shared" si="1"/>
        <v/>
      </c>
      <c r="M58" s="112"/>
      <c r="N58" s="93"/>
    </row>
    <row r="59" spans="1:14" ht="25.5" customHeight="1" x14ac:dyDescent="0.25">
      <c r="A59" s="119" t="s">
        <v>119</v>
      </c>
      <c r="B59" s="119" t="s">
        <v>123</v>
      </c>
      <c r="C59" s="122" t="s">
        <v>126</v>
      </c>
      <c r="D59" s="93"/>
      <c r="E59" s="93" t="s">
        <v>464</v>
      </c>
      <c r="F59" s="93">
        <v>1</v>
      </c>
      <c r="G59" s="112"/>
      <c r="H59" s="93"/>
      <c r="I59" s="93"/>
      <c r="J59" s="93" t="str">
        <f t="shared" si="0"/>
        <v/>
      </c>
      <c r="K59" s="112"/>
      <c r="L59" s="112" t="str">
        <f t="shared" si="1"/>
        <v/>
      </c>
      <c r="M59" s="112"/>
      <c r="N59" s="93"/>
    </row>
    <row r="60" spans="1:14" ht="25.5" customHeight="1" x14ac:dyDescent="0.25">
      <c r="A60" s="119" t="s">
        <v>119</v>
      </c>
      <c r="B60" s="119" t="s">
        <v>124</v>
      </c>
      <c r="C60" s="122" t="s">
        <v>126</v>
      </c>
      <c r="D60" s="93"/>
      <c r="E60" s="93" t="s">
        <v>464</v>
      </c>
      <c r="F60" s="93">
        <v>1</v>
      </c>
      <c r="G60" s="112"/>
      <c r="H60" s="93"/>
      <c r="I60" s="93"/>
      <c r="J60" s="93" t="str">
        <f t="shared" si="0"/>
        <v/>
      </c>
      <c r="K60" s="112"/>
      <c r="L60" s="112" t="str">
        <f t="shared" si="1"/>
        <v/>
      </c>
      <c r="M60" s="112"/>
      <c r="N60" s="93"/>
    </row>
    <row r="61" spans="1:14" ht="25.5" customHeight="1" x14ac:dyDescent="0.25">
      <c r="A61" s="119" t="s">
        <v>119</v>
      </c>
      <c r="B61" s="119" t="s">
        <v>166</v>
      </c>
      <c r="C61" s="122" t="s">
        <v>126</v>
      </c>
      <c r="D61" s="93"/>
      <c r="E61" s="93" t="s">
        <v>464</v>
      </c>
      <c r="F61" s="93">
        <v>1</v>
      </c>
      <c r="G61" s="112"/>
      <c r="H61" s="93"/>
      <c r="I61" s="93"/>
      <c r="J61" s="93" t="str">
        <f t="shared" si="0"/>
        <v/>
      </c>
      <c r="K61" s="112"/>
      <c r="L61" s="112" t="str">
        <f t="shared" si="1"/>
        <v/>
      </c>
      <c r="M61" s="112"/>
      <c r="N61" s="93"/>
    </row>
    <row r="62" spans="1:14" ht="25.5" customHeight="1" x14ac:dyDescent="0.25">
      <c r="A62" s="118" t="s">
        <v>127</v>
      </c>
      <c r="B62" s="118" t="s">
        <v>128</v>
      </c>
      <c r="C62" s="123" t="s">
        <v>129</v>
      </c>
      <c r="D62" s="93"/>
      <c r="E62" s="93" t="s">
        <v>464</v>
      </c>
      <c r="F62" s="93">
        <v>1</v>
      </c>
      <c r="G62" s="112"/>
      <c r="H62" s="93"/>
      <c r="I62" s="93"/>
      <c r="J62" s="93" t="str">
        <f t="shared" si="0"/>
        <v/>
      </c>
      <c r="K62" s="112"/>
      <c r="L62" s="112" t="str">
        <f t="shared" si="1"/>
        <v/>
      </c>
      <c r="M62" s="112"/>
      <c r="N62" s="93"/>
    </row>
    <row r="63" spans="1:14" ht="25.5" customHeight="1" x14ac:dyDescent="0.25">
      <c r="A63" s="118" t="s">
        <v>127</v>
      </c>
      <c r="B63" s="118" t="s">
        <v>171</v>
      </c>
      <c r="C63" s="123" t="s">
        <v>129</v>
      </c>
      <c r="D63" s="93"/>
      <c r="E63" s="93" t="s">
        <v>464</v>
      </c>
      <c r="F63" s="93">
        <v>1</v>
      </c>
      <c r="G63" s="112"/>
      <c r="H63" s="93"/>
      <c r="I63" s="93"/>
      <c r="J63" s="93" t="str">
        <f t="shared" si="0"/>
        <v/>
      </c>
      <c r="K63" s="112"/>
      <c r="L63" s="112" t="str">
        <f t="shared" si="1"/>
        <v/>
      </c>
      <c r="M63" s="112"/>
      <c r="N63" s="93"/>
    </row>
    <row r="64" spans="1:14" ht="25.5" customHeight="1" x14ac:dyDescent="0.25">
      <c r="A64" s="119" t="s">
        <v>31</v>
      </c>
      <c r="B64" s="119" t="s">
        <v>131</v>
      </c>
      <c r="C64" s="123" t="s">
        <v>129</v>
      </c>
      <c r="D64" s="93"/>
      <c r="E64" s="93" t="s">
        <v>464</v>
      </c>
      <c r="F64" s="93">
        <v>1</v>
      </c>
      <c r="G64" s="112"/>
      <c r="H64" s="93"/>
      <c r="I64" s="93"/>
      <c r="J64" s="93" t="str">
        <f t="shared" si="0"/>
        <v/>
      </c>
      <c r="K64" s="112"/>
      <c r="L64" s="112" t="str">
        <f t="shared" si="1"/>
        <v/>
      </c>
      <c r="M64" s="112"/>
      <c r="N64" s="93"/>
    </row>
    <row r="65" spans="1:14" ht="25.5" customHeight="1" x14ac:dyDescent="0.25">
      <c r="A65" s="119" t="s">
        <v>31</v>
      </c>
      <c r="B65" s="119" t="s">
        <v>132</v>
      </c>
      <c r="C65" s="123" t="s">
        <v>129</v>
      </c>
      <c r="D65" s="93"/>
      <c r="E65" s="93" t="s">
        <v>464</v>
      </c>
      <c r="F65" s="93">
        <v>1</v>
      </c>
      <c r="G65" s="112"/>
      <c r="H65" s="93"/>
      <c r="I65" s="93"/>
      <c r="J65" s="93" t="str">
        <f t="shared" si="0"/>
        <v/>
      </c>
      <c r="K65" s="112"/>
      <c r="L65" s="112" t="str">
        <f t="shared" si="1"/>
        <v/>
      </c>
      <c r="M65" s="112"/>
      <c r="N65" s="93"/>
    </row>
    <row r="66" spans="1:14" ht="25.5" customHeight="1" x14ac:dyDescent="0.25">
      <c r="A66" s="119" t="s">
        <v>31</v>
      </c>
      <c r="B66" s="119" t="s">
        <v>32</v>
      </c>
      <c r="C66" s="123" t="s">
        <v>129</v>
      </c>
      <c r="D66" s="93"/>
      <c r="E66" s="93" t="s">
        <v>464</v>
      </c>
      <c r="F66" s="93">
        <v>1</v>
      </c>
      <c r="G66" s="112"/>
      <c r="H66" s="93"/>
      <c r="I66" s="93"/>
      <c r="J66" s="93" t="str">
        <f t="shared" si="0"/>
        <v/>
      </c>
      <c r="K66" s="112"/>
      <c r="L66" s="112" t="str">
        <f t="shared" si="1"/>
        <v/>
      </c>
      <c r="M66" s="112"/>
      <c r="N66" s="93"/>
    </row>
    <row r="67" spans="1:14" ht="25.5" customHeight="1" x14ac:dyDescent="0.25">
      <c r="A67" s="119" t="s">
        <v>31</v>
      </c>
      <c r="B67" s="119" t="s">
        <v>133</v>
      </c>
      <c r="C67" s="123" t="s">
        <v>129</v>
      </c>
      <c r="D67" s="93"/>
      <c r="E67" s="93" t="s">
        <v>464</v>
      </c>
      <c r="F67" s="93">
        <v>1</v>
      </c>
      <c r="G67" s="112"/>
      <c r="H67" s="93"/>
      <c r="I67" s="93"/>
      <c r="J67" s="93" t="str">
        <f t="shared" si="0"/>
        <v/>
      </c>
      <c r="K67" s="112"/>
      <c r="L67" s="112" t="str">
        <f t="shared" si="1"/>
        <v/>
      </c>
      <c r="M67" s="112"/>
      <c r="N67" s="93"/>
    </row>
    <row r="68" spans="1:14" ht="25.5" customHeight="1" x14ac:dyDescent="0.25">
      <c r="A68" s="119" t="s">
        <v>31</v>
      </c>
      <c r="B68" s="119" t="s">
        <v>134</v>
      </c>
      <c r="C68" s="123" t="s">
        <v>129</v>
      </c>
      <c r="D68" s="93"/>
      <c r="E68" s="93" t="s">
        <v>464</v>
      </c>
      <c r="F68" s="93">
        <v>1</v>
      </c>
      <c r="G68" s="112"/>
      <c r="H68" s="93"/>
      <c r="I68" s="93"/>
      <c r="J68" s="93" t="str">
        <f t="shared" si="0"/>
        <v/>
      </c>
      <c r="K68" s="112"/>
      <c r="L68" s="112" t="str">
        <f t="shared" si="1"/>
        <v/>
      </c>
      <c r="M68" s="112"/>
      <c r="N68" s="93"/>
    </row>
    <row r="69" spans="1:14" ht="25.5" customHeight="1" x14ac:dyDescent="0.25">
      <c r="A69" s="119" t="s">
        <v>31</v>
      </c>
      <c r="B69" s="119" t="s">
        <v>135</v>
      </c>
      <c r="C69" s="123" t="s">
        <v>129</v>
      </c>
      <c r="D69" s="93"/>
      <c r="E69" s="93" t="s">
        <v>464</v>
      </c>
      <c r="F69" s="93">
        <v>1</v>
      </c>
      <c r="G69" s="112"/>
      <c r="H69" s="93"/>
      <c r="I69" s="93"/>
      <c r="J69" s="93" t="str">
        <f t="shared" ref="J69:J93" si="2">IF(E69="Non","",IF(H69=0,"NA",H69-I69))</f>
        <v/>
      </c>
      <c r="K69" s="112"/>
      <c r="L69" s="112" t="str">
        <f t="shared" ref="L69:L93" si="3">IF(G69="","",IF(G69="NA","_",G69+(F69*365)))</f>
        <v/>
      </c>
      <c r="M69" s="112"/>
      <c r="N69" s="93"/>
    </row>
    <row r="70" spans="1:14" ht="25.5" customHeight="1" x14ac:dyDescent="0.25">
      <c r="A70" s="119" t="s">
        <v>31</v>
      </c>
      <c r="B70" s="119" t="s">
        <v>136</v>
      </c>
      <c r="C70" s="123" t="s">
        <v>129</v>
      </c>
      <c r="D70" s="93"/>
      <c r="E70" s="93" t="s">
        <v>464</v>
      </c>
      <c r="F70" s="93">
        <v>0.5</v>
      </c>
      <c r="G70" s="112"/>
      <c r="H70" s="93"/>
      <c r="I70" s="93"/>
      <c r="J70" s="93" t="str">
        <f t="shared" si="2"/>
        <v/>
      </c>
      <c r="K70" s="112"/>
      <c r="L70" s="112" t="str">
        <f t="shared" si="3"/>
        <v/>
      </c>
      <c r="M70" s="112"/>
      <c r="N70" s="93"/>
    </row>
    <row r="71" spans="1:14" ht="25.5" customHeight="1" x14ac:dyDescent="0.25">
      <c r="A71" s="119" t="s">
        <v>33</v>
      </c>
      <c r="B71" s="119" t="s">
        <v>137</v>
      </c>
      <c r="C71" s="123" t="s">
        <v>129</v>
      </c>
      <c r="D71" s="93"/>
      <c r="E71" s="93" t="s">
        <v>464</v>
      </c>
      <c r="F71" s="93">
        <v>0.5</v>
      </c>
      <c r="G71" s="112"/>
      <c r="H71" s="93"/>
      <c r="I71" s="93"/>
      <c r="J71" s="93" t="str">
        <f t="shared" si="2"/>
        <v/>
      </c>
      <c r="K71" s="112"/>
      <c r="L71" s="112" t="str">
        <f t="shared" si="3"/>
        <v/>
      </c>
      <c r="M71" s="112"/>
      <c r="N71" s="93"/>
    </row>
    <row r="72" spans="1:14" ht="25.5" customHeight="1" x14ac:dyDescent="0.25">
      <c r="A72" s="119" t="s">
        <v>33</v>
      </c>
      <c r="B72" s="119" t="s">
        <v>138</v>
      </c>
      <c r="C72" s="123" t="s">
        <v>129</v>
      </c>
      <c r="D72" s="93"/>
      <c r="E72" s="93" t="s">
        <v>464</v>
      </c>
      <c r="F72" s="93">
        <v>0.5</v>
      </c>
      <c r="G72" s="112"/>
      <c r="H72" s="93"/>
      <c r="I72" s="93"/>
      <c r="J72" s="93" t="str">
        <f t="shared" si="2"/>
        <v/>
      </c>
      <c r="K72" s="112"/>
      <c r="L72" s="112" t="str">
        <f t="shared" si="3"/>
        <v/>
      </c>
      <c r="M72" s="112"/>
      <c r="N72" s="93"/>
    </row>
    <row r="73" spans="1:14" ht="25.5" customHeight="1" x14ac:dyDescent="0.25">
      <c r="A73" s="119" t="s">
        <v>33</v>
      </c>
      <c r="B73" s="119" t="s">
        <v>167</v>
      </c>
      <c r="C73" s="123" t="s">
        <v>129</v>
      </c>
      <c r="D73" s="93"/>
      <c r="E73" s="93" t="s">
        <v>464</v>
      </c>
      <c r="F73" s="93">
        <v>1</v>
      </c>
      <c r="G73" s="112"/>
      <c r="H73" s="93"/>
      <c r="I73" s="93"/>
      <c r="J73" s="93" t="str">
        <f t="shared" si="2"/>
        <v/>
      </c>
      <c r="K73" s="112"/>
      <c r="L73" s="112" t="str">
        <f t="shared" si="3"/>
        <v/>
      </c>
      <c r="M73" s="112"/>
      <c r="N73" s="93"/>
    </row>
    <row r="74" spans="1:14" ht="25.5" customHeight="1" x14ac:dyDescent="0.25">
      <c r="A74" s="119" t="s">
        <v>33</v>
      </c>
      <c r="B74" s="119" t="s">
        <v>139</v>
      </c>
      <c r="C74" s="123" t="s">
        <v>129</v>
      </c>
      <c r="D74" s="93"/>
      <c r="E74" s="93" t="s">
        <v>464</v>
      </c>
      <c r="F74" s="93">
        <v>0.5</v>
      </c>
      <c r="G74" s="112"/>
      <c r="H74" s="93"/>
      <c r="I74" s="93"/>
      <c r="J74" s="93" t="str">
        <f t="shared" si="2"/>
        <v/>
      </c>
      <c r="K74" s="112"/>
      <c r="L74" s="112" t="str">
        <f t="shared" si="3"/>
        <v/>
      </c>
      <c r="M74" s="112"/>
      <c r="N74" s="93"/>
    </row>
    <row r="75" spans="1:14" ht="25.5" customHeight="1" x14ac:dyDescent="0.25">
      <c r="A75" s="119" t="s">
        <v>33</v>
      </c>
      <c r="B75" s="119" t="s">
        <v>140</v>
      </c>
      <c r="C75" s="123" t="s">
        <v>129</v>
      </c>
      <c r="D75" s="93"/>
      <c r="E75" s="93" t="s">
        <v>464</v>
      </c>
      <c r="F75" s="93">
        <v>1</v>
      </c>
      <c r="G75" s="112"/>
      <c r="H75" s="93"/>
      <c r="I75" s="93"/>
      <c r="J75" s="93" t="str">
        <f t="shared" si="2"/>
        <v/>
      </c>
      <c r="K75" s="112"/>
      <c r="L75" s="112" t="str">
        <f t="shared" si="3"/>
        <v/>
      </c>
      <c r="M75" s="112"/>
      <c r="N75" s="93"/>
    </row>
    <row r="76" spans="1:14" ht="25.5" customHeight="1" x14ac:dyDescent="0.25">
      <c r="A76" s="119" t="s">
        <v>149</v>
      </c>
      <c r="B76" s="119" t="s">
        <v>150</v>
      </c>
      <c r="C76" s="123" t="s">
        <v>129</v>
      </c>
      <c r="D76" s="93"/>
      <c r="E76" s="93" t="s">
        <v>464</v>
      </c>
      <c r="F76" s="93">
        <v>0.5</v>
      </c>
      <c r="G76" s="112"/>
      <c r="H76" s="93"/>
      <c r="I76" s="93"/>
      <c r="J76" s="93" t="str">
        <f t="shared" si="2"/>
        <v/>
      </c>
      <c r="K76" s="112"/>
      <c r="L76" s="112" t="str">
        <f t="shared" si="3"/>
        <v/>
      </c>
      <c r="M76" s="112"/>
      <c r="N76" s="93"/>
    </row>
    <row r="77" spans="1:14" ht="25.5" customHeight="1" x14ac:dyDescent="0.25">
      <c r="A77" s="119" t="s">
        <v>151</v>
      </c>
      <c r="B77" s="119" t="s">
        <v>152</v>
      </c>
      <c r="C77" s="123" t="s">
        <v>129</v>
      </c>
      <c r="D77" s="93"/>
      <c r="E77" s="93" t="s">
        <v>464</v>
      </c>
      <c r="F77" s="93">
        <v>1</v>
      </c>
      <c r="G77" s="112"/>
      <c r="H77" s="93"/>
      <c r="I77" s="93"/>
      <c r="J77" s="93" t="str">
        <f t="shared" si="2"/>
        <v/>
      </c>
      <c r="K77" s="112"/>
      <c r="L77" s="112" t="str">
        <f t="shared" si="3"/>
        <v/>
      </c>
      <c r="M77" s="112"/>
      <c r="N77" s="93"/>
    </row>
    <row r="78" spans="1:14" ht="25.5" customHeight="1" x14ac:dyDescent="0.25">
      <c r="A78" s="119" t="s">
        <v>151</v>
      </c>
      <c r="B78" s="119" t="s">
        <v>153</v>
      </c>
      <c r="C78" s="123" t="s">
        <v>129</v>
      </c>
      <c r="D78" s="93"/>
      <c r="E78" s="93" t="s">
        <v>464</v>
      </c>
      <c r="F78" s="93">
        <v>1</v>
      </c>
      <c r="G78" s="112"/>
      <c r="H78" s="93"/>
      <c r="I78" s="93"/>
      <c r="J78" s="93" t="str">
        <f t="shared" si="2"/>
        <v/>
      </c>
      <c r="K78" s="112"/>
      <c r="L78" s="112" t="str">
        <f t="shared" si="3"/>
        <v/>
      </c>
      <c r="M78" s="112"/>
      <c r="N78" s="93"/>
    </row>
    <row r="79" spans="1:14" ht="25.5" customHeight="1" x14ac:dyDescent="0.25">
      <c r="A79" s="119" t="s">
        <v>141</v>
      </c>
      <c r="B79" s="119" t="s">
        <v>143</v>
      </c>
      <c r="C79" s="123" t="s">
        <v>129</v>
      </c>
      <c r="D79" s="93"/>
      <c r="E79" s="93" t="s">
        <v>464</v>
      </c>
      <c r="F79" s="93">
        <v>1</v>
      </c>
      <c r="G79" s="112"/>
      <c r="H79" s="93"/>
      <c r="I79" s="93"/>
      <c r="J79" s="93" t="str">
        <f t="shared" si="2"/>
        <v/>
      </c>
      <c r="K79" s="112"/>
      <c r="L79" s="112" t="str">
        <f t="shared" si="3"/>
        <v/>
      </c>
      <c r="M79" s="112"/>
      <c r="N79" s="93"/>
    </row>
    <row r="80" spans="1:14" ht="25.5" customHeight="1" x14ac:dyDescent="0.25">
      <c r="A80" s="119" t="s">
        <v>146</v>
      </c>
      <c r="B80" s="119" t="s">
        <v>147</v>
      </c>
      <c r="C80" s="123" t="s">
        <v>129</v>
      </c>
      <c r="D80" s="93"/>
      <c r="E80" s="93" t="s">
        <v>464</v>
      </c>
      <c r="F80" s="93">
        <v>3</v>
      </c>
      <c r="G80" s="112"/>
      <c r="H80" s="93"/>
      <c r="I80" s="93"/>
      <c r="J80" s="93" t="str">
        <f t="shared" si="2"/>
        <v/>
      </c>
      <c r="K80" s="112"/>
      <c r="L80" s="112" t="str">
        <f t="shared" si="3"/>
        <v/>
      </c>
      <c r="M80" s="112"/>
      <c r="N80" s="93"/>
    </row>
    <row r="81" spans="1:14" ht="25.5" customHeight="1" x14ac:dyDescent="0.25">
      <c r="A81" s="119" t="s">
        <v>146</v>
      </c>
      <c r="B81" s="119" t="s">
        <v>148</v>
      </c>
      <c r="C81" s="123" t="s">
        <v>129</v>
      </c>
      <c r="D81" s="93"/>
      <c r="E81" s="93" t="s">
        <v>464</v>
      </c>
      <c r="F81" s="93">
        <v>1</v>
      </c>
      <c r="G81" s="112"/>
      <c r="H81" s="93"/>
      <c r="I81" s="93"/>
      <c r="J81" s="93" t="str">
        <f t="shared" si="2"/>
        <v/>
      </c>
      <c r="K81" s="112"/>
      <c r="L81" s="112" t="str">
        <f t="shared" si="3"/>
        <v/>
      </c>
      <c r="M81" s="112"/>
      <c r="N81" s="93"/>
    </row>
    <row r="82" spans="1:14" ht="25.5" customHeight="1" x14ac:dyDescent="0.25">
      <c r="A82" s="119" t="s">
        <v>159</v>
      </c>
      <c r="B82" s="119" t="s">
        <v>160</v>
      </c>
      <c r="C82" s="123" t="s">
        <v>129</v>
      </c>
      <c r="D82" s="93"/>
      <c r="E82" s="93" t="s">
        <v>464</v>
      </c>
      <c r="F82" s="93">
        <v>0.25</v>
      </c>
      <c r="G82" s="112"/>
      <c r="H82" s="93"/>
      <c r="I82" s="93"/>
      <c r="J82" s="93" t="str">
        <f t="shared" si="2"/>
        <v/>
      </c>
      <c r="K82" s="112"/>
      <c r="L82" s="112" t="str">
        <f t="shared" si="3"/>
        <v/>
      </c>
      <c r="M82" s="112"/>
      <c r="N82" s="93"/>
    </row>
    <row r="83" spans="1:14" ht="25.5" customHeight="1" x14ac:dyDescent="0.25">
      <c r="A83" s="119" t="s">
        <v>159</v>
      </c>
      <c r="B83" s="119" t="s">
        <v>163</v>
      </c>
      <c r="C83" s="123" t="s">
        <v>129</v>
      </c>
      <c r="D83" s="93"/>
      <c r="E83" s="93" t="s">
        <v>464</v>
      </c>
      <c r="F83" s="93">
        <v>1</v>
      </c>
      <c r="G83" s="112"/>
      <c r="H83" s="93"/>
      <c r="I83" s="93"/>
      <c r="J83" s="93" t="str">
        <f t="shared" si="2"/>
        <v/>
      </c>
      <c r="K83" s="112"/>
      <c r="L83" s="112" t="str">
        <f t="shared" si="3"/>
        <v/>
      </c>
      <c r="M83" s="112"/>
      <c r="N83" s="93"/>
    </row>
    <row r="84" spans="1:14" ht="25.5" customHeight="1" x14ac:dyDescent="0.25">
      <c r="A84" s="119" t="s">
        <v>172</v>
      </c>
      <c r="B84" s="119" t="s">
        <v>173</v>
      </c>
      <c r="C84" s="123" t="s">
        <v>129</v>
      </c>
      <c r="D84" s="93"/>
      <c r="E84" s="93" t="s">
        <v>464</v>
      </c>
      <c r="F84" s="93">
        <v>1</v>
      </c>
      <c r="G84" s="112"/>
      <c r="H84" s="93"/>
      <c r="I84" s="93"/>
      <c r="J84" s="93" t="str">
        <f t="shared" si="2"/>
        <v/>
      </c>
      <c r="K84" s="112"/>
      <c r="L84" s="112" t="str">
        <f t="shared" si="3"/>
        <v/>
      </c>
      <c r="M84" s="112"/>
      <c r="N84" s="93"/>
    </row>
    <row r="85" spans="1:14" ht="25.5" customHeight="1" x14ac:dyDescent="0.25">
      <c r="A85" s="119" t="s">
        <v>172</v>
      </c>
      <c r="B85" s="119" t="s">
        <v>174</v>
      </c>
      <c r="C85" s="123" t="s">
        <v>129</v>
      </c>
      <c r="D85" s="93"/>
      <c r="E85" s="93" t="s">
        <v>464</v>
      </c>
      <c r="F85" s="93">
        <v>1</v>
      </c>
      <c r="G85" s="112"/>
      <c r="H85" s="93"/>
      <c r="I85" s="93"/>
      <c r="J85" s="93" t="str">
        <f t="shared" si="2"/>
        <v/>
      </c>
      <c r="K85" s="112"/>
      <c r="L85" s="112" t="str">
        <f t="shared" si="3"/>
        <v/>
      </c>
      <c r="M85" s="112"/>
      <c r="N85" s="93"/>
    </row>
    <row r="86" spans="1:14" ht="25.5" customHeight="1" x14ac:dyDescent="0.25">
      <c r="A86" s="119" t="s">
        <v>73</v>
      </c>
      <c r="B86" s="119" t="s">
        <v>154</v>
      </c>
      <c r="C86" s="123" t="s">
        <v>129</v>
      </c>
      <c r="D86" s="93"/>
      <c r="E86" s="93" t="s">
        <v>464</v>
      </c>
      <c r="F86" s="93">
        <v>1</v>
      </c>
      <c r="G86" s="112"/>
      <c r="H86" s="93"/>
      <c r="I86" s="93"/>
      <c r="J86" s="93" t="str">
        <f t="shared" si="2"/>
        <v/>
      </c>
      <c r="K86" s="112"/>
      <c r="L86" s="112" t="str">
        <f t="shared" si="3"/>
        <v/>
      </c>
      <c r="M86" s="112"/>
      <c r="N86" s="93"/>
    </row>
    <row r="87" spans="1:14" ht="25.5" customHeight="1" x14ac:dyDescent="0.25">
      <c r="A87" s="119" t="s">
        <v>73</v>
      </c>
      <c r="B87" s="119" t="s">
        <v>155</v>
      </c>
      <c r="C87" s="123" t="s">
        <v>129</v>
      </c>
      <c r="D87" s="93"/>
      <c r="E87" s="93" t="s">
        <v>464</v>
      </c>
      <c r="F87" s="93">
        <v>1</v>
      </c>
      <c r="G87" s="112"/>
      <c r="H87" s="93"/>
      <c r="I87" s="93"/>
      <c r="J87" s="93" t="str">
        <f t="shared" si="2"/>
        <v/>
      </c>
      <c r="K87" s="112"/>
      <c r="L87" s="112" t="str">
        <f t="shared" si="3"/>
        <v/>
      </c>
      <c r="M87" s="112"/>
      <c r="N87" s="93"/>
    </row>
    <row r="88" spans="1:14" ht="25.5" customHeight="1" x14ac:dyDescent="0.25">
      <c r="A88" s="119" t="s">
        <v>73</v>
      </c>
      <c r="B88" s="119" t="s">
        <v>156</v>
      </c>
      <c r="C88" s="123" t="s">
        <v>129</v>
      </c>
      <c r="D88" s="93"/>
      <c r="E88" s="93" t="s">
        <v>464</v>
      </c>
      <c r="F88" s="93">
        <v>1</v>
      </c>
      <c r="G88" s="112"/>
      <c r="H88" s="93"/>
      <c r="I88" s="93"/>
      <c r="J88" s="93" t="str">
        <f t="shared" si="2"/>
        <v/>
      </c>
      <c r="K88" s="112"/>
      <c r="L88" s="112" t="str">
        <f t="shared" si="3"/>
        <v/>
      </c>
      <c r="M88" s="112"/>
      <c r="N88" s="93"/>
    </row>
    <row r="89" spans="1:14" ht="25.5" customHeight="1" x14ac:dyDescent="0.25">
      <c r="A89" s="119" t="s">
        <v>73</v>
      </c>
      <c r="B89" s="119" t="s">
        <v>168</v>
      </c>
      <c r="C89" s="123" t="s">
        <v>129</v>
      </c>
      <c r="D89" s="93"/>
      <c r="E89" s="93" t="s">
        <v>464</v>
      </c>
      <c r="F89" s="93">
        <v>1</v>
      </c>
      <c r="G89" s="112"/>
      <c r="H89" s="93"/>
      <c r="I89" s="93"/>
      <c r="J89" s="93" t="str">
        <f t="shared" si="2"/>
        <v/>
      </c>
      <c r="K89" s="112"/>
      <c r="L89" s="112" t="str">
        <f t="shared" si="3"/>
        <v/>
      </c>
      <c r="M89" s="112"/>
      <c r="N89" s="93"/>
    </row>
    <row r="90" spans="1:14" ht="25.5" customHeight="1" x14ac:dyDescent="0.25">
      <c r="A90" s="119" t="s">
        <v>73</v>
      </c>
      <c r="B90" s="119" t="s">
        <v>157</v>
      </c>
      <c r="C90" s="123" t="s">
        <v>129</v>
      </c>
      <c r="D90" s="93"/>
      <c r="E90" s="93" t="s">
        <v>464</v>
      </c>
      <c r="F90" s="93">
        <v>1</v>
      </c>
      <c r="G90" s="112"/>
      <c r="H90" s="93"/>
      <c r="I90" s="93"/>
      <c r="J90" s="93" t="str">
        <f t="shared" si="2"/>
        <v/>
      </c>
      <c r="K90" s="112"/>
      <c r="L90" s="112" t="str">
        <f t="shared" si="3"/>
        <v/>
      </c>
      <c r="M90" s="112"/>
      <c r="N90" s="93"/>
    </row>
    <row r="91" spans="1:14" ht="25.5" customHeight="1" x14ac:dyDescent="0.25">
      <c r="A91" s="119" t="s">
        <v>73</v>
      </c>
      <c r="B91" s="119" t="s">
        <v>158</v>
      </c>
      <c r="C91" s="123" t="s">
        <v>129</v>
      </c>
      <c r="D91" s="93"/>
      <c r="E91" s="93" t="s">
        <v>464</v>
      </c>
      <c r="F91" s="93">
        <v>1</v>
      </c>
      <c r="G91" s="112"/>
      <c r="H91" s="93"/>
      <c r="I91" s="93"/>
      <c r="J91" s="93" t="str">
        <f t="shared" si="2"/>
        <v/>
      </c>
      <c r="K91" s="112"/>
      <c r="L91" s="112" t="str">
        <f t="shared" si="3"/>
        <v/>
      </c>
      <c r="M91" s="112"/>
      <c r="N91" s="93"/>
    </row>
    <row r="92" spans="1:14" ht="25.5" customHeight="1" x14ac:dyDescent="0.25">
      <c r="A92" s="119" t="s">
        <v>73</v>
      </c>
      <c r="B92" s="119" t="s">
        <v>164</v>
      </c>
      <c r="C92" s="123" t="s">
        <v>129</v>
      </c>
      <c r="D92" s="93"/>
      <c r="E92" s="93" t="s">
        <v>464</v>
      </c>
      <c r="F92" s="93">
        <v>1</v>
      </c>
      <c r="G92" s="112"/>
      <c r="H92" s="93"/>
      <c r="I92" s="93"/>
      <c r="J92" s="93" t="str">
        <f t="shared" si="2"/>
        <v/>
      </c>
      <c r="K92" s="112"/>
      <c r="L92" s="112" t="str">
        <f t="shared" si="3"/>
        <v/>
      </c>
      <c r="M92" s="112"/>
      <c r="N92" s="93"/>
    </row>
    <row r="93" spans="1:14" ht="25.5" customHeight="1" x14ac:dyDescent="0.25">
      <c r="A93" s="119" t="s">
        <v>73</v>
      </c>
      <c r="B93" s="119" t="s">
        <v>165</v>
      </c>
      <c r="C93" s="123" t="s">
        <v>129</v>
      </c>
      <c r="D93" s="93"/>
      <c r="E93" s="93" t="s">
        <v>464</v>
      </c>
      <c r="F93" s="93">
        <v>1</v>
      </c>
      <c r="G93" s="112"/>
      <c r="H93" s="93"/>
      <c r="I93" s="93"/>
      <c r="J93" s="93" t="str">
        <f t="shared" si="2"/>
        <v/>
      </c>
      <c r="K93" s="112"/>
      <c r="L93" s="112" t="str">
        <f t="shared" si="3"/>
        <v/>
      </c>
      <c r="M93" s="112"/>
      <c r="N93" s="93"/>
    </row>
    <row r="94" spans="1:14" x14ac:dyDescent="0.25">
      <c r="E94" s="93"/>
      <c r="G94" s="112"/>
    </row>
    <row r="95" spans="1:14" x14ac:dyDescent="0.25">
      <c r="E95" s="93"/>
      <c r="G95" s="112"/>
    </row>
  </sheetData>
  <autoFilter ref="A3:N93">
    <sortState ref="A4:N89">
      <sortCondition ref="C3"/>
    </sortState>
  </autoFilter>
  <mergeCells count="1">
    <mergeCell ref="A1:N1"/>
  </mergeCells>
  <conditionalFormatting sqref="F47:F93 K47:N93 K5:N44 J5:J93 L5:L93 F4:F44 H5:I44 H47:I93 H4:N4">
    <cfRule type="expression" dxfId="17" priority="19" stopIfTrue="1">
      <formula>$E4="Non"</formula>
    </cfRule>
  </conditionalFormatting>
  <conditionalFormatting sqref="F45:F46 K45:N46 H45:I46">
    <cfRule type="expression" dxfId="16" priority="18" stopIfTrue="1">
      <formula>$E45="Non"</formula>
    </cfRule>
  </conditionalFormatting>
  <conditionalFormatting sqref="L4:L93">
    <cfRule type="cellIs" dxfId="15" priority="14" stopIfTrue="1" operator="lessThan">
      <formula>$B$2</formula>
    </cfRule>
    <cfRule type="cellIs" dxfId="14" priority="15" stopIfTrue="1" operator="between">
      <formula>$B$2</formula>
      <formula>$B$2+90</formula>
    </cfRule>
    <cfRule type="cellIs" dxfId="13" priority="16" stopIfTrue="1" operator="greaterThan">
      <formula>$B$2+90</formula>
    </cfRule>
  </conditionalFormatting>
  <conditionalFormatting sqref="G47:G55 G4:G44 G57:G59 G61:G95">
    <cfRule type="expression" dxfId="12" priority="4" stopIfTrue="1">
      <formula>$E4="Non"</formula>
    </cfRule>
  </conditionalFormatting>
  <conditionalFormatting sqref="G45:G46">
    <cfRule type="expression" dxfId="11" priority="3" stopIfTrue="1">
      <formula>$E45="Non"</formula>
    </cfRule>
  </conditionalFormatting>
  <conditionalFormatting sqref="G56">
    <cfRule type="expression" dxfId="10" priority="2" stopIfTrue="1">
      <formula>$E56="Non"</formula>
    </cfRule>
  </conditionalFormatting>
  <conditionalFormatting sqref="G60">
    <cfRule type="expression" dxfId="9" priority="1" stopIfTrue="1">
      <formula>$E60="Non"</formula>
    </cfRule>
  </conditionalFormatting>
  <dataValidations count="1">
    <dataValidation type="list" allowBlank="1" showInputMessage="1" showErrorMessage="1" sqref="E4:E95">
      <formula1>"OUI,NON"</formula1>
    </dataValidation>
  </dataValidation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6"/>
  <dimension ref="A1:AB35"/>
  <sheetViews>
    <sheetView zoomScale="75" zoomScaleNormal="75" workbookViewId="0">
      <selection activeCell="I9" sqref="I9"/>
    </sheetView>
  </sheetViews>
  <sheetFormatPr baseColWidth="10" defaultColWidth="11.42578125" defaultRowHeight="15" x14ac:dyDescent="0.25"/>
  <cols>
    <col min="1" max="1" width="3.140625" style="106" bestFit="1" customWidth="1"/>
    <col min="2" max="2" width="12" style="106" bestFit="1" customWidth="1"/>
    <col min="3" max="3" width="17.7109375" style="106" customWidth="1"/>
    <col min="4" max="4" width="11" style="106" bestFit="1" customWidth="1"/>
    <col min="5" max="5" width="13.28515625" style="106" customWidth="1"/>
    <col min="6" max="6" width="10.42578125" style="106" customWidth="1"/>
    <col min="7" max="9" width="13.140625" style="106" customWidth="1"/>
    <col min="10" max="10" width="14.85546875" style="106" customWidth="1"/>
    <col min="11" max="17" width="10.7109375" style="106" customWidth="1"/>
    <col min="18" max="18" width="12" style="106" bestFit="1" customWidth="1"/>
    <col min="19" max="22" width="10.7109375" style="106" customWidth="1"/>
    <col min="23" max="23" width="11.140625" style="106" bestFit="1" customWidth="1"/>
    <col min="24" max="25" width="10.7109375" style="106" customWidth="1"/>
    <col min="26" max="26" width="18.28515625" style="106" customWidth="1"/>
    <col min="27" max="27" width="34.140625" style="106" customWidth="1"/>
    <col min="28" max="28" width="26.42578125" style="106" customWidth="1"/>
    <col min="29" max="16384" width="11.42578125" style="106"/>
  </cols>
  <sheetData>
    <row r="1" spans="1:28" ht="36.75" customHeight="1" thickBot="1" x14ac:dyDescent="0.55000000000000004">
      <c r="A1" s="467" t="s">
        <v>220</v>
      </c>
      <c r="B1" s="467"/>
      <c r="C1" s="467"/>
      <c r="D1" s="467"/>
      <c r="E1" s="467"/>
      <c r="F1" s="467"/>
      <c r="G1" s="467"/>
      <c r="H1" s="467"/>
      <c r="I1" s="467"/>
      <c r="J1" s="467"/>
      <c r="K1" s="638"/>
      <c r="L1" s="638"/>
      <c r="M1" s="638"/>
      <c r="N1" s="638"/>
      <c r="O1" s="638"/>
      <c r="P1" s="638"/>
      <c r="Q1" s="638"/>
      <c r="R1" s="638"/>
      <c r="S1" s="638"/>
      <c r="T1" s="638"/>
      <c r="U1" s="638"/>
      <c r="V1" s="638"/>
      <c r="W1" s="638"/>
      <c r="X1" s="638"/>
      <c r="Y1" s="638"/>
      <c r="Z1" s="638"/>
      <c r="AA1" s="638"/>
      <c r="AB1" s="638"/>
    </row>
    <row r="2" spans="1:28" ht="14.45" customHeight="1" x14ac:dyDescent="0.25">
      <c r="A2" s="497" t="s">
        <v>34</v>
      </c>
      <c r="B2" s="500" t="s">
        <v>234</v>
      </c>
      <c r="C2" s="500" t="s">
        <v>198</v>
      </c>
      <c r="D2" s="500" t="s">
        <v>81</v>
      </c>
      <c r="E2" s="500" t="s">
        <v>23</v>
      </c>
      <c r="F2" s="500" t="s">
        <v>36</v>
      </c>
      <c r="G2" s="652" t="s">
        <v>37</v>
      </c>
      <c r="H2" s="500" t="s">
        <v>454</v>
      </c>
      <c r="I2" s="648" t="s">
        <v>219</v>
      </c>
      <c r="J2" s="649"/>
      <c r="K2" s="647" t="s">
        <v>204</v>
      </c>
      <c r="L2" s="500"/>
      <c r="M2" s="500"/>
      <c r="N2" s="500"/>
      <c r="O2" s="500"/>
      <c r="P2" s="500"/>
      <c r="Q2" s="500"/>
      <c r="R2" s="500"/>
      <c r="S2" s="500"/>
      <c r="T2" s="500"/>
      <c r="U2" s="500"/>
      <c r="V2" s="500"/>
      <c r="W2" s="500"/>
      <c r="X2" s="500"/>
      <c r="Y2" s="642"/>
      <c r="Z2" s="497" t="s">
        <v>183</v>
      </c>
      <c r="AA2" s="642" t="s">
        <v>184</v>
      </c>
      <c r="AB2" s="639" t="s">
        <v>185</v>
      </c>
    </row>
    <row r="3" spans="1:28" x14ac:dyDescent="0.25">
      <c r="A3" s="498"/>
      <c r="B3" s="501"/>
      <c r="C3" s="501"/>
      <c r="D3" s="501"/>
      <c r="E3" s="501"/>
      <c r="F3" s="501"/>
      <c r="G3" s="653"/>
      <c r="H3" s="501"/>
      <c r="I3" s="650"/>
      <c r="J3" s="651"/>
      <c r="K3" s="208" t="s">
        <v>199</v>
      </c>
      <c r="L3" s="184" t="s">
        <v>199</v>
      </c>
      <c r="M3" s="184" t="s">
        <v>200</v>
      </c>
      <c r="N3" s="184" t="s">
        <v>200</v>
      </c>
      <c r="O3" s="184" t="s">
        <v>200</v>
      </c>
      <c r="P3" s="184" t="s">
        <v>200</v>
      </c>
      <c r="Q3" s="184" t="s">
        <v>200</v>
      </c>
      <c r="R3" s="184" t="s">
        <v>202</v>
      </c>
      <c r="S3" s="184" t="s">
        <v>203</v>
      </c>
      <c r="T3" s="184" t="s">
        <v>203</v>
      </c>
      <c r="U3" s="184" t="s">
        <v>200</v>
      </c>
      <c r="V3" s="184" t="s">
        <v>200</v>
      </c>
      <c r="W3" s="184" t="s">
        <v>218</v>
      </c>
      <c r="X3" s="184" t="s">
        <v>200</v>
      </c>
      <c r="Y3" s="183" t="s">
        <v>200</v>
      </c>
      <c r="Z3" s="498"/>
      <c r="AA3" s="643"/>
      <c r="AB3" s="640"/>
    </row>
    <row r="4" spans="1:28" s="117" customFormat="1" ht="45.75" thickBot="1" x14ac:dyDescent="0.3">
      <c r="A4" s="645"/>
      <c r="B4" s="646"/>
      <c r="C4" s="646"/>
      <c r="D4" s="646"/>
      <c r="E4" s="646"/>
      <c r="F4" s="646"/>
      <c r="G4" s="654"/>
      <c r="H4" s="646"/>
      <c r="I4" s="261" t="s">
        <v>356</v>
      </c>
      <c r="J4" s="262" t="s">
        <v>357</v>
      </c>
      <c r="K4" s="209" t="s">
        <v>205</v>
      </c>
      <c r="L4" s="192" t="s">
        <v>201</v>
      </c>
      <c r="M4" s="192" t="s">
        <v>206</v>
      </c>
      <c r="N4" s="192" t="s">
        <v>207</v>
      </c>
      <c r="O4" s="192" t="s">
        <v>208</v>
      </c>
      <c r="P4" s="192" t="s">
        <v>209</v>
      </c>
      <c r="Q4" s="192" t="s">
        <v>210</v>
      </c>
      <c r="R4" s="192" t="s">
        <v>211</v>
      </c>
      <c r="S4" s="192" t="s">
        <v>212</v>
      </c>
      <c r="T4" s="192" t="s">
        <v>213</v>
      </c>
      <c r="U4" s="192" t="s">
        <v>32</v>
      </c>
      <c r="V4" s="192" t="s">
        <v>214</v>
      </c>
      <c r="W4" s="192" t="s">
        <v>215</v>
      </c>
      <c r="X4" s="192" t="s">
        <v>216</v>
      </c>
      <c r="Y4" s="193" t="s">
        <v>217</v>
      </c>
      <c r="Z4" s="499"/>
      <c r="AA4" s="644"/>
      <c r="AB4" s="641"/>
    </row>
    <row r="5" spans="1:28" ht="30" customHeight="1" x14ac:dyDescent="0.25">
      <c r="A5" s="77">
        <v>1</v>
      </c>
      <c r="B5" s="225"/>
      <c r="C5" s="146"/>
      <c r="D5" s="146"/>
      <c r="E5" s="146"/>
      <c r="F5" s="146"/>
      <c r="G5" s="146"/>
      <c r="H5" s="146"/>
      <c r="I5" s="264" t="str">
        <f t="shared" ref="I5:I34" si="0">IF(B5="","",B5+30)</f>
        <v/>
      </c>
      <c r="J5" s="266"/>
      <c r="K5" s="200"/>
      <c r="L5" s="146"/>
      <c r="M5" s="146"/>
      <c r="N5" s="146"/>
      <c r="O5" s="146"/>
      <c r="P5" s="146"/>
      <c r="Q5" s="146"/>
      <c r="R5" s="146"/>
      <c r="S5" s="146"/>
      <c r="T5" s="146"/>
      <c r="U5" s="146"/>
      <c r="V5" s="146"/>
      <c r="W5" s="146"/>
      <c r="X5" s="146"/>
      <c r="Y5" s="181"/>
      <c r="Z5" s="190" t="str">
        <f t="shared" ref="Z5:Z34" ca="1" si="1">IF(ISBLANK(C5),"",(IF(F5&lt;&gt;"CDI",TODAY()-B5,"")))</f>
        <v/>
      </c>
      <c r="AA5" s="191" t="str">
        <f ca="1">IF(Z5="","",(IF(Z5&gt;89,"Ajouter ce collaborateur dans la base EHS","")))</f>
        <v/>
      </c>
      <c r="AB5" s="203"/>
    </row>
    <row r="6" spans="1:28" ht="30" customHeight="1" x14ac:dyDescent="0.25">
      <c r="A6" s="79">
        <v>2</v>
      </c>
      <c r="B6" s="147"/>
      <c r="C6" s="148"/>
      <c r="D6" s="148"/>
      <c r="E6" s="148"/>
      <c r="F6" s="148"/>
      <c r="G6" s="148"/>
      <c r="H6" s="148"/>
      <c r="I6" s="265" t="str">
        <f t="shared" si="0"/>
        <v/>
      </c>
      <c r="J6" s="188"/>
      <c r="K6" s="201"/>
      <c r="L6" s="148"/>
      <c r="M6" s="148"/>
      <c r="N6" s="148"/>
      <c r="O6" s="148"/>
      <c r="P6" s="148"/>
      <c r="Q6" s="148"/>
      <c r="R6" s="148"/>
      <c r="S6" s="148"/>
      <c r="T6" s="148"/>
      <c r="U6" s="148"/>
      <c r="V6" s="148"/>
      <c r="W6" s="148"/>
      <c r="X6" s="148"/>
      <c r="Y6" s="182"/>
      <c r="Z6" s="152" t="str">
        <f t="shared" ca="1" si="1"/>
        <v/>
      </c>
      <c r="AA6" s="188" t="str">
        <f t="shared" ref="AA6:AA34" ca="1" si="2">IF(Z6="","",(IF(Z6&gt;89,"Ajouter ce collaborateur dans la base EHS","")))</f>
        <v/>
      </c>
      <c r="AB6" s="153"/>
    </row>
    <row r="7" spans="1:28" ht="30" customHeight="1" x14ac:dyDescent="0.25">
      <c r="A7" s="79">
        <v>3</v>
      </c>
      <c r="B7" s="147"/>
      <c r="C7" s="148"/>
      <c r="D7" s="148"/>
      <c r="E7" s="148"/>
      <c r="F7" s="148"/>
      <c r="G7" s="148"/>
      <c r="H7" s="148"/>
      <c r="I7" s="265" t="str">
        <f t="shared" si="0"/>
        <v/>
      </c>
      <c r="J7" s="188"/>
      <c r="K7" s="201"/>
      <c r="L7" s="148"/>
      <c r="M7" s="148"/>
      <c r="N7" s="148"/>
      <c r="O7" s="148"/>
      <c r="P7" s="148"/>
      <c r="Q7" s="148"/>
      <c r="R7" s="148"/>
      <c r="S7" s="148"/>
      <c r="T7" s="148"/>
      <c r="U7" s="148"/>
      <c r="V7" s="148"/>
      <c r="W7" s="148"/>
      <c r="X7" s="148"/>
      <c r="Y7" s="182"/>
      <c r="Z7" s="152" t="str">
        <f t="shared" ca="1" si="1"/>
        <v/>
      </c>
      <c r="AA7" s="188" t="str">
        <f t="shared" ca="1" si="2"/>
        <v/>
      </c>
      <c r="AB7" s="149"/>
    </row>
    <row r="8" spans="1:28" ht="30" customHeight="1" x14ac:dyDescent="0.25">
      <c r="A8" s="79">
        <v>4</v>
      </c>
      <c r="B8" s="147"/>
      <c r="C8" s="148"/>
      <c r="D8" s="148"/>
      <c r="E8" s="148"/>
      <c r="F8" s="148"/>
      <c r="G8" s="148"/>
      <c r="H8" s="148"/>
      <c r="I8" s="265" t="str">
        <f t="shared" si="0"/>
        <v/>
      </c>
      <c r="J8" s="188"/>
      <c r="K8" s="201"/>
      <c r="L8" s="148"/>
      <c r="M8" s="148"/>
      <c r="N8" s="148"/>
      <c r="O8" s="148"/>
      <c r="P8" s="148"/>
      <c r="Q8" s="148"/>
      <c r="R8" s="148"/>
      <c r="S8" s="148"/>
      <c r="T8" s="148"/>
      <c r="U8" s="148"/>
      <c r="V8" s="148"/>
      <c r="W8" s="148"/>
      <c r="X8" s="148"/>
      <c r="Y8" s="182"/>
      <c r="Z8" s="152" t="str">
        <f t="shared" ca="1" si="1"/>
        <v/>
      </c>
      <c r="AA8" s="188" t="str">
        <f t="shared" ca="1" si="2"/>
        <v/>
      </c>
      <c r="AB8" s="149"/>
    </row>
    <row r="9" spans="1:28" ht="30" customHeight="1" x14ac:dyDescent="0.25">
      <c r="A9" s="79">
        <v>5</v>
      </c>
      <c r="B9" s="147"/>
      <c r="C9" s="148"/>
      <c r="D9" s="148"/>
      <c r="E9" s="148"/>
      <c r="F9" s="148"/>
      <c r="G9" s="148"/>
      <c r="H9" s="148"/>
      <c r="I9" s="265" t="str">
        <f t="shared" si="0"/>
        <v/>
      </c>
      <c r="J9" s="188"/>
      <c r="K9" s="201"/>
      <c r="L9" s="148"/>
      <c r="M9" s="148"/>
      <c r="N9" s="148"/>
      <c r="O9" s="148"/>
      <c r="P9" s="148"/>
      <c r="Q9" s="148"/>
      <c r="R9" s="148"/>
      <c r="S9" s="148"/>
      <c r="T9" s="148"/>
      <c r="U9" s="148"/>
      <c r="V9" s="148"/>
      <c r="W9" s="148"/>
      <c r="X9" s="148"/>
      <c r="Y9" s="182"/>
      <c r="Z9" s="152" t="str">
        <f t="shared" ca="1" si="1"/>
        <v/>
      </c>
      <c r="AA9" s="188" t="str">
        <f t="shared" ca="1" si="2"/>
        <v/>
      </c>
      <c r="AB9" s="149"/>
    </row>
    <row r="10" spans="1:28" ht="30" customHeight="1" x14ac:dyDescent="0.25">
      <c r="A10" s="79">
        <v>6</v>
      </c>
      <c r="B10" s="147"/>
      <c r="C10" s="148"/>
      <c r="D10" s="148"/>
      <c r="E10" s="148"/>
      <c r="F10" s="148"/>
      <c r="G10" s="148"/>
      <c r="H10" s="148"/>
      <c r="I10" s="265" t="str">
        <f t="shared" si="0"/>
        <v/>
      </c>
      <c r="J10" s="188"/>
      <c r="K10" s="201"/>
      <c r="L10" s="148"/>
      <c r="M10" s="148"/>
      <c r="N10" s="148"/>
      <c r="O10" s="148"/>
      <c r="P10" s="148"/>
      <c r="Q10" s="148"/>
      <c r="R10" s="148"/>
      <c r="S10" s="148"/>
      <c r="T10" s="148"/>
      <c r="U10" s="148"/>
      <c r="V10" s="148"/>
      <c r="W10" s="148"/>
      <c r="X10" s="148"/>
      <c r="Y10" s="182"/>
      <c r="Z10" s="152" t="str">
        <f t="shared" ca="1" si="1"/>
        <v/>
      </c>
      <c r="AA10" s="188" t="str">
        <f t="shared" ca="1" si="2"/>
        <v/>
      </c>
      <c r="AB10" s="149"/>
    </row>
    <row r="11" spans="1:28" ht="30" customHeight="1" x14ac:dyDescent="0.25">
      <c r="A11" s="79">
        <v>7</v>
      </c>
      <c r="B11" s="147"/>
      <c r="C11" s="148"/>
      <c r="D11" s="148"/>
      <c r="E11" s="148"/>
      <c r="F11" s="148"/>
      <c r="G11" s="148"/>
      <c r="H11" s="148"/>
      <c r="I11" s="265" t="str">
        <f t="shared" si="0"/>
        <v/>
      </c>
      <c r="J11" s="188"/>
      <c r="K11" s="201"/>
      <c r="L11" s="148"/>
      <c r="M11" s="148"/>
      <c r="N11" s="148"/>
      <c r="O11" s="148"/>
      <c r="P11" s="148"/>
      <c r="Q11" s="148"/>
      <c r="R11" s="148"/>
      <c r="S11" s="148"/>
      <c r="T11" s="148"/>
      <c r="U11" s="148"/>
      <c r="V11" s="148"/>
      <c r="W11" s="148"/>
      <c r="X11" s="148"/>
      <c r="Y11" s="182"/>
      <c r="Z11" s="152" t="str">
        <f t="shared" ca="1" si="1"/>
        <v/>
      </c>
      <c r="AA11" s="188" t="str">
        <f t="shared" ca="1" si="2"/>
        <v/>
      </c>
      <c r="AB11" s="149"/>
    </row>
    <row r="12" spans="1:28" ht="30" customHeight="1" x14ac:dyDescent="0.25">
      <c r="A12" s="79">
        <v>8</v>
      </c>
      <c r="B12" s="147"/>
      <c r="C12" s="148"/>
      <c r="D12" s="148"/>
      <c r="E12" s="148"/>
      <c r="F12" s="148"/>
      <c r="G12" s="148"/>
      <c r="H12" s="148"/>
      <c r="I12" s="265" t="str">
        <f t="shared" si="0"/>
        <v/>
      </c>
      <c r="J12" s="267"/>
      <c r="K12" s="201"/>
      <c r="L12" s="148"/>
      <c r="M12" s="148"/>
      <c r="N12" s="148"/>
      <c r="O12" s="148"/>
      <c r="P12" s="148"/>
      <c r="Q12" s="148"/>
      <c r="R12" s="148"/>
      <c r="S12" s="148"/>
      <c r="T12" s="148"/>
      <c r="U12" s="148"/>
      <c r="V12" s="148"/>
      <c r="W12" s="148"/>
      <c r="X12" s="148"/>
      <c r="Y12" s="182"/>
      <c r="Z12" s="152" t="str">
        <f t="shared" ca="1" si="1"/>
        <v/>
      </c>
      <c r="AA12" s="188" t="str">
        <f t="shared" ca="1" si="2"/>
        <v/>
      </c>
      <c r="AB12" s="149"/>
    </row>
    <row r="13" spans="1:28" ht="30" customHeight="1" x14ac:dyDescent="0.25">
      <c r="A13" s="79">
        <v>9</v>
      </c>
      <c r="B13" s="147"/>
      <c r="C13" s="148"/>
      <c r="D13" s="148"/>
      <c r="E13" s="148"/>
      <c r="F13" s="148"/>
      <c r="G13" s="148"/>
      <c r="H13" s="148"/>
      <c r="I13" s="265" t="str">
        <f t="shared" si="0"/>
        <v/>
      </c>
      <c r="J13" s="188"/>
      <c r="K13" s="201"/>
      <c r="L13" s="148"/>
      <c r="M13" s="148"/>
      <c r="N13" s="148"/>
      <c r="O13" s="148"/>
      <c r="P13" s="148"/>
      <c r="Q13" s="148"/>
      <c r="R13" s="148"/>
      <c r="S13" s="148"/>
      <c r="T13" s="148"/>
      <c r="U13" s="148"/>
      <c r="V13" s="148"/>
      <c r="W13" s="148"/>
      <c r="X13" s="148"/>
      <c r="Y13" s="182"/>
      <c r="Z13" s="152" t="str">
        <f t="shared" ca="1" si="1"/>
        <v/>
      </c>
      <c r="AA13" s="188" t="str">
        <f t="shared" ca="1" si="2"/>
        <v/>
      </c>
      <c r="AB13" s="149"/>
    </row>
    <row r="14" spans="1:28" ht="30" customHeight="1" x14ac:dyDescent="0.25">
      <c r="A14" s="79">
        <v>10</v>
      </c>
      <c r="B14" s="148"/>
      <c r="C14" s="148"/>
      <c r="D14" s="148"/>
      <c r="E14" s="148"/>
      <c r="F14" s="148"/>
      <c r="G14" s="148"/>
      <c r="H14" s="148"/>
      <c r="I14" s="265" t="str">
        <f t="shared" si="0"/>
        <v/>
      </c>
      <c r="J14" s="188"/>
      <c r="K14" s="201"/>
      <c r="L14" s="148"/>
      <c r="M14" s="148"/>
      <c r="N14" s="148"/>
      <c r="O14" s="148"/>
      <c r="P14" s="148"/>
      <c r="Q14" s="148"/>
      <c r="R14" s="148"/>
      <c r="S14" s="148"/>
      <c r="T14" s="148"/>
      <c r="U14" s="148"/>
      <c r="V14" s="148"/>
      <c r="W14" s="148"/>
      <c r="X14" s="148"/>
      <c r="Y14" s="182"/>
      <c r="Z14" s="152" t="str">
        <f t="shared" ca="1" si="1"/>
        <v/>
      </c>
      <c r="AA14" s="188" t="str">
        <f t="shared" ca="1" si="2"/>
        <v/>
      </c>
      <c r="AB14" s="149"/>
    </row>
    <row r="15" spans="1:28" ht="30" customHeight="1" x14ac:dyDescent="0.25">
      <c r="A15" s="79">
        <v>11</v>
      </c>
      <c r="B15" s="148"/>
      <c r="C15" s="148"/>
      <c r="D15" s="148"/>
      <c r="E15" s="148"/>
      <c r="F15" s="148"/>
      <c r="G15" s="148"/>
      <c r="H15" s="148"/>
      <c r="I15" s="265" t="str">
        <f t="shared" si="0"/>
        <v/>
      </c>
      <c r="J15" s="188"/>
      <c r="K15" s="201"/>
      <c r="L15" s="148"/>
      <c r="M15" s="148"/>
      <c r="N15" s="148"/>
      <c r="O15" s="148"/>
      <c r="P15" s="148"/>
      <c r="Q15" s="148"/>
      <c r="R15" s="148"/>
      <c r="S15" s="148"/>
      <c r="T15" s="148"/>
      <c r="U15" s="148"/>
      <c r="V15" s="148"/>
      <c r="W15" s="148"/>
      <c r="X15" s="148"/>
      <c r="Y15" s="182"/>
      <c r="Z15" s="152" t="str">
        <f t="shared" ca="1" si="1"/>
        <v/>
      </c>
      <c r="AA15" s="188" t="str">
        <f t="shared" ca="1" si="2"/>
        <v/>
      </c>
      <c r="AB15" s="149"/>
    </row>
    <row r="16" spans="1:28" ht="30" customHeight="1" x14ac:dyDescent="0.25">
      <c r="A16" s="79">
        <v>12</v>
      </c>
      <c r="B16" s="148"/>
      <c r="C16" s="148"/>
      <c r="D16" s="148"/>
      <c r="E16" s="148"/>
      <c r="F16" s="148"/>
      <c r="G16" s="148"/>
      <c r="H16" s="148"/>
      <c r="I16" s="265" t="str">
        <f t="shared" si="0"/>
        <v/>
      </c>
      <c r="J16" s="188"/>
      <c r="K16" s="201"/>
      <c r="L16" s="148"/>
      <c r="M16" s="148"/>
      <c r="N16" s="148"/>
      <c r="O16" s="148"/>
      <c r="P16" s="148"/>
      <c r="Q16" s="148"/>
      <c r="R16" s="148"/>
      <c r="S16" s="148"/>
      <c r="T16" s="148"/>
      <c r="U16" s="148"/>
      <c r="V16" s="148"/>
      <c r="W16" s="148"/>
      <c r="X16" s="148"/>
      <c r="Y16" s="182"/>
      <c r="Z16" s="152" t="str">
        <f t="shared" ca="1" si="1"/>
        <v/>
      </c>
      <c r="AA16" s="188" t="str">
        <f t="shared" ca="1" si="2"/>
        <v/>
      </c>
      <c r="AB16" s="149"/>
    </row>
    <row r="17" spans="1:28" ht="30" customHeight="1" x14ac:dyDescent="0.25">
      <c r="A17" s="79">
        <v>13</v>
      </c>
      <c r="B17" s="148"/>
      <c r="C17" s="148"/>
      <c r="D17" s="148"/>
      <c r="E17" s="148"/>
      <c r="F17" s="148"/>
      <c r="G17" s="148"/>
      <c r="H17" s="148"/>
      <c r="I17" s="265" t="str">
        <f t="shared" si="0"/>
        <v/>
      </c>
      <c r="J17" s="188"/>
      <c r="K17" s="201"/>
      <c r="L17" s="148"/>
      <c r="M17" s="148"/>
      <c r="N17" s="148"/>
      <c r="O17" s="148"/>
      <c r="P17" s="148"/>
      <c r="Q17" s="148"/>
      <c r="R17" s="148"/>
      <c r="S17" s="148"/>
      <c r="T17" s="148"/>
      <c r="U17" s="148"/>
      <c r="V17" s="148"/>
      <c r="W17" s="148"/>
      <c r="X17" s="148"/>
      <c r="Y17" s="182"/>
      <c r="Z17" s="152" t="str">
        <f t="shared" ca="1" si="1"/>
        <v/>
      </c>
      <c r="AA17" s="188" t="str">
        <f t="shared" ca="1" si="2"/>
        <v/>
      </c>
      <c r="AB17" s="149"/>
    </row>
    <row r="18" spans="1:28" ht="30" customHeight="1" x14ac:dyDescent="0.25">
      <c r="A18" s="79">
        <v>14</v>
      </c>
      <c r="B18" s="148"/>
      <c r="C18" s="148"/>
      <c r="D18" s="148"/>
      <c r="E18" s="148"/>
      <c r="F18" s="148"/>
      <c r="G18" s="148"/>
      <c r="H18" s="148"/>
      <c r="I18" s="265" t="str">
        <f t="shared" si="0"/>
        <v/>
      </c>
      <c r="J18" s="188"/>
      <c r="K18" s="201"/>
      <c r="L18" s="148"/>
      <c r="M18" s="148"/>
      <c r="N18" s="148"/>
      <c r="O18" s="148"/>
      <c r="P18" s="148"/>
      <c r="Q18" s="148"/>
      <c r="R18" s="148"/>
      <c r="S18" s="148"/>
      <c r="T18" s="148"/>
      <c r="U18" s="148"/>
      <c r="V18" s="148"/>
      <c r="W18" s="148"/>
      <c r="X18" s="148"/>
      <c r="Y18" s="182"/>
      <c r="Z18" s="152" t="str">
        <f t="shared" ca="1" si="1"/>
        <v/>
      </c>
      <c r="AA18" s="188" t="str">
        <f t="shared" ca="1" si="2"/>
        <v/>
      </c>
      <c r="AB18" s="149"/>
    </row>
    <row r="19" spans="1:28" ht="30" customHeight="1" x14ac:dyDescent="0.25">
      <c r="A19" s="79">
        <v>15</v>
      </c>
      <c r="B19" s="148"/>
      <c r="C19" s="148"/>
      <c r="D19" s="148"/>
      <c r="E19" s="148"/>
      <c r="F19" s="148"/>
      <c r="G19" s="148"/>
      <c r="H19" s="148"/>
      <c r="I19" s="265" t="str">
        <f t="shared" si="0"/>
        <v/>
      </c>
      <c r="J19" s="188"/>
      <c r="K19" s="201"/>
      <c r="L19" s="148"/>
      <c r="M19" s="148"/>
      <c r="N19" s="148"/>
      <c r="O19" s="148"/>
      <c r="P19" s="148"/>
      <c r="Q19" s="148"/>
      <c r="R19" s="148"/>
      <c r="S19" s="148"/>
      <c r="T19" s="148"/>
      <c r="U19" s="148"/>
      <c r="V19" s="148"/>
      <c r="W19" s="148"/>
      <c r="X19" s="148"/>
      <c r="Y19" s="182"/>
      <c r="Z19" s="152" t="str">
        <f t="shared" ca="1" si="1"/>
        <v/>
      </c>
      <c r="AA19" s="188" t="str">
        <f t="shared" ca="1" si="2"/>
        <v/>
      </c>
      <c r="AB19" s="149"/>
    </row>
    <row r="20" spans="1:28" ht="30" customHeight="1" x14ac:dyDescent="0.25">
      <c r="A20" s="79">
        <v>16</v>
      </c>
      <c r="B20" s="148"/>
      <c r="C20" s="148"/>
      <c r="D20" s="148"/>
      <c r="E20" s="148"/>
      <c r="F20" s="148"/>
      <c r="G20" s="148"/>
      <c r="H20" s="148"/>
      <c r="I20" s="265" t="str">
        <f t="shared" si="0"/>
        <v/>
      </c>
      <c r="J20" s="188"/>
      <c r="K20" s="201"/>
      <c r="L20" s="148"/>
      <c r="M20" s="148"/>
      <c r="N20" s="148"/>
      <c r="O20" s="148"/>
      <c r="P20" s="148"/>
      <c r="Q20" s="148"/>
      <c r="R20" s="148"/>
      <c r="S20" s="148"/>
      <c r="T20" s="148"/>
      <c r="U20" s="148"/>
      <c r="V20" s="148"/>
      <c r="W20" s="148"/>
      <c r="X20" s="148"/>
      <c r="Y20" s="182"/>
      <c r="Z20" s="152" t="str">
        <f t="shared" ca="1" si="1"/>
        <v/>
      </c>
      <c r="AA20" s="188" t="str">
        <f t="shared" ca="1" si="2"/>
        <v/>
      </c>
      <c r="AB20" s="149"/>
    </row>
    <row r="21" spans="1:28" ht="30" customHeight="1" x14ac:dyDescent="0.25">
      <c r="A21" s="79">
        <v>17</v>
      </c>
      <c r="B21" s="148"/>
      <c r="C21" s="148"/>
      <c r="D21" s="148"/>
      <c r="E21" s="148"/>
      <c r="F21" s="148"/>
      <c r="G21" s="148"/>
      <c r="H21" s="148"/>
      <c r="I21" s="265" t="str">
        <f t="shared" si="0"/>
        <v/>
      </c>
      <c r="J21" s="188"/>
      <c r="K21" s="201"/>
      <c r="L21" s="148"/>
      <c r="M21" s="148"/>
      <c r="N21" s="148"/>
      <c r="O21" s="148"/>
      <c r="P21" s="148"/>
      <c r="Q21" s="148"/>
      <c r="R21" s="148"/>
      <c r="S21" s="148"/>
      <c r="T21" s="148"/>
      <c r="U21" s="148"/>
      <c r="V21" s="148"/>
      <c r="W21" s="148"/>
      <c r="X21" s="148"/>
      <c r="Y21" s="182"/>
      <c r="Z21" s="152" t="str">
        <f t="shared" ca="1" si="1"/>
        <v/>
      </c>
      <c r="AA21" s="188" t="str">
        <f t="shared" ca="1" si="2"/>
        <v/>
      </c>
      <c r="AB21" s="149"/>
    </row>
    <row r="22" spans="1:28" ht="30" customHeight="1" x14ac:dyDescent="0.25">
      <c r="A22" s="79">
        <v>18</v>
      </c>
      <c r="B22" s="148"/>
      <c r="C22" s="148"/>
      <c r="D22" s="148"/>
      <c r="E22" s="148"/>
      <c r="F22" s="148"/>
      <c r="G22" s="148"/>
      <c r="H22" s="148"/>
      <c r="I22" s="265" t="str">
        <f t="shared" si="0"/>
        <v/>
      </c>
      <c r="J22" s="188"/>
      <c r="K22" s="201"/>
      <c r="L22" s="148"/>
      <c r="M22" s="148"/>
      <c r="N22" s="148"/>
      <c r="O22" s="148"/>
      <c r="P22" s="148"/>
      <c r="Q22" s="148"/>
      <c r="R22" s="148"/>
      <c r="S22" s="148"/>
      <c r="T22" s="148"/>
      <c r="U22" s="148"/>
      <c r="V22" s="148"/>
      <c r="W22" s="148"/>
      <c r="X22" s="148"/>
      <c r="Y22" s="182"/>
      <c r="Z22" s="152" t="str">
        <f t="shared" ca="1" si="1"/>
        <v/>
      </c>
      <c r="AA22" s="188" t="str">
        <f t="shared" ca="1" si="2"/>
        <v/>
      </c>
      <c r="AB22" s="149"/>
    </row>
    <row r="23" spans="1:28" ht="30" customHeight="1" x14ac:dyDescent="0.25">
      <c r="A23" s="79">
        <v>19</v>
      </c>
      <c r="B23" s="148"/>
      <c r="C23" s="148"/>
      <c r="D23" s="148"/>
      <c r="E23" s="148"/>
      <c r="F23" s="148"/>
      <c r="G23" s="148"/>
      <c r="H23" s="148"/>
      <c r="I23" s="265" t="str">
        <f t="shared" si="0"/>
        <v/>
      </c>
      <c r="J23" s="188"/>
      <c r="K23" s="201"/>
      <c r="L23" s="148"/>
      <c r="M23" s="148"/>
      <c r="N23" s="148"/>
      <c r="O23" s="148"/>
      <c r="P23" s="148"/>
      <c r="Q23" s="148"/>
      <c r="R23" s="148"/>
      <c r="S23" s="148"/>
      <c r="T23" s="148"/>
      <c r="U23" s="148"/>
      <c r="V23" s="148"/>
      <c r="W23" s="148"/>
      <c r="X23" s="148"/>
      <c r="Y23" s="182"/>
      <c r="Z23" s="152" t="str">
        <f t="shared" ca="1" si="1"/>
        <v/>
      </c>
      <c r="AA23" s="188" t="str">
        <f t="shared" ca="1" si="2"/>
        <v/>
      </c>
      <c r="AB23" s="149"/>
    </row>
    <row r="24" spans="1:28" ht="30" customHeight="1" x14ac:dyDescent="0.25">
      <c r="A24" s="79">
        <v>20</v>
      </c>
      <c r="B24" s="148"/>
      <c r="C24" s="148"/>
      <c r="D24" s="148"/>
      <c r="E24" s="148"/>
      <c r="F24" s="148"/>
      <c r="G24" s="148"/>
      <c r="H24" s="148"/>
      <c r="I24" s="265" t="str">
        <f t="shared" si="0"/>
        <v/>
      </c>
      <c r="J24" s="188"/>
      <c r="K24" s="201"/>
      <c r="L24" s="148"/>
      <c r="M24" s="148"/>
      <c r="N24" s="148"/>
      <c r="O24" s="148"/>
      <c r="P24" s="148"/>
      <c r="Q24" s="148"/>
      <c r="R24" s="148"/>
      <c r="S24" s="148"/>
      <c r="T24" s="148"/>
      <c r="U24" s="148"/>
      <c r="V24" s="148"/>
      <c r="W24" s="148"/>
      <c r="X24" s="148"/>
      <c r="Y24" s="182"/>
      <c r="Z24" s="152" t="str">
        <f t="shared" ca="1" si="1"/>
        <v/>
      </c>
      <c r="AA24" s="188" t="str">
        <f t="shared" ca="1" si="2"/>
        <v/>
      </c>
      <c r="AB24" s="149"/>
    </row>
    <row r="25" spans="1:28" ht="30" customHeight="1" x14ac:dyDescent="0.25">
      <c r="A25" s="79">
        <v>21</v>
      </c>
      <c r="B25" s="148"/>
      <c r="C25" s="148"/>
      <c r="D25" s="148"/>
      <c r="E25" s="148"/>
      <c r="F25" s="148"/>
      <c r="G25" s="148"/>
      <c r="H25" s="148"/>
      <c r="I25" s="265" t="str">
        <f t="shared" si="0"/>
        <v/>
      </c>
      <c r="J25" s="188"/>
      <c r="K25" s="201"/>
      <c r="L25" s="148"/>
      <c r="M25" s="148"/>
      <c r="N25" s="148"/>
      <c r="O25" s="148"/>
      <c r="P25" s="148"/>
      <c r="Q25" s="148"/>
      <c r="R25" s="148"/>
      <c r="S25" s="148"/>
      <c r="T25" s="148"/>
      <c r="U25" s="148"/>
      <c r="V25" s="148"/>
      <c r="W25" s="148"/>
      <c r="X25" s="148"/>
      <c r="Y25" s="182"/>
      <c r="Z25" s="152" t="str">
        <f t="shared" ca="1" si="1"/>
        <v/>
      </c>
      <c r="AA25" s="188" t="str">
        <f t="shared" ca="1" si="2"/>
        <v/>
      </c>
      <c r="AB25" s="149"/>
    </row>
    <row r="26" spans="1:28" ht="30" customHeight="1" x14ac:dyDescent="0.25">
      <c r="A26" s="79">
        <v>22</v>
      </c>
      <c r="B26" s="148"/>
      <c r="C26" s="148"/>
      <c r="D26" s="148"/>
      <c r="E26" s="148"/>
      <c r="F26" s="148"/>
      <c r="G26" s="148"/>
      <c r="H26" s="148"/>
      <c r="I26" s="265" t="str">
        <f t="shared" si="0"/>
        <v/>
      </c>
      <c r="J26" s="188"/>
      <c r="K26" s="201"/>
      <c r="L26" s="148"/>
      <c r="M26" s="148"/>
      <c r="N26" s="148"/>
      <c r="O26" s="148"/>
      <c r="P26" s="148"/>
      <c r="Q26" s="148"/>
      <c r="R26" s="148"/>
      <c r="S26" s="148"/>
      <c r="T26" s="148"/>
      <c r="U26" s="148"/>
      <c r="V26" s="148"/>
      <c r="W26" s="148"/>
      <c r="X26" s="148"/>
      <c r="Y26" s="182"/>
      <c r="Z26" s="152" t="str">
        <f t="shared" ca="1" si="1"/>
        <v/>
      </c>
      <c r="AA26" s="188" t="str">
        <f t="shared" ca="1" si="2"/>
        <v/>
      </c>
      <c r="AB26" s="149"/>
    </row>
    <row r="27" spans="1:28" ht="30" customHeight="1" x14ac:dyDescent="0.25">
      <c r="A27" s="79">
        <v>23</v>
      </c>
      <c r="B27" s="148"/>
      <c r="C27" s="148"/>
      <c r="D27" s="148"/>
      <c r="E27" s="148"/>
      <c r="F27" s="148"/>
      <c r="G27" s="148"/>
      <c r="H27" s="148"/>
      <c r="I27" s="265" t="str">
        <f t="shared" si="0"/>
        <v/>
      </c>
      <c r="J27" s="188"/>
      <c r="K27" s="201"/>
      <c r="L27" s="148"/>
      <c r="M27" s="148"/>
      <c r="N27" s="148"/>
      <c r="O27" s="148"/>
      <c r="P27" s="148"/>
      <c r="Q27" s="148"/>
      <c r="R27" s="148"/>
      <c r="S27" s="148"/>
      <c r="T27" s="148"/>
      <c r="U27" s="148"/>
      <c r="V27" s="148"/>
      <c r="W27" s="148"/>
      <c r="X27" s="148"/>
      <c r="Y27" s="182"/>
      <c r="Z27" s="152" t="str">
        <f t="shared" ca="1" si="1"/>
        <v/>
      </c>
      <c r="AA27" s="188" t="str">
        <f t="shared" ca="1" si="2"/>
        <v/>
      </c>
      <c r="AB27" s="149"/>
    </row>
    <row r="28" spans="1:28" ht="30" customHeight="1" x14ac:dyDescent="0.25">
      <c r="A28" s="79">
        <v>24</v>
      </c>
      <c r="B28" s="148"/>
      <c r="C28" s="148"/>
      <c r="D28" s="148"/>
      <c r="E28" s="148"/>
      <c r="F28" s="148"/>
      <c r="G28" s="148"/>
      <c r="H28" s="148"/>
      <c r="I28" s="265" t="str">
        <f t="shared" si="0"/>
        <v/>
      </c>
      <c r="J28" s="188"/>
      <c r="K28" s="201"/>
      <c r="L28" s="148"/>
      <c r="M28" s="148"/>
      <c r="N28" s="148"/>
      <c r="O28" s="148"/>
      <c r="P28" s="148"/>
      <c r="Q28" s="148"/>
      <c r="R28" s="148"/>
      <c r="S28" s="148"/>
      <c r="T28" s="148"/>
      <c r="U28" s="148"/>
      <c r="V28" s="148"/>
      <c r="W28" s="148"/>
      <c r="X28" s="148"/>
      <c r="Y28" s="182"/>
      <c r="Z28" s="152" t="str">
        <f t="shared" ca="1" si="1"/>
        <v/>
      </c>
      <c r="AA28" s="188" t="str">
        <f t="shared" ca="1" si="2"/>
        <v/>
      </c>
      <c r="AB28" s="149"/>
    </row>
    <row r="29" spans="1:28" ht="30" customHeight="1" x14ac:dyDescent="0.25">
      <c r="A29" s="79">
        <v>25</v>
      </c>
      <c r="B29" s="148"/>
      <c r="C29" s="148"/>
      <c r="D29" s="148"/>
      <c r="E29" s="148"/>
      <c r="F29" s="148"/>
      <c r="G29" s="148"/>
      <c r="H29" s="148"/>
      <c r="I29" s="265" t="str">
        <f t="shared" si="0"/>
        <v/>
      </c>
      <c r="J29" s="188"/>
      <c r="K29" s="201"/>
      <c r="L29" s="148"/>
      <c r="M29" s="148"/>
      <c r="N29" s="148"/>
      <c r="O29" s="148"/>
      <c r="P29" s="148"/>
      <c r="Q29" s="148"/>
      <c r="R29" s="148"/>
      <c r="S29" s="148"/>
      <c r="T29" s="148"/>
      <c r="U29" s="148"/>
      <c r="V29" s="148"/>
      <c r="W29" s="148"/>
      <c r="X29" s="148"/>
      <c r="Y29" s="182"/>
      <c r="Z29" s="152" t="str">
        <f t="shared" ca="1" si="1"/>
        <v/>
      </c>
      <c r="AA29" s="188" t="str">
        <f t="shared" ca="1" si="2"/>
        <v/>
      </c>
      <c r="AB29" s="149"/>
    </row>
    <row r="30" spans="1:28" ht="30" customHeight="1" x14ac:dyDescent="0.25">
      <c r="A30" s="79">
        <v>26</v>
      </c>
      <c r="B30" s="148"/>
      <c r="C30" s="148"/>
      <c r="D30" s="148"/>
      <c r="E30" s="148"/>
      <c r="F30" s="148"/>
      <c r="G30" s="148"/>
      <c r="H30" s="148"/>
      <c r="I30" s="265" t="str">
        <f t="shared" si="0"/>
        <v/>
      </c>
      <c r="J30" s="188"/>
      <c r="K30" s="201"/>
      <c r="L30" s="148"/>
      <c r="M30" s="148"/>
      <c r="N30" s="148"/>
      <c r="O30" s="148"/>
      <c r="P30" s="148"/>
      <c r="Q30" s="148"/>
      <c r="R30" s="148"/>
      <c r="S30" s="148"/>
      <c r="T30" s="148"/>
      <c r="U30" s="148"/>
      <c r="V30" s="148"/>
      <c r="W30" s="148"/>
      <c r="X30" s="148"/>
      <c r="Y30" s="182"/>
      <c r="Z30" s="152" t="str">
        <f t="shared" ca="1" si="1"/>
        <v/>
      </c>
      <c r="AA30" s="188" t="str">
        <f t="shared" ca="1" si="2"/>
        <v/>
      </c>
      <c r="AB30" s="149"/>
    </row>
    <row r="31" spans="1:28" ht="30" customHeight="1" x14ac:dyDescent="0.25">
      <c r="A31" s="79">
        <v>27</v>
      </c>
      <c r="B31" s="148"/>
      <c r="C31" s="148"/>
      <c r="D31" s="148"/>
      <c r="E31" s="148"/>
      <c r="F31" s="148"/>
      <c r="G31" s="148"/>
      <c r="H31" s="148"/>
      <c r="I31" s="265" t="str">
        <f t="shared" si="0"/>
        <v/>
      </c>
      <c r="J31" s="188"/>
      <c r="K31" s="201"/>
      <c r="L31" s="148"/>
      <c r="M31" s="148"/>
      <c r="N31" s="148"/>
      <c r="O31" s="148"/>
      <c r="P31" s="148"/>
      <c r="Q31" s="148"/>
      <c r="R31" s="148"/>
      <c r="S31" s="148"/>
      <c r="T31" s="148"/>
      <c r="U31" s="148"/>
      <c r="V31" s="148"/>
      <c r="W31" s="148"/>
      <c r="X31" s="148"/>
      <c r="Y31" s="182"/>
      <c r="Z31" s="152" t="str">
        <f t="shared" ca="1" si="1"/>
        <v/>
      </c>
      <c r="AA31" s="188" t="str">
        <f t="shared" ca="1" si="2"/>
        <v/>
      </c>
      <c r="AB31" s="149"/>
    </row>
    <row r="32" spans="1:28" ht="30" customHeight="1" x14ac:dyDescent="0.25">
      <c r="A32" s="79">
        <v>28</v>
      </c>
      <c r="B32" s="148"/>
      <c r="C32" s="148"/>
      <c r="D32" s="148"/>
      <c r="E32" s="148"/>
      <c r="F32" s="148"/>
      <c r="G32" s="148"/>
      <c r="H32" s="148"/>
      <c r="I32" s="147" t="str">
        <f t="shared" si="0"/>
        <v/>
      </c>
      <c r="J32" s="188"/>
      <c r="K32" s="201"/>
      <c r="L32" s="148"/>
      <c r="M32" s="148"/>
      <c r="N32" s="148"/>
      <c r="O32" s="148"/>
      <c r="P32" s="148"/>
      <c r="Q32" s="148"/>
      <c r="R32" s="148"/>
      <c r="S32" s="148"/>
      <c r="T32" s="148"/>
      <c r="U32" s="148"/>
      <c r="V32" s="148"/>
      <c r="W32" s="148"/>
      <c r="X32" s="148"/>
      <c r="Y32" s="182"/>
      <c r="Z32" s="152" t="str">
        <f t="shared" ca="1" si="1"/>
        <v/>
      </c>
      <c r="AA32" s="188" t="str">
        <f t="shared" ca="1" si="2"/>
        <v/>
      </c>
      <c r="AB32" s="149"/>
    </row>
    <row r="33" spans="1:28" ht="30" customHeight="1" x14ac:dyDescent="0.25">
      <c r="A33" s="79">
        <v>29</v>
      </c>
      <c r="B33" s="148"/>
      <c r="C33" s="148"/>
      <c r="D33" s="148"/>
      <c r="E33" s="148"/>
      <c r="F33" s="148"/>
      <c r="G33" s="148"/>
      <c r="H33" s="148"/>
      <c r="I33" s="147" t="str">
        <f t="shared" si="0"/>
        <v/>
      </c>
      <c r="J33" s="188"/>
      <c r="K33" s="201"/>
      <c r="L33" s="148"/>
      <c r="M33" s="148"/>
      <c r="N33" s="148"/>
      <c r="O33" s="148"/>
      <c r="P33" s="148"/>
      <c r="Q33" s="148"/>
      <c r="R33" s="148"/>
      <c r="S33" s="148"/>
      <c r="T33" s="148"/>
      <c r="U33" s="148"/>
      <c r="V33" s="148"/>
      <c r="W33" s="148"/>
      <c r="X33" s="148"/>
      <c r="Y33" s="182"/>
      <c r="Z33" s="152" t="str">
        <f t="shared" ca="1" si="1"/>
        <v/>
      </c>
      <c r="AA33" s="188" t="str">
        <f t="shared" ca="1" si="2"/>
        <v/>
      </c>
      <c r="AB33" s="149"/>
    </row>
    <row r="34" spans="1:28" ht="30" customHeight="1" thickBot="1" x14ac:dyDescent="0.3">
      <c r="A34" s="102">
        <v>30</v>
      </c>
      <c r="B34" s="150"/>
      <c r="C34" s="150"/>
      <c r="D34" s="150"/>
      <c r="E34" s="150"/>
      <c r="F34" s="150"/>
      <c r="G34" s="150"/>
      <c r="H34" s="150"/>
      <c r="I34" s="263" t="str">
        <f t="shared" si="0"/>
        <v/>
      </c>
      <c r="J34" s="189"/>
      <c r="K34" s="202"/>
      <c r="L34" s="150"/>
      <c r="M34" s="150"/>
      <c r="N34" s="150"/>
      <c r="O34" s="150"/>
      <c r="P34" s="150"/>
      <c r="Q34" s="150"/>
      <c r="R34" s="150"/>
      <c r="S34" s="150"/>
      <c r="T34" s="150"/>
      <c r="U34" s="150"/>
      <c r="V34" s="150"/>
      <c r="W34" s="150"/>
      <c r="X34" s="150"/>
      <c r="Y34" s="186"/>
      <c r="Z34" s="152" t="str">
        <f t="shared" ca="1" si="1"/>
        <v/>
      </c>
      <c r="AA34" s="189" t="str">
        <f t="shared" ca="1" si="2"/>
        <v/>
      </c>
      <c r="AB34" s="151"/>
    </row>
    <row r="35" spans="1:28" hidden="1" x14ac:dyDescent="0.25">
      <c r="B35" s="106">
        <f>COUNTA(B5:B34)</f>
        <v>0</v>
      </c>
      <c r="E35" s="180"/>
      <c r="L35" s="106">
        <f>COUNTA(L5:L34)</f>
        <v>0</v>
      </c>
    </row>
  </sheetData>
  <mergeCells count="14">
    <mergeCell ref="A1:AB1"/>
    <mergeCell ref="AB2:AB4"/>
    <mergeCell ref="Z2:Z4"/>
    <mergeCell ref="AA2:AA4"/>
    <mergeCell ref="A2:A4"/>
    <mergeCell ref="B2:B4"/>
    <mergeCell ref="C2:C4"/>
    <mergeCell ref="D2:D4"/>
    <mergeCell ref="E2:E4"/>
    <mergeCell ref="F2:F4"/>
    <mergeCell ref="H2:H4"/>
    <mergeCell ref="K2:Y2"/>
    <mergeCell ref="I2:J3"/>
    <mergeCell ref="G2:G4"/>
  </mergeCells>
  <conditionalFormatting sqref="Q5:Q34 W5:Y34">
    <cfRule type="expression" dxfId="8" priority="15">
      <formula>$E5="Technicien"</formula>
    </cfRule>
  </conditionalFormatting>
  <conditionalFormatting sqref="L5:O34 Q5:Q34 S5:Y34">
    <cfRule type="expression" dxfId="7" priority="13">
      <formula>$E5="Commercial"</formula>
    </cfRule>
  </conditionalFormatting>
  <conditionalFormatting sqref="X5:Y34 U5:U34 L5:L34">
    <cfRule type="expression" dxfId="6" priority="12">
      <formula>$E5="Encadrant"</formula>
    </cfRule>
  </conditionalFormatting>
  <conditionalFormatting sqref="L5:O34 S5:V34 X5:Y34">
    <cfRule type="expression" dxfId="5" priority="9">
      <formula>$E5="Directeur d'Agence"</formula>
    </cfRule>
  </conditionalFormatting>
  <conditionalFormatting sqref="L5:O34 Q5:W34">
    <cfRule type="expression" dxfId="4" priority="8">
      <formula>$E5="Gestionnaire de stocks"</formula>
    </cfRule>
  </conditionalFormatting>
  <conditionalFormatting sqref="L5:W34 Y5:Y34">
    <cfRule type="expression" dxfId="3" priority="7">
      <formula>$E5="Administratif"</formula>
    </cfRule>
  </conditionalFormatting>
  <conditionalFormatting sqref="AA5:AA34">
    <cfRule type="expression" dxfId="2" priority="6">
      <formula>$AB5&lt;&gt;0</formula>
    </cfRule>
  </conditionalFormatting>
  <conditionalFormatting sqref="I5:I34">
    <cfRule type="expression" dxfId="1" priority="1">
      <formula>$J5&lt;&gt;""</formula>
    </cfRule>
    <cfRule type="expression" dxfId="0" priority="2">
      <formula>$I5&gt;$B5</formula>
    </cfRule>
  </conditionalFormatting>
  <hyperlinks>
    <hyperlink ref="G2:G4" r:id="rId1" display="Fiche de recensement des besoins"/>
  </hyperlinks>
  <pageMargins left="0.7" right="0.7" top="0.75" bottom="0.75" header="0.3" footer="0.3"/>
  <pageSetup paperSize="9" orientation="portrait" r:id="rId2"/>
  <ignoredErrors>
    <ignoredError sqref="I7" unlockedFormula="1"/>
  </ignoredErrors>
  <drawing r:id="rId3"/>
  <legacyDrawing r:id="rId4"/>
  <extLst>
    <ext xmlns:x14="http://schemas.microsoft.com/office/spreadsheetml/2009/9/main" uri="{CCE6A557-97BC-4b89-ADB6-D9C93CAAB3DF}">
      <x14:dataValidations xmlns:xm="http://schemas.microsoft.com/office/excel/2006/main" count="2">
        <x14:dataValidation type="list" allowBlank="1" showInputMessage="1">
          <x14:formula1>
            <xm:f>'Données (ne pas toucher)'!$G$2:$G$6</xm:f>
          </x14:formula1>
          <xm:sqref>F5:F34</xm:sqref>
        </x14:dataValidation>
        <x14:dataValidation type="list" allowBlank="1" showInputMessage="1">
          <x14:formula1>
            <xm:f>'Données (ne pas toucher)'!$A$14:$A$19</xm:f>
          </x14:formula1>
          <xm:sqref>E5:E35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J21"/>
  <sheetViews>
    <sheetView workbookViewId="0">
      <selection activeCell="E24" sqref="E24"/>
    </sheetView>
  </sheetViews>
  <sheetFormatPr baseColWidth="10" defaultColWidth="11.42578125" defaultRowHeight="15" x14ac:dyDescent="0.25"/>
  <cols>
    <col min="1" max="1" width="3.140625" style="1" bestFit="1" customWidth="1"/>
    <col min="2" max="2" width="12.85546875" style="106" customWidth="1"/>
    <col min="3" max="3" width="23.85546875" style="1" customWidth="1"/>
    <col min="4" max="4" width="17.5703125" style="106" customWidth="1"/>
    <col min="5" max="5" width="32.85546875" style="1" customWidth="1"/>
    <col min="6" max="6" width="27.140625" style="1" customWidth="1"/>
    <col min="7" max="9" width="11.42578125" style="1"/>
    <col min="10" max="10" width="40.5703125" style="1" customWidth="1"/>
    <col min="11" max="16384" width="11.42578125" style="1"/>
  </cols>
  <sheetData>
    <row r="1" spans="1:10" ht="33.75" customHeight="1" thickBot="1" x14ac:dyDescent="0.55000000000000004">
      <c r="A1" s="638" t="s">
        <v>466</v>
      </c>
      <c r="B1" s="638"/>
      <c r="C1" s="638"/>
      <c r="D1" s="638"/>
      <c r="E1" s="638"/>
      <c r="F1" s="638"/>
      <c r="G1" s="638"/>
      <c r="H1" s="638"/>
      <c r="I1" s="638"/>
      <c r="J1" s="638"/>
    </row>
    <row r="2" spans="1:10" s="106" customFormat="1" ht="5.0999999999999996" customHeight="1" x14ac:dyDescent="0.5">
      <c r="A2" s="187"/>
      <c r="B2" s="187"/>
      <c r="C2" s="187"/>
      <c r="D2" s="187"/>
      <c r="E2" s="187"/>
      <c r="F2" s="187"/>
      <c r="G2" s="187"/>
      <c r="H2" s="187"/>
      <c r="I2" s="187"/>
    </row>
    <row r="3" spans="1:10" s="106" customFormat="1" ht="33.75" customHeight="1" x14ac:dyDescent="0.25">
      <c r="A3" s="656" t="s">
        <v>229</v>
      </c>
      <c r="B3" s="656"/>
      <c r="C3" s="657" t="s">
        <v>346</v>
      </c>
      <c r="D3" s="657"/>
      <c r="E3" s="195" t="s">
        <v>223</v>
      </c>
      <c r="F3" s="655" t="s">
        <v>226</v>
      </c>
      <c r="G3" s="655"/>
      <c r="H3" s="655"/>
      <c r="I3" s="655"/>
    </row>
    <row r="4" spans="1:10" s="106" customFormat="1" ht="39.75" customHeight="1" x14ac:dyDescent="0.5">
      <c r="A4" s="187"/>
      <c r="B4" s="187"/>
      <c r="C4" s="658" t="str">
        <f>IF(C3="Installation (Chantier)",'Données (ne pas toucher)'!J20,'Données (ne pas toucher)'!J21)</f>
        <v>3 audits niveau 1
1 audit niveau 2
Audits niveau 3 si pas assez de niveau 1 ou niveau 2</v>
      </c>
      <c r="D4" s="658"/>
      <c r="E4" s="195" t="s">
        <v>224</v>
      </c>
      <c r="F4" s="655" t="s">
        <v>227</v>
      </c>
      <c r="G4" s="655"/>
      <c r="H4" s="655"/>
      <c r="I4" s="655"/>
    </row>
    <row r="5" spans="1:10" s="106" customFormat="1" ht="19.5" customHeight="1" x14ac:dyDescent="0.5">
      <c r="A5" s="187"/>
      <c r="B5" s="187"/>
      <c r="C5" s="187"/>
      <c r="D5" s="187"/>
      <c r="E5" s="195" t="s">
        <v>225</v>
      </c>
      <c r="F5" s="655" t="s">
        <v>228</v>
      </c>
      <c r="G5" s="655"/>
      <c r="H5" s="655"/>
      <c r="I5" s="655"/>
    </row>
    <row r="6" spans="1:10" ht="5.0999999999999996" customHeight="1" thickBot="1" x14ac:dyDescent="0.55000000000000004">
      <c r="C6" s="80"/>
      <c r="D6" s="80"/>
      <c r="E6" s="80"/>
      <c r="F6" s="80"/>
      <c r="G6" s="80"/>
      <c r="H6" s="80"/>
      <c r="I6" s="80"/>
    </row>
    <row r="7" spans="1:10" ht="15" customHeight="1" x14ac:dyDescent="0.25">
      <c r="A7" s="497" t="s">
        <v>34</v>
      </c>
      <c r="B7" s="661" t="s">
        <v>100</v>
      </c>
      <c r="C7" s="661" t="s">
        <v>78</v>
      </c>
      <c r="D7" s="500" t="s">
        <v>81</v>
      </c>
      <c r="E7" s="500"/>
      <c r="F7" s="659" t="s">
        <v>72</v>
      </c>
      <c r="G7" s="497" t="s">
        <v>30</v>
      </c>
      <c r="H7" s="500"/>
      <c r="I7" s="500"/>
      <c r="J7" s="642"/>
    </row>
    <row r="8" spans="1:10" s="106" customFormat="1" ht="38.25" thickBot="1" x14ac:dyDescent="0.3">
      <c r="A8" s="499"/>
      <c r="B8" s="662"/>
      <c r="C8" s="662"/>
      <c r="D8" s="185" t="s">
        <v>221</v>
      </c>
      <c r="E8" s="185" t="s">
        <v>222</v>
      </c>
      <c r="F8" s="660"/>
      <c r="G8" s="213" t="s">
        <v>4</v>
      </c>
      <c r="H8" s="214" t="s">
        <v>39</v>
      </c>
      <c r="I8" s="214" t="s">
        <v>79</v>
      </c>
      <c r="J8" s="215" t="s">
        <v>235</v>
      </c>
    </row>
    <row r="9" spans="1:10" x14ac:dyDescent="0.25">
      <c r="A9" s="87">
        <v>1</v>
      </c>
      <c r="B9" s="210"/>
      <c r="C9" s="85"/>
      <c r="D9" s="85"/>
      <c r="E9" s="85"/>
      <c r="F9" s="92"/>
      <c r="G9" s="99"/>
      <c r="H9" s="91"/>
      <c r="I9" s="91"/>
      <c r="J9" s="196"/>
    </row>
    <row r="10" spans="1:10" x14ac:dyDescent="0.25">
      <c r="A10" s="79">
        <v>2</v>
      </c>
      <c r="B10" s="211"/>
      <c r="C10" s="83"/>
      <c r="D10" s="93"/>
      <c r="E10" s="83"/>
      <c r="F10" s="86"/>
      <c r="G10" s="100"/>
      <c r="H10" s="93"/>
      <c r="I10" s="93"/>
      <c r="J10" s="188"/>
    </row>
    <row r="11" spans="1:10" x14ac:dyDescent="0.25">
      <c r="A11" s="79">
        <v>3</v>
      </c>
      <c r="B11" s="211"/>
      <c r="C11" s="83"/>
      <c r="D11" s="93"/>
      <c r="E11" s="83"/>
      <c r="F11" s="86"/>
      <c r="G11" s="100"/>
      <c r="H11" s="93"/>
      <c r="I11" s="93"/>
      <c r="J11" s="188"/>
    </row>
    <row r="12" spans="1:10" x14ac:dyDescent="0.25">
      <c r="A12" s="79">
        <v>4</v>
      </c>
      <c r="B12" s="211"/>
      <c r="C12" s="83"/>
      <c r="D12" s="93"/>
      <c r="E12" s="83"/>
      <c r="F12" s="86"/>
      <c r="G12" s="100"/>
      <c r="H12" s="93"/>
      <c r="I12" s="93"/>
      <c r="J12" s="188"/>
    </row>
    <row r="13" spans="1:10" x14ac:dyDescent="0.25">
      <c r="A13" s="79">
        <v>5</v>
      </c>
      <c r="B13" s="211"/>
      <c r="C13" s="83"/>
      <c r="D13" s="93"/>
      <c r="E13" s="83"/>
      <c r="F13" s="86"/>
      <c r="G13" s="100"/>
      <c r="H13" s="93"/>
      <c r="I13" s="93"/>
      <c r="J13" s="188"/>
    </row>
    <row r="14" spans="1:10" x14ac:dyDescent="0.25">
      <c r="A14" s="79">
        <v>6</v>
      </c>
      <c r="B14" s="211"/>
      <c r="C14" s="83"/>
      <c r="D14" s="93"/>
      <c r="E14" s="83"/>
      <c r="F14" s="86"/>
      <c r="G14" s="100"/>
      <c r="H14" s="93"/>
      <c r="I14" s="93"/>
      <c r="J14" s="188"/>
    </row>
    <row r="15" spans="1:10" x14ac:dyDescent="0.25">
      <c r="A15" s="79">
        <v>7</v>
      </c>
      <c r="B15" s="211"/>
      <c r="C15" s="83"/>
      <c r="D15" s="93"/>
      <c r="E15" s="83"/>
      <c r="F15" s="86"/>
      <c r="G15" s="100"/>
      <c r="H15" s="93"/>
      <c r="I15" s="93"/>
      <c r="J15" s="188"/>
    </row>
    <row r="16" spans="1:10" x14ac:dyDescent="0.25">
      <c r="A16" s="79">
        <v>8</v>
      </c>
      <c r="B16" s="211"/>
      <c r="C16" s="83"/>
      <c r="D16" s="93"/>
      <c r="E16" s="83"/>
      <c r="F16" s="86"/>
      <c r="G16" s="101"/>
      <c r="H16" s="93"/>
      <c r="I16" s="93"/>
      <c r="J16" s="188"/>
    </row>
    <row r="17" spans="1:10" x14ac:dyDescent="0.25">
      <c r="A17" s="79">
        <v>9</v>
      </c>
      <c r="B17" s="211"/>
      <c r="C17" s="83"/>
      <c r="D17" s="93"/>
      <c r="E17" s="83"/>
      <c r="F17" s="86"/>
      <c r="G17" s="95"/>
      <c r="H17" s="93"/>
      <c r="I17" s="93"/>
      <c r="J17" s="188"/>
    </row>
    <row r="18" spans="1:10" x14ac:dyDescent="0.25">
      <c r="A18" s="79">
        <v>10</v>
      </c>
      <c r="B18" s="211"/>
      <c r="C18" s="83"/>
      <c r="D18" s="93"/>
      <c r="E18" s="83"/>
      <c r="F18" s="86"/>
      <c r="G18" s="100"/>
      <c r="H18" s="93"/>
      <c r="I18" s="93"/>
      <c r="J18" s="188"/>
    </row>
    <row r="19" spans="1:10" x14ac:dyDescent="0.25">
      <c r="A19" s="79">
        <v>11</v>
      </c>
      <c r="B19" s="211"/>
      <c r="C19" s="83"/>
      <c r="D19" s="93"/>
      <c r="E19" s="83"/>
      <c r="F19" s="86"/>
      <c r="G19" s="95"/>
      <c r="H19" s="93"/>
      <c r="I19" s="93"/>
      <c r="J19" s="188"/>
    </row>
    <row r="20" spans="1:10" ht="15.75" thickBot="1" x14ac:dyDescent="0.3">
      <c r="A20" s="78">
        <v>12</v>
      </c>
      <c r="B20" s="212"/>
      <c r="C20" s="84"/>
      <c r="D20" s="94"/>
      <c r="E20" s="84"/>
      <c r="F20" s="90"/>
      <c r="G20" s="96"/>
      <c r="H20" s="94"/>
      <c r="I20" s="94"/>
      <c r="J20" s="189"/>
    </row>
    <row r="21" spans="1:10" hidden="1" x14ac:dyDescent="0.25">
      <c r="G21" s="1">
        <f>COUNTA(G9:G20)</f>
        <v>0</v>
      </c>
    </row>
  </sheetData>
  <mergeCells count="13">
    <mergeCell ref="G7:J7"/>
    <mergeCell ref="A1:J1"/>
    <mergeCell ref="F3:I3"/>
    <mergeCell ref="F4:I4"/>
    <mergeCell ref="F5:I5"/>
    <mergeCell ref="A3:B3"/>
    <mergeCell ref="C3:D3"/>
    <mergeCell ref="C4:D4"/>
    <mergeCell ref="D7:E7"/>
    <mergeCell ref="F7:F8"/>
    <mergeCell ref="C7:C8"/>
    <mergeCell ref="A7:A8"/>
    <mergeCell ref="B7:B8"/>
  </mergeCells>
  <phoneticPr fontId="0" type="noConversion"/>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x14:formula1>
            <xm:f>'Données (ne pas toucher)'!$H$14:$H$16</xm:f>
          </x14:formula1>
          <xm:sqref>D9:D20</xm:sqref>
        </x14:dataValidation>
        <x14:dataValidation type="list" allowBlank="1" showInputMessage="1">
          <x14:formula1>
            <xm:f>'Données (ne pas toucher)'!$I$14:$I$15</xm:f>
          </x14:formula1>
          <xm:sqref>C3:D3</xm:sqref>
        </x14:dataValidation>
        <x14:dataValidation type="list" allowBlank="1" showInputMessage="1">
          <x14:formula1>
            <xm:f>'Données (ne pas toucher)'!$I$2:$I$4</xm:f>
          </x14:formula1>
          <xm:sqref>I9:I20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K18"/>
  <sheetViews>
    <sheetView workbookViewId="0">
      <selection activeCell="B20" sqref="B20"/>
    </sheetView>
  </sheetViews>
  <sheetFormatPr baseColWidth="10" defaultColWidth="11.42578125" defaultRowHeight="15" x14ac:dyDescent="0.25"/>
  <cols>
    <col min="1" max="1" width="3.140625" style="106" bestFit="1" customWidth="1"/>
    <col min="2" max="3" width="32.85546875" style="106" customWidth="1"/>
    <col min="4" max="4" width="12.140625" style="106" customWidth="1"/>
    <col min="5" max="5" width="6.42578125" style="106" customWidth="1"/>
    <col min="6" max="6" width="32.85546875" style="106" customWidth="1"/>
    <col min="7" max="8" width="11.42578125" style="106"/>
    <col min="9" max="9" width="18.42578125" style="106" customWidth="1"/>
    <col min="10" max="10" width="11.42578125" style="106"/>
    <col min="11" max="11" width="40.5703125" style="106" customWidth="1"/>
    <col min="12" max="16384" width="11.42578125" style="106"/>
  </cols>
  <sheetData>
    <row r="1" spans="1:11" ht="33.75" customHeight="1" thickBot="1" x14ac:dyDescent="0.4">
      <c r="A1" s="663" t="s">
        <v>192</v>
      </c>
      <c r="B1" s="663"/>
      <c r="C1" s="663"/>
      <c r="D1" s="663"/>
      <c r="E1" s="663"/>
      <c r="F1" s="663"/>
      <c r="G1" s="663"/>
      <c r="H1" s="663"/>
      <c r="I1" s="663"/>
      <c r="J1" s="663"/>
      <c r="K1" s="663"/>
    </row>
    <row r="2" spans="1:11" ht="15" customHeight="1" x14ac:dyDescent="0.5">
      <c r="B2" s="80"/>
      <c r="C2" s="80"/>
      <c r="D2" s="80"/>
      <c r="E2" s="80"/>
      <c r="F2" s="80"/>
      <c r="G2" s="80"/>
      <c r="H2" s="80"/>
      <c r="I2" s="80"/>
      <c r="J2" s="80"/>
    </row>
    <row r="3" spans="1:11" ht="15" customHeight="1" thickBot="1" x14ac:dyDescent="0.3">
      <c r="A3" s="469" t="s">
        <v>451</v>
      </c>
      <c r="B3" s="469"/>
      <c r="C3" s="469"/>
      <c r="D3" s="469"/>
      <c r="E3" s="469"/>
      <c r="F3" s="469"/>
      <c r="G3" s="469"/>
      <c r="H3" s="469"/>
      <c r="I3" s="469"/>
      <c r="J3" s="469"/>
    </row>
    <row r="4" spans="1:11" x14ac:dyDescent="0.25">
      <c r="A4" s="497" t="s">
        <v>34</v>
      </c>
      <c r="B4" s="500" t="s">
        <v>72</v>
      </c>
      <c r="C4" s="500" t="s">
        <v>193</v>
      </c>
      <c r="D4" s="661" t="s">
        <v>194</v>
      </c>
      <c r="E4" s="500" t="s">
        <v>195</v>
      </c>
      <c r="F4" s="659"/>
      <c r="G4" s="497" t="s">
        <v>30</v>
      </c>
      <c r="H4" s="500"/>
      <c r="I4" s="500"/>
      <c r="J4" s="500"/>
      <c r="K4" s="642"/>
    </row>
    <row r="5" spans="1:11" ht="26.25" thickBot="1" x14ac:dyDescent="0.3">
      <c r="A5" s="499"/>
      <c r="B5" s="502"/>
      <c r="C5" s="502"/>
      <c r="D5" s="662"/>
      <c r="E5" s="89" t="s">
        <v>8</v>
      </c>
      <c r="F5" s="179" t="s">
        <v>196</v>
      </c>
      <c r="G5" s="97" t="s">
        <v>4</v>
      </c>
      <c r="H5" s="89" t="s">
        <v>39</v>
      </c>
      <c r="I5" s="89" t="s">
        <v>197</v>
      </c>
      <c r="J5" s="89" t="s">
        <v>79</v>
      </c>
      <c r="K5" s="98" t="s">
        <v>235</v>
      </c>
    </row>
    <row r="6" spans="1:11" x14ac:dyDescent="0.25">
      <c r="A6" s="77">
        <v>1</v>
      </c>
      <c r="B6" s="91"/>
      <c r="C6" s="91"/>
      <c r="D6" s="91"/>
      <c r="E6" s="91"/>
      <c r="F6" s="178"/>
      <c r="G6" s="194"/>
      <c r="H6" s="85"/>
      <c r="I6" s="85"/>
      <c r="J6" s="85"/>
      <c r="K6" s="191"/>
    </row>
    <row r="7" spans="1:11" x14ac:dyDescent="0.25">
      <c r="A7" s="79">
        <v>2</v>
      </c>
      <c r="B7" s="93"/>
      <c r="C7" s="93"/>
      <c r="D7" s="93"/>
      <c r="E7" s="93"/>
      <c r="F7" s="86"/>
      <c r="G7" s="100"/>
      <c r="H7" s="93"/>
      <c r="I7" s="93"/>
      <c r="J7" s="93"/>
      <c r="K7" s="188"/>
    </row>
    <row r="8" spans="1:11" x14ac:dyDescent="0.25">
      <c r="A8" s="79">
        <v>3</v>
      </c>
      <c r="B8" s="93"/>
      <c r="C8" s="93"/>
      <c r="D8" s="93"/>
      <c r="E8" s="93"/>
      <c r="F8" s="86"/>
      <c r="G8" s="100"/>
      <c r="H8" s="93"/>
      <c r="I8" s="93"/>
      <c r="J8" s="93"/>
      <c r="K8" s="188"/>
    </row>
    <row r="9" spans="1:11" x14ac:dyDescent="0.25">
      <c r="A9" s="79">
        <v>4</v>
      </c>
      <c r="B9" s="93"/>
      <c r="C9" s="93"/>
      <c r="D9" s="93"/>
      <c r="E9" s="93"/>
      <c r="F9" s="86"/>
      <c r="G9" s="100"/>
      <c r="H9" s="93"/>
      <c r="I9" s="93"/>
      <c r="J9" s="93"/>
      <c r="K9" s="188"/>
    </row>
    <row r="10" spans="1:11" x14ac:dyDescent="0.25">
      <c r="A10" s="79">
        <v>5</v>
      </c>
      <c r="B10" s="93"/>
      <c r="C10" s="93"/>
      <c r="D10" s="93"/>
      <c r="E10" s="93"/>
      <c r="F10" s="86"/>
      <c r="G10" s="100"/>
      <c r="H10" s="93"/>
      <c r="I10" s="93"/>
      <c r="J10" s="93"/>
      <c r="K10" s="188"/>
    </row>
    <row r="11" spans="1:11" x14ac:dyDescent="0.25">
      <c r="A11" s="79">
        <v>6</v>
      </c>
      <c r="B11" s="93"/>
      <c r="C11" s="93"/>
      <c r="D11" s="93"/>
      <c r="E11" s="93"/>
      <c r="F11" s="86"/>
      <c r="G11" s="100"/>
      <c r="H11" s="93"/>
      <c r="I11" s="93"/>
      <c r="J11" s="93"/>
      <c r="K11" s="188"/>
    </row>
    <row r="12" spans="1:11" x14ac:dyDescent="0.25">
      <c r="A12" s="79">
        <v>7</v>
      </c>
      <c r="B12" s="93"/>
      <c r="C12" s="93"/>
      <c r="D12" s="93"/>
      <c r="E12" s="93"/>
      <c r="F12" s="86"/>
      <c r="G12" s="100"/>
      <c r="H12" s="93"/>
      <c r="I12" s="93"/>
      <c r="J12" s="93"/>
      <c r="K12" s="188"/>
    </row>
    <row r="13" spans="1:11" x14ac:dyDescent="0.25">
      <c r="A13" s="79">
        <v>8</v>
      </c>
      <c r="B13" s="93"/>
      <c r="C13" s="93"/>
      <c r="D13" s="93"/>
      <c r="E13" s="93"/>
      <c r="F13" s="86"/>
      <c r="G13" s="101"/>
      <c r="H13" s="93"/>
      <c r="I13" s="93"/>
      <c r="J13" s="93"/>
      <c r="K13" s="188"/>
    </row>
    <row r="14" spans="1:11" x14ac:dyDescent="0.25">
      <c r="A14" s="79">
        <v>9</v>
      </c>
      <c r="B14" s="93"/>
      <c r="C14" s="93"/>
      <c r="D14" s="93"/>
      <c r="E14" s="93"/>
      <c r="F14" s="86"/>
      <c r="G14" s="95"/>
      <c r="H14" s="93"/>
      <c r="I14" s="93"/>
      <c r="J14" s="93"/>
      <c r="K14" s="188"/>
    </row>
    <row r="15" spans="1:11" x14ac:dyDescent="0.25">
      <c r="A15" s="79">
        <v>10</v>
      </c>
      <c r="B15" s="93"/>
      <c r="C15" s="93"/>
      <c r="D15" s="93"/>
      <c r="E15" s="93"/>
      <c r="F15" s="86"/>
      <c r="G15" s="95"/>
      <c r="H15" s="93"/>
      <c r="I15" s="93"/>
      <c r="J15" s="93"/>
      <c r="K15" s="188"/>
    </row>
    <row r="16" spans="1:11" x14ac:dyDescent="0.25">
      <c r="A16" s="79">
        <v>11</v>
      </c>
      <c r="B16" s="93"/>
      <c r="C16" s="93"/>
      <c r="D16" s="93"/>
      <c r="E16" s="93"/>
      <c r="F16" s="86"/>
      <c r="G16" s="95"/>
      <c r="H16" s="93"/>
      <c r="I16" s="93"/>
      <c r="J16" s="93"/>
      <c r="K16" s="188"/>
    </row>
    <row r="17" spans="1:11" ht="15.75" thickBot="1" x14ac:dyDescent="0.3">
      <c r="A17" s="102">
        <v>12</v>
      </c>
      <c r="B17" s="94"/>
      <c r="C17" s="94"/>
      <c r="D17" s="94"/>
      <c r="E17" s="94"/>
      <c r="F17" s="90"/>
      <c r="G17" s="96"/>
      <c r="H17" s="94"/>
      <c r="I17" s="94"/>
      <c r="J17" s="94"/>
      <c r="K17" s="189"/>
    </row>
    <row r="18" spans="1:11" hidden="1" x14ac:dyDescent="0.25">
      <c r="G18" s="106">
        <f>COUNTA(G6:G17)</f>
        <v>0</v>
      </c>
    </row>
  </sheetData>
  <autoFilter ref="A5:J5"/>
  <mergeCells count="8">
    <mergeCell ref="A1:K1"/>
    <mergeCell ref="A4:A5"/>
    <mergeCell ref="C4:C5"/>
    <mergeCell ref="D4:D5"/>
    <mergeCell ref="B4:B5"/>
    <mergeCell ref="A3:J3"/>
    <mergeCell ref="E4:F4"/>
    <mergeCell ref="G4:K4"/>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x14:formula1>
            <xm:f>'Données (ne pas toucher)'!$L$2:$L$3</xm:f>
          </x14:formula1>
          <xm:sqref>E6:E17</xm:sqref>
        </x14:dataValidation>
        <x14:dataValidation type="list" allowBlank="1" showInputMessage="1">
          <x14:formula1>
            <xm:f>'Données (ne pas toucher)'!$I$2:$I$4</xm:f>
          </x14:formula1>
          <xm:sqref>J6:J17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tabColor rgb="FF00B0F0"/>
    <pageSetUpPr fitToPage="1"/>
  </sheetPr>
  <dimension ref="A1:AD44"/>
  <sheetViews>
    <sheetView workbookViewId="0">
      <selection sqref="A1:AD1"/>
    </sheetView>
  </sheetViews>
  <sheetFormatPr baseColWidth="10" defaultColWidth="11.42578125" defaultRowHeight="15" x14ac:dyDescent="0.25"/>
  <cols>
    <col min="1" max="2" width="4.7109375" style="1" customWidth="1"/>
    <col min="3" max="3" width="5.85546875" style="1" bestFit="1" customWidth="1"/>
    <col min="4" max="5" width="4.7109375" style="1" customWidth="1"/>
    <col min="6" max="6" width="5.28515625" style="1" customWidth="1"/>
    <col min="7" max="8" width="4.7109375" style="1" customWidth="1"/>
    <col min="9" max="9" width="5.28515625" style="1" customWidth="1"/>
    <col min="10" max="10" width="4.7109375" style="1" customWidth="1"/>
    <col min="11" max="11" width="8" style="1" customWidth="1"/>
    <col min="12" max="12" width="5.28515625" style="1" customWidth="1"/>
    <col min="13" max="14" width="4.7109375" style="1" customWidth="1"/>
    <col min="15" max="15" width="5.28515625" style="1" customWidth="1"/>
    <col min="16" max="17" width="4.7109375" style="1" customWidth="1"/>
    <col min="18" max="18" width="5.28515625" style="1" customWidth="1"/>
    <col min="19" max="20" width="4.7109375" style="1" customWidth="1"/>
    <col min="21" max="21" width="5.28515625" style="1" customWidth="1"/>
    <col min="22" max="22" width="1.7109375" style="1" customWidth="1"/>
    <col min="23" max="23" width="4.7109375" style="1" customWidth="1"/>
    <col min="24" max="24" width="5.28515625" style="1" customWidth="1"/>
    <col min="25" max="26" width="4.7109375" style="1" customWidth="1"/>
    <col min="27" max="27" width="5.28515625" style="1" customWidth="1"/>
    <col min="28" max="29" width="4.7109375" style="1" customWidth="1"/>
    <col min="30" max="30" width="5.28515625" style="1" customWidth="1"/>
    <col min="31" max="32" width="11.42578125" style="1"/>
    <col min="33" max="34" width="0" style="1" hidden="1" customWidth="1"/>
    <col min="35" max="16384" width="11.42578125" style="1"/>
  </cols>
  <sheetData>
    <row r="1" spans="1:30" ht="31.5" customHeight="1" thickBot="1" x14ac:dyDescent="0.55000000000000004">
      <c r="A1" s="664" t="e">
        <f xml:space="preserve"> "Indicateurs Qualité - " &amp;#REF!</f>
        <v>#REF!</v>
      </c>
      <c r="B1" s="664"/>
      <c r="C1" s="664"/>
      <c r="D1" s="664"/>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row>
    <row r="2" spans="1:30" ht="24" customHeight="1" thickBot="1" x14ac:dyDescent="0.55000000000000004">
      <c r="A2" s="665" t="s">
        <v>40</v>
      </c>
      <c r="B2" s="665"/>
      <c r="C2" s="666">
        <f ca="1" xml:space="preserve"> TODAY()</f>
        <v>43503</v>
      </c>
      <c r="D2" s="666"/>
      <c r="E2" s="666"/>
      <c r="F2" s="23"/>
      <c r="G2" s="23"/>
      <c r="H2" s="24"/>
      <c r="I2" s="24"/>
      <c r="J2" s="24"/>
      <c r="K2" s="24"/>
      <c r="L2" s="24"/>
      <c r="M2" s="24"/>
      <c r="N2" s="24"/>
      <c r="O2" s="24"/>
      <c r="P2" s="24"/>
      <c r="Q2" s="24"/>
      <c r="R2" s="24"/>
      <c r="S2" s="24"/>
      <c r="T2" s="667"/>
      <c r="U2" s="667"/>
      <c r="V2" s="667"/>
      <c r="W2" s="667"/>
      <c r="X2" s="667"/>
      <c r="Y2" s="667"/>
      <c r="Z2" s="667"/>
      <c r="AA2" s="667"/>
      <c r="AB2" s="667"/>
      <c r="AC2" s="667"/>
      <c r="AD2" s="667"/>
    </row>
    <row r="3" spans="1:30" ht="15.75" thickBot="1" x14ac:dyDescent="0.3"/>
    <row r="4" spans="1:30" ht="21" customHeight="1" x14ac:dyDescent="0.25">
      <c r="A4" s="676" t="s">
        <v>71</v>
      </c>
      <c r="B4" s="677"/>
      <c r="C4" s="677"/>
      <c r="D4" s="677"/>
      <c r="E4" s="677"/>
      <c r="F4" s="677"/>
      <c r="G4" s="677"/>
      <c r="H4" s="677"/>
      <c r="I4" s="677"/>
      <c r="J4" s="677"/>
      <c r="K4" s="678"/>
      <c r="L4" s="676" t="s">
        <v>49</v>
      </c>
      <c r="M4" s="677"/>
      <c r="N4" s="677"/>
      <c r="O4" s="677"/>
      <c r="P4" s="677"/>
      <c r="Q4" s="677"/>
      <c r="R4" s="677"/>
      <c r="S4" s="677"/>
      <c r="T4" s="677"/>
      <c r="U4" s="677"/>
      <c r="V4" s="677"/>
      <c r="W4" s="677"/>
      <c r="X4" s="677"/>
      <c r="Y4" s="677"/>
      <c r="Z4" s="677"/>
      <c r="AA4" s="677"/>
      <c r="AB4" s="677"/>
      <c r="AC4" s="677"/>
      <c r="AD4" s="678"/>
    </row>
    <row r="5" spans="1:30" ht="15" customHeight="1" x14ac:dyDescent="0.25">
      <c r="A5" s="668"/>
      <c r="B5" s="469"/>
      <c r="C5" s="469"/>
      <c r="D5" s="469"/>
      <c r="E5" s="469"/>
      <c r="F5" s="469"/>
      <c r="G5" s="469"/>
      <c r="H5" s="469"/>
      <c r="I5" s="469"/>
      <c r="J5" s="469"/>
      <c r="K5" s="45"/>
      <c r="L5" s="21"/>
      <c r="M5" s="29"/>
      <c r="N5" s="29"/>
      <c r="O5" s="29"/>
      <c r="P5" s="29"/>
      <c r="Q5" s="29"/>
      <c r="R5" s="29"/>
      <c r="S5" s="29"/>
      <c r="T5" s="29"/>
      <c r="U5" s="29"/>
      <c r="V5" s="29"/>
      <c r="W5" s="29"/>
      <c r="X5" s="29"/>
      <c r="Y5" s="29"/>
      <c r="Z5" s="29"/>
      <c r="AA5" s="29"/>
      <c r="AB5" s="29"/>
      <c r="AC5" s="29"/>
      <c r="AD5" s="31"/>
    </row>
    <row r="6" spans="1:30" ht="15.75" customHeight="1" x14ac:dyDescent="0.25">
      <c r="A6" s="34"/>
      <c r="B6" s="29"/>
      <c r="C6" s="29"/>
      <c r="D6" s="29"/>
      <c r="E6" s="29"/>
      <c r="F6" s="29"/>
      <c r="G6" s="29"/>
      <c r="H6" s="29"/>
      <c r="I6" s="29"/>
      <c r="J6" s="29"/>
      <c r="K6" s="31"/>
      <c r="L6" s="29"/>
      <c r="M6" s="29"/>
      <c r="N6" s="29"/>
      <c r="O6" s="29"/>
      <c r="P6" s="29"/>
      <c r="Q6" s="29"/>
      <c r="R6" s="29"/>
      <c r="S6" s="29"/>
      <c r="T6" s="29"/>
      <c r="U6" s="29"/>
      <c r="V6" s="29"/>
      <c r="W6" s="655" t="s">
        <v>41</v>
      </c>
      <c r="X6" s="655"/>
      <c r="Y6" s="655"/>
      <c r="Z6" s="655"/>
      <c r="AA6" s="655"/>
      <c r="AB6" s="655"/>
      <c r="AC6" s="655"/>
      <c r="AD6" s="675"/>
    </row>
    <row r="7" spans="1:30" ht="15" customHeight="1" x14ac:dyDescent="0.25">
      <c r="A7" s="34"/>
      <c r="B7" s="29"/>
      <c r="C7" s="29"/>
      <c r="D7" s="29"/>
      <c r="E7" s="29"/>
      <c r="F7" s="29"/>
      <c r="G7" s="29"/>
      <c r="H7" s="29"/>
      <c r="I7" s="29"/>
      <c r="J7" s="29"/>
      <c r="K7" s="31"/>
      <c r="L7" s="29"/>
      <c r="M7" s="679" t="e">
        <f>'Calcul qualite (ne pas toucher)'!F2</f>
        <v>#REF!</v>
      </c>
      <c r="N7" s="680"/>
      <c r="O7" s="29"/>
      <c r="P7" s="669" t="e">
        <f>'Calcul qualite (ne pas toucher)'!F7</f>
        <v>#REF!</v>
      </c>
      <c r="Q7" s="670"/>
      <c r="R7" s="29"/>
      <c r="S7" s="669" t="e">
        <f>'Calcul qualite (ne pas toucher)'!F5</f>
        <v>#REF!</v>
      </c>
      <c r="T7" s="670"/>
      <c r="U7" s="29"/>
      <c r="V7" s="29"/>
      <c r="W7" s="655" t="s">
        <v>42</v>
      </c>
      <c r="X7" s="655"/>
      <c r="Y7" s="655"/>
      <c r="Z7" s="655"/>
      <c r="AA7" s="655"/>
      <c r="AB7" s="655"/>
      <c r="AC7" s="655"/>
      <c r="AD7" s="675"/>
    </row>
    <row r="8" spans="1:30" ht="15" customHeight="1" x14ac:dyDescent="0.25">
      <c r="A8" s="34"/>
      <c r="B8" s="29"/>
      <c r="C8" s="29"/>
      <c r="D8" s="29"/>
      <c r="E8" s="29"/>
      <c r="F8" s="29"/>
      <c r="G8" s="29"/>
      <c r="H8" s="29"/>
      <c r="I8" s="29"/>
      <c r="J8" s="29"/>
      <c r="K8" s="31"/>
      <c r="L8" s="29"/>
      <c r="M8" s="681"/>
      <c r="N8" s="682"/>
      <c r="O8" s="29"/>
      <c r="P8" s="671"/>
      <c r="Q8" s="672"/>
      <c r="R8" s="29"/>
      <c r="S8" s="671"/>
      <c r="T8" s="672"/>
      <c r="U8" s="29"/>
      <c r="V8" s="29"/>
      <c r="W8" s="655" t="s">
        <v>48</v>
      </c>
      <c r="X8" s="655"/>
      <c r="Y8" s="655"/>
      <c r="Z8" s="655"/>
      <c r="AA8" s="655"/>
      <c r="AB8" s="655"/>
      <c r="AC8" s="655"/>
      <c r="AD8" s="675"/>
    </row>
    <row r="9" spans="1:30" ht="15" customHeight="1" x14ac:dyDescent="0.2">
      <c r="A9" s="34"/>
      <c r="B9" s="29"/>
      <c r="C9" s="29"/>
      <c r="D9" s="29"/>
      <c r="E9" s="20"/>
      <c r="F9" s="29"/>
      <c r="G9" s="29"/>
      <c r="H9" s="29"/>
      <c r="I9" s="29"/>
      <c r="J9" s="29"/>
      <c r="K9" s="31"/>
      <c r="L9" s="29"/>
      <c r="M9" s="29"/>
      <c r="N9" s="29"/>
      <c r="O9" s="29"/>
      <c r="P9" s="29"/>
      <c r="Q9" s="29"/>
      <c r="R9" s="29"/>
      <c r="S9" s="29"/>
      <c r="T9" s="29"/>
      <c r="U9" s="29"/>
      <c r="V9" s="29"/>
      <c r="W9" s="655" t="s">
        <v>43</v>
      </c>
      <c r="X9" s="655"/>
      <c r="Y9" s="655"/>
      <c r="Z9" s="655"/>
      <c r="AA9" s="655"/>
      <c r="AB9" s="655"/>
      <c r="AC9" s="655"/>
      <c r="AD9" s="675"/>
    </row>
    <row r="10" spans="1:30" ht="15" customHeight="1" x14ac:dyDescent="0.25">
      <c r="A10" s="34"/>
      <c r="B10" s="29"/>
      <c r="C10" s="29"/>
      <c r="D10" s="29"/>
      <c r="E10" s="18"/>
      <c r="F10" s="29"/>
      <c r="G10" s="29"/>
      <c r="H10" s="29"/>
      <c r="I10" s="29"/>
      <c r="J10" s="29"/>
      <c r="K10" s="31"/>
      <c r="L10" s="29"/>
      <c r="M10" s="669" t="e">
        <f>'Calcul qualite (ne pas toucher)'!F6</f>
        <v>#REF!</v>
      </c>
      <c r="N10" s="670"/>
      <c r="O10" s="29"/>
      <c r="P10" s="669" t="e">
        <f>'Calcul qualite (ne pas toucher)'!F3</f>
        <v>#REF!</v>
      </c>
      <c r="Q10" s="670"/>
      <c r="R10" s="29"/>
      <c r="S10" s="669" t="e">
        <f>'Calcul qualite (ne pas toucher)'!F4</f>
        <v>#REF!</v>
      </c>
      <c r="T10" s="670"/>
      <c r="U10" s="29"/>
      <c r="V10" s="29"/>
      <c r="W10" s="655" t="s">
        <v>44</v>
      </c>
      <c r="X10" s="655"/>
      <c r="Y10" s="655"/>
      <c r="Z10" s="655"/>
      <c r="AA10" s="655"/>
      <c r="AB10" s="655"/>
      <c r="AC10" s="655"/>
      <c r="AD10" s="675"/>
    </row>
    <row r="11" spans="1:30" ht="15" customHeight="1" x14ac:dyDescent="0.25">
      <c r="A11" s="34"/>
      <c r="B11" s="29"/>
      <c r="C11" s="29"/>
      <c r="D11" s="29"/>
      <c r="E11" s="18"/>
      <c r="F11" s="29"/>
      <c r="G11" s="29"/>
      <c r="H11" s="29"/>
      <c r="I11" s="29"/>
      <c r="J11" s="29"/>
      <c r="K11" s="31"/>
      <c r="L11" s="29"/>
      <c r="M11" s="671"/>
      <c r="N11" s="672"/>
      <c r="O11" s="29"/>
      <c r="P11" s="671"/>
      <c r="Q11" s="672"/>
      <c r="R11" s="29"/>
      <c r="S11" s="671"/>
      <c r="T11" s="672"/>
      <c r="U11" s="29"/>
      <c r="V11" s="29"/>
      <c r="W11" s="655" t="s">
        <v>45</v>
      </c>
      <c r="X11" s="655"/>
      <c r="Y11" s="655"/>
      <c r="Z11" s="655"/>
      <c r="AA11" s="655"/>
      <c r="AB11" s="655"/>
      <c r="AC11" s="655"/>
      <c r="AD11" s="675"/>
    </row>
    <row r="12" spans="1:30" x14ac:dyDescent="0.25">
      <c r="A12" s="34"/>
      <c r="B12" s="29"/>
      <c r="C12" s="29"/>
      <c r="D12" s="29"/>
      <c r="E12" s="18"/>
      <c r="F12" s="29"/>
      <c r="G12" s="29"/>
      <c r="H12" s="29"/>
      <c r="I12" s="29"/>
      <c r="J12" s="29"/>
      <c r="K12" s="31"/>
      <c r="L12" s="29"/>
      <c r="M12" s="29"/>
      <c r="N12" s="29"/>
      <c r="O12" s="29"/>
      <c r="P12" s="29"/>
      <c r="Q12" s="29"/>
      <c r="R12" s="29"/>
      <c r="S12" s="29"/>
      <c r="T12" s="29"/>
      <c r="U12" s="29"/>
      <c r="V12" s="29"/>
      <c r="W12" s="29"/>
      <c r="X12" s="29"/>
      <c r="Y12" s="29"/>
      <c r="Z12" s="29"/>
      <c r="AA12" s="29"/>
      <c r="AB12" s="29"/>
      <c r="AC12" s="29"/>
      <c r="AD12" s="31"/>
    </row>
    <row r="13" spans="1:30" x14ac:dyDescent="0.25">
      <c r="A13" s="34"/>
      <c r="B13" s="29"/>
      <c r="C13" s="29"/>
      <c r="D13" s="29"/>
      <c r="E13" s="18"/>
      <c r="F13" s="29"/>
      <c r="G13" s="29"/>
      <c r="H13" s="29"/>
      <c r="I13" s="29"/>
      <c r="J13" s="29"/>
      <c r="K13" s="31"/>
      <c r="L13" s="29"/>
      <c r="M13" s="29"/>
      <c r="N13" s="29"/>
      <c r="O13" s="29"/>
      <c r="P13" s="29"/>
      <c r="Q13" s="29"/>
      <c r="R13" s="29"/>
      <c r="S13" s="29"/>
      <c r="T13" s="29"/>
      <c r="U13" s="29"/>
      <c r="V13" s="29"/>
      <c r="W13" s="29"/>
      <c r="X13" s="29"/>
      <c r="Y13" s="29"/>
      <c r="Z13" s="29"/>
      <c r="AA13" s="29"/>
      <c r="AB13" s="29"/>
      <c r="AC13" s="29"/>
      <c r="AD13" s="31"/>
    </row>
    <row r="14" spans="1:30" x14ac:dyDescent="0.25">
      <c r="A14" s="34"/>
      <c r="B14" s="29"/>
      <c r="C14" s="29"/>
      <c r="D14" s="29"/>
      <c r="E14" s="18"/>
      <c r="F14" s="29"/>
      <c r="G14" s="20"/>
      <c r="H14" s="29"/>
      <c r="I14" s="29"/>
      <c r="J14" s="29"/>
      <c r="K14" s="31"/>
      <c r="L14" s="29"/>
      <c r="M14" s="29"/>
      <c r="N14" s="29"/>
      <c r="O14" s="29"/>
      <c r="P14" s="29"/>
      <c r="Q14" s="29"/>
      <c r="R14" s="29"/>
      <c r="S14" s="29"/>
      <c r="T14" s="29"/>
      <c r="U14" s="29"/>
      <c r="V14" s="29"/>
      <c r="W14" s="29"/>
      <c r="X14" s="29"/>
      <c r="Y14" s="29"/>
      <c r="Z14" s="29"/>
      <c r="AA14" s="29"/>
      <c r="AB14" s="29"/>
      <c r="AC14" s="29"/>
      <c r="AD14" s="31"/>
    </row>
    <row r="15" spans="1:30" ht="15.75" thickBot="1" x14ac:dyDescent="0.3">
      <c r="A15" s="25"/>
      <c r="B15" s="673"/>
      <c r="C15" s="673"/>
      <c r="D15" s="26"/>
      <c r="E15" s="674"/>
      <c r="F15" s="674"/>
      <c r="G15" s="674"/>
      <c r="H15" s="674"/>
      <c r="I15" s="7"/>
      <c r="J15" s="7"/>
      <c r="K15" s="27"/>
      <c r="L15" s="7"/>
      <c r="M15" s="7"/>
      <c r="N15" s="7"/>
      <c r="O15" s="7"/>
      <c r="P15" s="7"/>
      <c r="Q15" s="7"/>
      <c r="R15" s="7"/>
      <c r="S15" s="7"/>
      <c r="T15" s="7"/>
      <c r="U15" s="7"/>
      <c r="V15" s="7"/>
      <c r="W15" s="7"/>
      <c r="X15" s="7"/>
      <c r="Y15" s="7"/>
      <c r="Z15" s="7"/>
      <c r="AA15" s="7"/>
      <c r="AB15" s="7"/>
      <c r="AC15" s="7"/>
      <c r="AD15" s="27"/>
    </row>
    <row r="16" spans="1:30" ht="21" customHeight="1" x14ac:dyDescent="0.25">
      <c r="A16" s="676" t="s">
        <v>68</v>
      </c>
      <c r="B16" s="677"/>
      <c r="C16" s="677"/>
      <c r="D16" s="677"/>
      <c r="E16" s="677"/>
      <c r="F16" s="677"/>
      <c r="G16" s="677"/>
      <c r="H16" s="677"/>
      <c r="I16" s="677"/>
      <c r="J16" s="677"/>
      <c r="K16" s="678"/>
      <c r="L16" s="676" t="s">
        <v>69</v>
      </c>
      <c r="M16" s="677"/>
      <c r="N16" s="677"/>
      <c r="O16" s="677"/>
      <c r="P16" s="677"/>
      <c r="Q16" s="677"/>
      <c r="R16" s="677"/>
      <c r="S16" s="677"/>
      <c r="T16" s="677"/>
      <c r="U16" s="677"/>
      <c r="V16" s="677"/>
      <c r="W16" s="677"/>
      <c r="X16" s="677"/>
      <c r="Y16" s="677"/>
      <c r="Z16" s="677"/>
      <c r="AA16" s="677"/>
      <c r="AB16" s="677"/>
      <c r="AC16" s="677"/>
      <c r="AD16" s="678"/>
    </row>
    <row r="17" spans="1:30" x14ac:dyDescent="0.25">
      <c r="A17" s="74"/>
      <c r="B17" s="41"/>
      <c r="C17" s="41"/>
      <c r="D17" s="41"/>
      <c r="E17" s="18"/>
      <c r="F17" s="20"/>
      <c r="G17" s="18"/>
      <c r="H17" s="41"/>
      <c r="I17" s="41"/>
      <c r="J17" s="41"/>
      <c r="K17" s="43"/>
      <c r="L17" s="34"/>
      <c r="M17" s="29"/>
      <c r="N17" s="29"/>
      <c r="O17" s="29"/>
      <c r="P17" s="29"/>
      <c r="Q17" s="29"/>
      <c r="R17" s="29"/>
      <c r="S17" s="29"/>
      <c r="T17" s="29"/>
      <c r="U17" s="29"/>
      <c r="V17" s="29"/>
      <c r="W17" s="29"/>
      <c r="X17" s="29"/>
      <c r="Y17" s="29"/>
      <c r="Z17" s="29"/>
      <c r="AA17" s="29"/>
      <c r="AB17" s="29"/>
      <c r="AC17" s="29"/>
      <c r="AD17" s="31"/>
    </row>
    <row r="18" spans="1:30" ht="15" customHeight="1" x14ac:dyDescent="0.25">
      <c r="A18" s="40"/>
      <c r="B18" s="41"/>
      <c r="C18" s="41"/>
      <c r="D18" s="41"/>
      <c r="E18" s="41"/>
      <c r="F18" s="41"/>
      <c r="G18" s="41"/>
      <c r="H18" s="41"/>
      <c r="I18" s="41"/>
      <c r="J18" s="41"/>
      <c r="K18" s="43"/>
      <c r="L18" s="668" t="str">
        <f>'Calcul qualite (ne pas toucher)'!E18</f>
        <v>Nombre total de dysfonctionnement / Amélioration du plan</v>
      </c>
      <c r="M18" s="469"/>
      <c r="N18" s="469"/>
      <c r="O18" s="469"/>
      <c r="P18" s="469"/>
      <c r="Q18" s="469"/>
      <c r="R18" s="469"/>
      <c r="S18" s="469"/>
      <c r="T18" s="469"/>
      <c r="U18" s="469"/>
      <c r="V18" s="469"/>
      <c r="W18" s="469"/>
      <c r="X18" s="469"/>
      <c r="Y18" s="30"/>
      <c r="Z18" s="669">
        <f>'Calcul qualite (ne pas toucher)'!F18</f>
        <v>0</v>
      </c>
      <c r="AA18" s="670"/>
      <c r="AB18" s="29"/>
      <c r="AC18" s="29"/>
      <c r="AD18" s="31"/>
    </row>
    <row r="19" spans="1:30" ht="15" customHeight="1" x14ac:dyDescent="0.25">
      <c r="A19" s="40"/>
      <c r="B19" s="41"/>
      <c r="C19" s="41"/>
      <c r="D19" s="41"/>
      <c r="E19" s="18"/>
      <c r="F19" s="18"/>
      <c r="G19" s="18"/>
      <c r="H19" s="41"/>
      <c r="I19" s="41"/>
      <c r="J19" s="41"/>
      <c r="K19" s="43"/>
      <c r="L19" s="668"/>
      <c r="M19" s="469"/>
      <c r="N19" s="469"/>
      <c r="O19" s="469"/>
      <c r="P19" s="469"/>
      <c r="Q19" s="469"/>
      <c r="R19" s="469"/>
      <c r="S19" s="469"/>
      <c r="T19" s="469"/>
      <c r="U19" s="469"/>
      <c r="V19" s="469"/>
      <c r="W19" s="469"/>
      <c r="X19" s="469"/>
      <c r="Y19" s="30"/>
      <c r="Z19" s="671"/>
      <c r="AA19" s="672"/>
      <c r="AB19" s="29"/>
      <c r="AC19" s="29"/>
      <c r="AD19" s="31"/>
    </row>
    <row r="20" spans="1:30" ht="15" customHeight="1" x14ac:dyDescent="0.25">
      <c r="A20" s="40"/>
      <c r="B20" s="41"/>
      <c r="C20" s="41"/>
      <c r="D20" s="41"/>
      <c r="E20" s="41"/>
      <c r="F20" s="41"/>
      <c r="G20" s="44"/>
      <c r="H20" s="44"/>
      <c r="I20" s="44"/>
      <c r="J20" s="41"/>
      <c r="K20" s="43"/>
      <c r="L20" s="34"/>
      <c r="M20" s="29"/>
      <c r="N20" s="29"/>
      <c r="O20" s="29"/>
      <c r="P20" s="29"/>
      <c r="Q20" s="29"/>
      <c r="R20" s="29"/>
      <c r="S20" s="29"/>
      <c r="T20" s="29"/>
      <c r="U20" s="29"/>
      <c r="V20" s="30"/>
      <c r="W20" s="30"/>
      <c r="X20" s="30"/>
      <c r="Y20" s="30"/>
      <c r="Z20" s="30"/>
      <c r="AA20" s="29"/>
      <c r="AB20" s="29"/>
      <c r="AC20" s="29"/>
      <c r="AD20" s="31"/>
    </row>
    <row r="21" spans="1:30" ht="15" customHeight="1" x14ac:dyDescent="0.25">
      <c r="A21" s="40"/>
      <c r="B21" s="38"/>
      <c r="C21" s="41"/>
      <c r="D21" s="41"/>
      <c r="E21" s="38"/>
      <c r="F21" s="18"/>
      <c r="G21" s="18"/>
      <c r="H21" s="38"/>
      <c r="I21" s="41"/>
      <c r="J21" s="41"/>
      <c r="K21" s="75"/>
      <c r="L21" s="34"/>
      <c r="M21" s="29"/>
      <c r="N21" s="39"/>
      <c r="O21" s="29"/>
      <c r="P21" s="29"/>
      <c r="Q21" s="29"/>
      <c r="R21" s="29"/>
      <c r="S21" s="29"/>
      <c r="T21" s="29"/>
      <c r="U21" s="29"/>
      <c r="V21" s="29"/>
      <c r="W21" s="29"/>
      <c r="X21" s="29"/>
      <c r="Y21" s="29"/>
      <c r="Z21" s="29"/>
      <c r="AA21" s="29"/>
      <c r="AB21" s="29"/>
      <c r="AC21" s="29"/>
      <c r="AD21" s="31"/>
    </row>
    <row r="22" spans="1:30" ht="21" customHeight="1" x14ac:dyDescent="0.25">
      <c r="A22" s="40"/>
      <c r="B22" s="38"/>
      <c r="C22" s="41"/>
      <c r="D22" s="41"/>
      <c r="E22" s="38"/>
      <c r="F22" s="41"/>
      <c r="G22" s="41"/>
      <c r="H22" s="38"/>
      <c r="I22" s="41"/>
      <c r="J22" s="41"/>
      <c r="K22" s="75"/>
      <c r="L22" s="34"/>
      <c r="M22" s="29"/>
      <c r="N22" s="39"/>
      <c r="O22" s="29"/>
      <c r="P22" s="29"/>
      <c r="Q22" s="29"/>
      <c r="R22" s="29"/>
      <c r="S22" s="29"/>
      <c r="T22" s="29"/>
      <c r="U22" s="29"/>
      <c r="V22" s="29"/>
      <c r="W22" s="29"/>
      <c r="X22" s="29"/>
      <c r="Y22" s="29"/>
      <c r="Z22" s="29"/>
      <c r="AA22" s="29"/>
      <c r="AB22" s="29"/>
      <c r="AC22" s="29"/>
      <c r="AD22" s="31"/>
    </row>
    <row r="23" spans="1:30" x14ac:dyDescent="0.25">
      <c r="A23" s="40"/>
      <c r="B23" s="41"/>
      <c r="C23" s="41"/>
      <c r="D23" s="41"/>
      <c r="E23" s="41"/>
      <c r="F23" s="41"/>
      <c r="G23" s="41"/>
      <c r="H23" s="41"/>
      <c r="I23" s="41"/>
      <c r="J23" s="41"/>
      <c r="K23" s="43"/>
      <c r="L23" s="34"/>
      <c r="M23" s="29"/>
      <c r="N23" s="29"/>
      <c r="O23" s="29"/>
      <c r="P23" s="29"/>
      <c r="Q23" s="29"/>
      <c r="R23" s="29"/>
      <c r="S23" s="29"/>
      <c r="T23" s="29"/>
      <c r="U23" s="29"/>
      <c r="V23" s="29"/>
      <c r="W23" s="29"/>
      <c r="X23" s="29"/>
      <c r="Y23" s="29"/>
      <c r="Z23" s="29"/>
      <c r="AA23" s="29"/>
      <c r="AB23" s="29"/>
      <c r="AC23" s="29"/>
      <c r="AD23" s="31"/>
    </row>
    <row r="24" spans="1:30" ht="21" customHeight="1" x14ac:dyDescent="0.25">
      <c r="A24" s="40"/>
      <c r="B24" s="41"/>
      <c r="C24" s="41"/>
      <c r="D24" s="41"/>
      <c r="E24" s="41"/>
      <c r="F24" s="41"/>
      <c r="G24" s="41"/>
      <c r="H24" s="41"/>
      <c r="I24" s="41"/>
      <c r="J24" s="41"/>
      <c r="K24" s="43"/>
      <c r="L24" s="34"/>
      <c r="M24" s="29"/>
      <c r="N24" s="29"/>
      <c r="O24" s="29"/>
      <c r="P24" s="29"/>
      <c r="Q24" s="29"/>
      <c r="R24" s="29"/>
      <c r="S24" s="29"/>
      <c r="T24" s="29"/>
      <c r="U24" s="29"/>
      <c r="V24" s="29"/>
      <c r="W24" s="29"/>
      <c r="X24" s="29"/>
      <c r="Y24" s="29"/>
      <c r="Z24" s="29"/>
      <c r="AA24" s="29"/>
      <c r="AB24" s="29"/>
      <c r="AC24" s="29"/>
      <c r="AD24" s="31"/>
    </row>
    <row r="25" spans="1:30" x14ac:dyDescent="0.25">
      <c r="A25" s="40"/>
      <c r="B25" s="41"/>
      <c r="C25" s="41"/>
      <c r="D25" s="41"/>
      <c r="E25" s="41"/>
      <c r="F25" s="41"/>
      <c r="G25" s="41"/>
      <c r="H25" s="41"/>
      <c r="I25" s="41"/>
      <c r="J25" s="41"/>
      <c r="K25" s="43"/>
      <c r="L25" s="34"/>
      <c r="M25" s="29"/>
      <c r="N25" s="29"/>
      <c r="O25" s="29"/>
      <c r="P25" s="29"/>
      <c r="Q25" s="29"/>
      <c r="R25" s="29"/>
      <c r="S25" s="29"/>
      <c r="T25" s="29"/>
      <c r="U25" s="29"/>
      <c r="V25" s="29"/>
      <c r="W25" s="29"/>
      <c r="X25" s="29"/>
      <c r="Y25" s="29"/>
      <c r="Z25" s="29"/>
      <c r="AA25" s="29"/>
      <c r="AB25" s="29"/>
      <c r="AC25" s="29"/>
      <c r="AD25" s="31"/>
    </row>
    <row r="26" spans="1:30" x14ac:dyDescent="0.25">
      <c r="A26" s="40"/>
      <c r="B26" s="41"/>
      <c r="C26" s="41"/>
      <c r="D26" s="41"/>
      <c r="E26" s="41"/>
      <c r="F26" s="41"/>
      <c r="G26" s="41"/>
      <c r="H26" s="41"/>
      <c r="I26" s="41"/>
      <c r="J26" s="41"/>
      <c r="K26" s="43"/>
      <c r="L26" s="34"/>
      <c r="M26" s="29"/>
      <c r="N26" s="29"/>
      <c r="O26" s="29"/>
      <c r="P26" s="29"/>
      <c r="Q26" s="29"/>
      <c r="R26" s="29"/>
      <c r="S26" s="29"/>
      <c r="T26" s="29"/>
      <c r="U26" s="29"/>
      <c r="V26" s="29"/>
      <c r="W26" s="29"/>
      <c r="X26" s="29"/>
      <c r="Y26" s="29"/>
      <c r="Z26" s="29"/>
      <c r="AA26" s="29"/>
      <c r="AB26" s="29"/>
      <c r="AC26" s="29"/>
      <c r="AD26" s="31"/>
    </row>
    <row r="27" spans="1:30" x14ac:dyDescent="0.25">
      <c r="A27" s="40"/>
      <c r="B27" s="41"/>
      <c r="C27" s="41"/>
      <c r="D27" s="41"/>
      <c r="E27" s="41"/>
      <c r="F27" s="41"/>
      <c r="G27" s="41"/>
      <c r="H27" s="41"/>
      <c r="I27" s="41"/>
      <c r="J27" s="41"/>
      <c r="K27" s="76"/>
      <c r="L27" s="73"/>
      <c r="M27" s="36"/>
      <c r="N27" s="36"/>
      <c r="O27" s="19"/>
      <c r="P27" s="19"/>
      <c r="Q27" s="29"/>
      <c r="R27" s="29"/>
      <c r="S27" s="29"/>
      <c r="T27" s="29"/>
      <c r="U27" s="29"/>
      <c r="V27" s="29"/>
      <c r="W27" s="29"/>
      <c r="X27" s="29"/>
      <c r="Y27" s="29"/>
      <c r="Z27" s="29"/>
      <c r="AA27" s="29"/>
      <c r="AB27" s="29"/>
      <c r="AC27" s="29"/>
      <c r="AD27" s="31"/>
    </row>
    <row r="28" spans="1:30" ht="15" customHeight="1" x14ac:dyDescent="0.25">
      <c r="A28" s="40"/>
      <c r="B28" s="41"/>
      <c r="C28" s="41"/>
      <c r="D28" s="41"/>
      <c r="E28" s="35"/>
      <c r="F28" s="35"/>
      <c r="G28" s="35"/>
      <c r="H28" s="41"/>
      <c r="I28" s="41"/>
      <c r="J28" s="41"/>
      <c r="K28" s="76"/>
      <c r="L28" s="73"/>
      <c r="M28" s="36"/>
      <c r="N28" s="36"/>
      <c r="O28" s="19"/>
      <c r="P28" s="19"/>
      <c r="Q28" s="29"/>
      <c r="R28" s="29"/>
      <c r="S28" s="29"/>
      <c r="T28" s="29"/>
      <c r="U28" s="29"/>
      <c r="V28" s="29"/>
      <c r="W28" s="29"/>
      <c r="X28" s="29"/>
      <c r="Y28" s="29"/>
      <c r="Z28" s="29"/>
      <c r="AA28" s="29"/>
      <c r="AB28" s="29"/>
      <c r="AC28" s="29"/>
      <c r="AD28" s="31"/>
    </row>
    <row r="29" spans="1:30" ht="18.75" customHeight="1" x14ac:dyDescent="0.2">
      <c r="A29" s="40"/>
      <c r="B29" s="41"/>
      <c r="C29" s="41"/>
      <c r="D29" s="41"/>
      <c r="E29" s="35"/>
      <c r="F29" s="35"/>
      <c r="G29" s="35"/>
      <c r="H29" s="41"/>
      <c r="I29" s="41"/>
      <c r="J29" s="41"/>
      <c r="K29" s="76"/>
      <c r="L29" s="73"/>
      <c r="M29" s="36"/>
      <c r="N29" s="36"/>
      <c r="O29" s="37"/>
      <c r="P29" s="37"/>
      <c r="Q29" s="29"/>
      <c r="R29" s="20"/>
      <c r="S29" s="29"/>
      <c r="T29" s="29"/>
      <c r="U29" s="29"/>
      <c r="V29" s="29"/>
      <c r="W29" s="29"/>
      <c r="X29" s="29"/>
      <c r="Y29" s="29"/>
      <c r="Z29" s="29"/>
      <c r="AA29" s="29"/>
      <c r="AB29" s="29"/>
      <c r="AC29" s="29"/>
      <c r="AD29" s="31"/>
    </row>
    <row r="30" spans="1:30" ht="18.75" customHeight="1" x14ac:dyDescent="0.2">
      <c r="A30" s="40"/>
      <c r="B30" s="41"/>
      <c r="C30" s="41"/>
      <c r="D30" s="41"/>
      <c r="E30" s="35"/>
      <c r="F30" s="35"/>
      <c r="G30" s="35"/>
      <c r="H30" s="41"/>
      <c r="I30" s="41"/>
      <c r="J30" s="41"/>
      <c r="K30" s="76"/>
      <c r="L30" s="73"/>
      <c r="M30" s="36"/>
      <c r="N30" s="36"/>
      <c r="O30" s="37"/>
      <c r="P30" s="37"/>
      <c r="Q30" s="29"/>
      <c r="R30" s="20"/>
      <c r="S30" s="29"/>
      <c r="T30" s="29"/>
      <c r="U30" s="29"/>
      <c r="V30" s="29"/>
      <c r="W30" s="29"/>
      <c r="X30" s="29"/>
      <c r="Y30" s="29"/>
      <c r="Z30" s="29"/>
      <c r="AA30" s="29"/>
      <c r="AB30" s="29"/>
      <c r="AC30" s="29"/>
      <c r="AD30" s="31"/>
    </row>
    <row r="31" spans="1:30" x14ac:dyDescent="0.25">
      <c r="A31" s="40"/>
      <c r="B31" s="41"/>
      <c r="C31" s="41"/>
      <c r="D31" s="41"/>
      <c r="E31" s="18"/>
      <c r="F31" s="18"/>
      <c r="G31" s="18"/>
      <c r="H31" s="41"/>
      <c r="I31" s="41"/>
      <c r="J31" s="41"/>
      <c r="K31" s="43"/>
      <c r="L31" s="34"/>
      <c r="M31" s="29"/>
      <c r="N31" s="29"/>
      <c r="O31" s="29"/>
      <c r="P31" s="29"/>
      <c r="Q31" s="29"/>
      <c r="R31" s="18"/>
      <c r="S31" s="29"/>
      <c r="T31" s="29"/>
      <c r="U31" s="29"/>
      <c r="V31" s="29"/>
      <c r="W31" s="29"/>
      <c r="X31" s="29"/>
      <c r="Y31" s="29"/>
      <c r="Z31" s="29"/>
      <c r="AA31" s="29"/>
      <c r="AB31" s="29"/>
      <c r="AC31" s="29"/>
      <c r="AD31" s="31"/>
    </row>
    <row r="32" spans="1:30" ht="15.75" thickBot="1" x14ac:dyDescent="0.3">
      <c r="A32" s="32"/>
      <c r="B32" s="33"/>
      <c r="C32" s="33"/>
      <c r="D32" s="33"/>
      <c r="E32" s="33"/>
      <c r="F32" s="33"/>
      <c r="G32" s="33"/>
      <c r="H32" s="33"/>
      <c r="I32" s="33"/>
      <c r="J32" s="33"/>
      <c r="K32" s="42"/>
      <c r="L32" s="32"/>
      <c r="M32" s="33"/>
      <c r="N32" s="33"/>
      <c r="O32" s="33"/>
      <c r="P32" s="33"/>
      <c r="Q32" s="7"/>
      <c r="R32" s="28"/>
      <c r="S32" s="7"/>
      <c r="T32" s="7"/>
      <c r="U32" s="7"/>
      <c r="V32" s="7"/>
      <c r="W32" s="7"/>
      <c r="X32" s="7"/>
      <c r="Y32" s="7"/>
      <c r="Z32" s="7"/>
      <c r="AA32" s="7"/>
      <c r="AB32" s="7"/>
      <c r="AC32" s="7"/>
      <c r="AD32" s="27"/>
    </row>
    <row r="33" spans="6:18" x14ac:dyDescent="0.25">
      <c r="F33"/>
      <c r="G33"/>
      <c r="R33"/>
    </row>
    <row r="34" spans="6:18" x14ac:dyDescent="0.25">
      <c r="F34"/>
      <c r="G34"/>
      <c r="R34"/>
    </row>
    <row r="35" spans="6:18" x14ac:dyDescent="0.25">
      <c r="F35"/>
      <c r="G35"/>
      <c r="J35" s="22"/>
      <c r="R35" s="22"/>
    </row>
    <row r="36" spans="6:18" x14ac:dyDescent="0.25">
      <c r="F36"/>
      <c r="G36"/>
      <c r="J36"/>
      <c r="R36"/>
    </row>
    <row r="37" spans="6:18" x14ac:dyDescent="0.25">
      <c r="F37"/>
      <c r="G37"/>
      <c r="J37"/>
      <c r="R37"/>
    </row>
    <row r="38" spans="6:18" x14ac:dyDescent="0.25">
      <c r="F38"/>
      <c r="J38"/>
      <c r="R38"/>
    </row>
    <row r="39" spans="6:18" x14ac:dyDescent="0.25">
      <c r="F39"/>
      <c r="J39"/>
      <c r="R39"/>
    </row>
    <row r="40" spans="6:18" x14ac:dyDescent="0.25">
      <c r="F40"/>
      <c r="J40"/>
      <c r="R40"/>
    </row>
    <row r="41" spans="6:18" x14ac:dyDescent="0.25">
      <c r="R41"/>
    </row>
    <row r="42" spans="6:18" x14ac:dyDescent="0.25">
      <c r="R42"/>
    </row>
    <row r="43" spans="6:18" x14ac:dyDescent="0.25">
      <c r="R43"/>
    </row>
    <row r="44" spans="6:18" x14ac:dyDescent="0.25">
      <c r="R44"/>
    </row>
  </sheetData>
  <mergeCells count="25">
    <mergeCell ref="A16:K16"/>
    <mergeCell ref="L16:AD16"/>
    <mergeCell ref="A5:J5"/>
    <mergeCell ref="M7:N8"/>
    <mergeCell ref="P7:Q8"/>
    <mergeCell ref="M10:N11"/>
    <mergeCell ref="S10:T11"/>
    <mergeCell ref="W10:AD10"/>
    <mergeCell ref="W11:AD11"/>
    <mergeCell ref="A1:AD1"/>
    <mergeCell ref="A2:B2"/>
    <mergeCell ref="C2:E2"/>
    <mergeCell ref="T2:AD2"/>
    <mergeCell ref="L18:X19"/>
    <mergeCell ref="Z18:AA19"/>
    <mergeCell ref="B15:C15"/>
    <mergeCell ref="E15:H15"/>
    <mergeCell ref="W9:AD9"/>
    <mergeCell ref="P10:Q11"/>
    <mergeCell ref="L4:AD4"/>
    <mergeCell ref="S7:T8"/>
    <mergeCell ref="A4:K4"/>
    <mergeCell ref="W8:AD8"/>
    <mergeCell ref="W7:AD7"/>
    <mergeCell ref="W6:AD6"/>
  </mergeCells>
  <printOptions horizontalCentered="1"/>
  <pageMargins left="0.11811023622047245" right="0.11811023622047245" top="0.15748031496062992" bottom="0.15748031496062992" header="0.11811023622047245" footer="0.11811023622047245"/>
  <pageSetup paperSize="9" scale="9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tabColor theme="3" tint="0.79998168889431442"/>
  </sheetPr>
  <dimension ref="A1:V29"/>
  <sheetViews>
    <sheetView workbookViewId="0"/>
  </sheetViews>
  <sheetFormatPr baseColWidth="10" defaultRowHeight="15" x14ac:dyDescent="0.25"/>
  <cols>
    <col min="4" max="4" width="4.28515625" customWidth="1"/>
    <col min="5" max="5" width="22" customWidth="1"/>
    <col min="7" max="7" width="5.42578125" customWidth="1"/>
    <col min="8" max="8" width="8.42578125" customWidth="1"/>
    <col min="9" max="9" width="15.42578125" style="13" customWidth="1"/>
    <col min="10" max="10" width="8.140625" customWidth="1"/>
    <col min="11" max="11" width="8.85546875" customWidth="1"/>
    <col min="12" max="12" width="24" customWidth="1"/>
    <col min="13" max="13" width="15.42578125" style="13" customWidth="1"/>
    <col min="14" max="14" width="19" customWidth="1"/>
  </cols>
  <sheetData>
    <row r="1" spans="2:22" ht="15.75" thickBot="1" x14ac:dyDescent="0.3">
      <c r="H1" t="s">
        <v>50</v>
      </c>
      <c r="I1" s="13" t="s">
        <v>61</v>
      </c>
      <c r="J1" s="4" t="s">
        <v>38</v>
      </c>
      <c r="K1" t="s">
        <v>60</v>
      </c>
      <c r="S1" s="30"/>
      <c r="T1" s="30"/>
      <c r="U1" s="30"/>
      <c r="V1" s="30"/>
    </row>
    <row r="2" spans="2:22" x14ac:dyDescent="0.25">
      <c r="B2" s="46" t="s">
        <v>12</v>
      </c>
      <c r="C2" s="47" t="e">
        <f t="array" ref="C2">SUM(IF('Suivi des actions Qualite-EHS'!#REF!=B2,IF('Suivi des actions Qualite-EHS'!#REF!&lt;&gt;"s",IF('Suivi des actions Qualite-EHS'!#REF!&lt;&gt;"e",1,0))))</f>
        <v>#REF!</v>
      </c>
      <c r="D2" s="1"/>
      <c r="E2" s="46" t="s">
        <v>18</v>
      </c>
      <c r="F2" s="47" t="e">
        <f t="array" ref="F2">SUM(IF('Suivi des actions Qualite-EHS'!#REF!=E2,IF('Suivi des actions Qualite-EHS'!#REF!&lt;&gt;"s",IF('Suivi des actions Qualite-EHS'!#REF!&lt;&gt;"e",1,0))))</f>
        <v>#REF!</v>
      </c>
      <c r="G2" s="1"/>
      <c r="H2" s="60" t="e">
        <f t="shared" ref="H2:H28" si="0">RANK(K2,$K$2:$K$28)</f>
        <v>#REF!</v>
      </c>
      <c r="I2" s="61" t="e">
        <f>'Données (ne pas toucher)'!#REF!</f>
        <v>#REF!</v>
      </c>
      <c r="J2" s="62" t="e">
        <f>K2/SUM($K$2:$K$28)*100</f>
        <v>#REF!</v>
      </c>
      <c r="K2" s="62" t="e">
        <f t="array" ref="K2">SUM(IF('Suivi des actions Qualite-EHS'!$D$14:$D$433=I2,IF('Suivi des actions Qualite-EHS'!#REF!&lt;&gt;"s",IF('Suivi des actions Qualite-EHS'!#REF!&lt;&gt;"e",1,0))))</f>
        <v>#REF!</v>
      </c>
      <c r="L2" s="63" t="e">
        <f t="shared" ref="L2:L28" si="1">I2 &amp; " " &amp;J2</f>
        <v>#REF!</v>
      </c>
      <c r="M2" s="61" t="e">
        <f>'Données (ne pas toucher)'!#REF!</f>
        <v>#REF!</v>
      </c>
      <c r="N2" s="64"/>
      <c r="S2" s="30"/>
      <c r="T2" s="30"/>
      <c r="U2" s="30"/>
      <c r="V2" s="30"/>
    </row>
    <row r="3" spans="2:22" ht="15.75" thickBot="1" x14ac:dyDescent="0.3">
      <c r="B3" s="25" t="s">
        <v>13</v>
      </c>
      <c r="C3" s="27" t="e">
        <f t="array" ref="C3">SUM(IF('Suivi des actions Qualite-EHS'!#REF!=B3,IF('Suivi des actions Qualite-EHS'!#REF!&lt;&gt;"s",IF('Suivi des actions Qualite-EHS'!#REF!&lt;&gt;"e",1,0))))</f>
        <v>#REF!</v>
      </c>
      <c r="D3" s="1"/>
      <c r="E3" s="34" t="s">
        <v>14</v>
      </c>
      <c r="F3" s="31" t="e">
        <f t="array" ref="F3">SUM(IF('Suivi des actions Qualite-EHS'!#REF!=E3,IF('Suivi des actions Qualite-EHS'!#REF!&lt;&gt;"s",IF('Suivi des actions Qualite-EHS'!#REF!&lt;&gt;"e",1,0))))</f>
        <v>#REF!</v>
      </c>
      <c r="G3" s="1"/>
      <c r="H3" s="65" t="e">
        <f t="shared" si="0"/>
        <v>#REF!</v>
      </c>
      <c r="I3" s="30" t="e">
        <f>'Données (ne pas toucher)'!#REF!</f>
        <v>#REF!</v>
      </c>
      <c r="J3" s="29" t="e">
        <f t="shared" ref="J3:J10" si="2">K3/SUM($K$2:$K$28)*100</f>
        <v>#REF!</v>
      </c>
      <c r="K3" s="29" t="e">
        <f t="array" ref="K3">SUM(IF('Suivi des actions Qualite-EHS'!$D$14:$D$433=I3,IF('Suivi des actions Qualite-EHS'!#REF!&lt;&gt;"s",IF('Suivi des actions Qualite-EHS'!#REF!&lt;&gt;"e",1,0))))</f>
        <v>#REF!</v>
      </c>
      <c r="L3" s="18" t="e">
        <f t="shared" si="1"/>
        <v>#REF!</v>
      </c>
      <c r="M3" s="30" t="e">
        <f>'Données (ne pas toucher)'!#REF!</f>
        <v>#REF!</v>
      </c>
      <c r="N3" s="67"/>
      <c r="S3" s="30"/>
      <c r="T3" s="30"/>
      <c r="U3" s="30"/>
      <c r="V3" s="30"/>
    </row>
    <row r="4" spans="2:22" x14ac:dyDescent="0.25">
      <c r="B4" s="1"/>
      <c r="C4" s="1"/>
      <c r="D4" s="1"/>
      <c r="E4" s="34" t="s">
        <v>17</v>
      </c>
      <c r="F4" s="31" t="e">
        <f t="array" ref="F4">SUM(IF('Suivi des actions Qualite-EHS'!#REF!=E4,IF('Suivi des actions Qualite-EHS'!#REF!&lt;&gt;"s",IF('Suivi des actions Qualite-EHS'!#REF!&lt;&gt;"e",1,0))))</f>
        <v>#REF!</v>
      </c>
      <c r="G4" s="1"/>
      <c r="H4" s="65" t="e">
        <f t="shared" si="0"/>
        <v>#REF!</v>
      </c>
      <c r="I4" s="30" t="e">
        <f>'Données (ne pas toucher)'!#REF!</f>
        <v>#REF!</v>
      </c>
      <c r="J4" s="29" t="e">
        <f t="shared" si="2"/>
        <v>#REF!</v>
      </c>
      <c r="K4" s="29" t="e">
        <f t="array" ref="K4">SUM(IF('Suivi des actions Qualite-EHS'!$D$14:$D$433=I4,IF('Suivi des actions Qualite-EHS'!#REF!&lt;&gt;"s",IF('Suivi des actions Qualite-EHS'!#REF!&lt;&gt;"e",1,0))))</f>
        <v>#REF!</v>
      </c>
      <c r="L4" s="18" t="e">
        <f t="shared" si="1"/>
        <v>#REF!</v>
      </c>
      <c r="M4" s="30" t="e">
        <f>'Données (ne pas toucher)'!#REF!</f>
        <v>#REF!</v>
      </c>
      <c r="N4" s="67"/>
      <c r="S4" s="30"/>
      <c r="T4" s="30"/>
      <c r="U4" s="30"/>
      <c r="V4" s="30"/>
    </row>
    <row r="5" spans="2:22" x14ac:dyDescent="0.25">
      <c r="B5" s="1"/>
      <c r="C5" s="1"/>
      <c r="D5" s="1"/>
      <c r="E5" s="34" t="s">
        <v>16</v>
      </c>
      <c r="F5" s="31" t="e">
        <f t="array" ref="F5">SUM(IF('Suivi des actions Qualite-EHS'!#REF!=E5,IF('Suivi des actions Qualite-EHS'!#REF!&lt;&gt;"s",IF('Suivi des actions Qualite-EHS'!#REF!&lt;&gt;"e",1,0))))</f>
        <v>#REF!</v>
      </c>
      <c r="G5" s="1"/>
      <c r="H5" s="65" t="e">
        <f t="shared" si="0"/>
        <v>#REF!</v>
      </c>
      <c r="I5" s="30" t="e">
        <f>'Données (ne pas toucher)'!#REF!</f>
        <v>#REF!</v>
      </c>
      <c r="J5" s="29" t="e">
        <f t="shared" si="2"/>
        <v>#REF!</v>
      </c>
      <c r="K5" s="29" t="e">
        <f t="array" ref="K5">SUM(IF('Suivi des actions Qualite-EHS'!$D$14:$D$433=I5,IF('Suivi des actions Qualite-EHS'!#REF!&lt;&gt;"s",IF('Suivi des actions Qualite-EHS'!#REF!&lt;&gt;"e",1,0))))</f>
        <v>#REF!</v>
      </c>
      <c r="L5" s="18" t="e">
        <f t="shared" si="1"/>
        <v>#REF!</v>
      </c>
      <c r="M5" s="30" t="e">
        <f>'Données (ne pas toucher)'!#REF!</f>
        <v>#REF!</v>
      </c>
      <c r="N5" s="67"/>
      <c r="S5" s="30"/>
      <c r="T5" s="30"/>
      <c r="U5" s="30"/>
      <c r="V5" s="30"/>
    </row>
    <row r="6" spans="2:22" x14ac:dyDescent="0.25">
      <c r="B6" s="1"/>
      <c r="C6" s="1"/>
      <c r="D6" s="1"/>
      <c r="E6" s="34" t="s">
        <v>15</v>
      </c>
      <c r="F6" s="31" t="e">
        <f t="array" ref="F6">SUM(IF('Suivi des actions Qualite-EHS'!#REF!=E6,IF('Suivi des actions Qualite-EHS'!#REF!&lt;&gt;"s",IF('Suivi des actions Qualite-EHS'!#REF!&lt;&gt;"e",1,0))))</f>
        <v>#REF!</v>
      </c>
      <c r="G6" s="1"/>
      <c r="H6" s="65" t="e">
        <f t="shared" si="0"/>
        <v>#REF!</v>
      </c>
      <c r="I6" s="30" t="e">
        <f>'Données (ne pas toucher)'!#REF!</f>
        <v>#REF!</v>
      </c>
      <c r="J6" s="29" t="e">
        <f t="shared" si="2"/>
        <v>#REF!</v>
      </c>
      <c r="K6" s="29" t="e">
        <f t="array" ref="K6">SUM(IF('Suivi des actions Qualite-EHS'!$D$14:$D$433=I6,IF('Suivi des actions Qualite-EHS'!#REF!&lt;&gt;"s",IF('Suivi des actions Qualite-EHS'!#REF!&lt;&gt;"e",1,0))))</f>
        <v>#REF!</v>
      </c>
      <c r="L6" s="18" t="e">
        <f t="shared" si="1"/>
        <v>#REF!</v>
      </c>
      <c r="M6" s="30" t="e">
        <f>'Données (ne pas toucher)'!#REF!</f>
        <v>#REF!</v>
      </c>
      <c r="N6" s="67"/>
      <c r="S6" s="30"/>
      <c r="T6" s="30"/>
      <c r="U6" s="30"/>
      <c r="V6" s="30"/>
    </row>
    <row r="7" spans="2:22" ht="15.75" thickBot="1" x14ac:dyDescent="0.3">
      <c r="B7" s="1"/>
      <c r="C7" s="1"/>
      <c r="D7" s="1"/>
      <c r="E7" s="25" t="s">
        <v>19</v>
      </c>
      <c r="F7" s="27" t="e">
        <f t="array" ref="F7">SUM(IF('Suivi des actions Qualite-EHS'!#REF!=E7,IF('Suivi des actions Qualite-EHS'!#REF!&lt;&gt;"s",IF('Suivi des actions Qualite-EHS'!#REF!&lt;&gt;"e",1,0))))</f>
        <v>#REF!</v>
      </c>
      <c r="G7" s="1"/>
      <c r="H7" s="65" t="e">
        <f t="shared" si="0"/>
        <v>#REF!</v>
      </c>
      <c r="I7" s="30" t="e">
        <f>'Données (ne pas toucher)'!#REF!</f>
        <v>#REF!</v>
      </c>
      <c r="J7" s="29" t="e">
        <f t="shared" si="2"/>
        <v>#REF!</v>
      </c>
      <c r="K7" s="29" t="e">
        <f t="array" ref="K7">SUM(IF('Suivi des actions Qualite-EHS'!$D$14:$D$433=I7,IF('Suivi des actions Qualite-EHS'!#REF!&lt;&gt;"s",IF('Suivi des actions Qualite-EHS'!#REF!&lt;&gt;"e",1,0))))</f>
        <v>#REF!</v>
      </c>
      <c r="L7" s="18" t="e">
        <f t="shared" si="1"/>
        <v>#REF!</v>
      </c>
      <c r="M7" s="30" t="e">
        <f>'Données (ne pas toucher)'!#REF!</f>
        <v>#REF!</v>
      </c>
      <c r="N7" s="67"/>
      <c r="S7" s="30"/>
      <c r="T7" s="30"/>
      <c r="U7" s="30"/>
      <c r="V7" s="30"/>
    </row>
    <row r="8" spans="2:22" x14ac:dyDescent="0.25">
      <c r="B8" s="2"/>
      <c r="C8" s="2"/>
      <c r="D8" s="2"/>
      <c r="E8" s="2"/>
      <c r="F8" s="2"/>
      <c r="G8" s="2"/>
      <c r="H8" s="65" t="e">
        <f t="shared" si="0"/>
        <v>#REF!</v>
      </c>
      <c r="I8" s="30" t="e">
        <f>'Données (ne pas toucher)'!#REF!</f>
        <v>#REF!</v>
      </c>
      <c r="J8" s="29" t="e">
        <f t="shared" si="2"/>
        <v>#REF!</v>
      </c>
      <c r="K8" s="29" t="e">
        <f t="array" ref="K8">SUM(IF('Suivi des actions Qualite-EHS'!$D$14:$D$433=I8,IF('Suivi des actions Qualite-EHS'!#REF!&lt;&gt;"s",IF('Suivi des actions Qualite-EHS'!#REF!&lt;&gt;"e",1,0))))</f>
        <v>#REF!</v>
      </c>
      <c r="L8" s="18" t="e">
        <f t="shared" si="1"/>
        <v>#REF!</v>
      </c>
      <c r="M8" s="30" t="e">
        <f>'Données (ne pas toucher)'!#REF!</f>
        <v>#REF!</v>
      </c>
      <c r="N8" s="67"/>
      <c r="S8" s="30"/>
      <c r="T8" s="30"/>
      <c r="U8" s="30"/>
      <c r="V8" s="30"/>
    </row>
    <row r="9" spans="2:22" x14ac:dyDescent="0.25">
      <c r="B9" s="2"/>
      <c r="C9" s="2"/>
      <c r="D9" s="2"/>
      <c r="E9" s="2"/>
      <c r="F9" s="2"/>
      <c r="G9" s="2"/>
      <c r="H9" s="65" t="e">
        <f t="shared" si="0"/>
        <v>#REF!</v>
      </c>
      <c r="I9" s="30" t="e">
        <f>'Données (ne pas toucher)'!#REF!</f>
        <v>#REF!</v>
      </c>
      <c r="J9" s="29" t="e">
        <f t="shared" si="2"/>
        <v>#REF!</v>
      </c>
      <c r="K9" s="29" t="e">
        <f t="array" ref="K9">SUM(IF('Suivi des actions Qualite-EHS'!$D$14:$D$433=I9,IF('Suivi des actions Qualite-EHS'!#REF!&lt;&gt;"s",IF('Suivi des actions Qualite-EHS'!#REF!&lt;&gt;"e",1,0))))</f>
        <v>#REF!</v>
      </c>
      <c r="L9" s="18" t="e">
        <f t="shared" si="1"/>
        <v>#REF!</v>
      </c>
      <c r="M9" s="30" t="e">
        <f>'Données (ne pas toucher)'!#REF!</f>
        <v>#REF!</v>
      </c>
      <c r="N9" s="67"/>
      <c r="S9" s="30"/>
      <c r="T9" s="30"/>
      <c r="U9" s="30"/>
      <c r="V9" s="30"/>
    </row>
    <row r="10" spans="2:22" ht="15.75" thickBot="1" x14ac:dyDescent="0.3">
      <c r="B10" s="2"/>
      <c r="C10" s="2"/>
      <c r="D10" s="2"/>
      <c r="E10" s="2" t="s">
        <v>62</v>
      </c>
      <c r="F10" s="2"/>
      <c r="G10" s="2"/>
      <c r="H10" s="68" t="e">
        <f t="shared" si="0"/>
        <v>#REF!</v>
      </c>
      <c r="I10" s="69" t="e">
        <f>'Données (ne pas toucher)'!#REF!</f>
        <v>#REF!</v>
      </c>
      <c r="J10" s="7" t="e">
        <f t="shared" si="2"/>
        <v>#REF!</v>
      </c>
      <c r="K10" s="7" t="e">
        <f t="array" ref="K10">SUM(IF('Suivi des actions Qualite-EHS'!$D$14:$D$433=I10,IF('Suivi des actions Qualite-EHS'!#REF!&lt;&gt;"s",IF('Suivi des actions Qualite-EHS'!#REF!&lt;&gt;"e",1,0))))</f>
        <v>#REF!</v>
      </c>
      <c r="L10" s="28" t="e">
        <f t="shared" si="1"/>
        <v>#REF!</v>
      </c>
      <c r="M10" s="69" t="e">
        <f>'Données (ne pas toucher)'!#REF!</f>
        <v>#REF!</v>
      </c>
      <c r="N10" s="59"/>
      <c r="S10" s="30"/>
      <c r="T10" s="30"/>
      <c r="U10" s="30"/>
      <c r="V10" s="30"/>
    </row>
    <row r="11" spans="2:22" ht="25.5" x14ac:dyDescent="0.25">
      <c r="B11" s="2"/>
      <c r="C11" s="2" t="s">
        <v>65</v>
      </c>
      <c r="D11" s="2"/>
      <c r="E11" s="48" t="e">
        <f>'Données (ne pas toucher)'!#REF!</f>
        <v>#REF!</v>
      </c>
      <c r="F11" s="49" t="e">
        <f t="array" ref="F11">SUM(IF('Suivi des actions Qualite-EHS'!#REF!=E11,1,0))</f>
        <v>#REF!</v>
      </c>
      <c r="G11" s="2"/>
      <c r="H11" s="72" t="e">
        <f t="shared" si="0"/>
        <v>#REF!</v>
      </c>
      <c r="I11" s="30" t="e">
        <f>'Données (ne pas toucher)'!#REF!</f>
        <v>#REF!</v>
      </c>
      <c r="J11" s="66" t="e">
        <f t="shared" ref="J11:J28" si="3">K11/SUM($K$2:$K$28)*100&amp;"%"</f>
        <v>#REF!</v>
      </c>
      <c r="K11" s="29" t="e">
        <f t="array" ref="K11">SUM(IF('Suivi des actions Qualite-EHS'!$D$14:$D$433=I11,IF('Suivi des actions Qualite-EHS'!#REF!&lt;&gt;"s",IF('Suivi des actions Qualite-EHS'!#REF!&lt;&gt;"e",1,0))))</f>
        <v>#REF!</v>
      </c>
      <c r="L11" s="18" t="e">
        <f t="shared" si="1"/>
        <v>#REF!</v>
      </c>
      <c r="M11" s="30" t="e">
        <f>'Données (ne pas toucher)'!#REF!</f>
        <v>#REF!</v>
      </c>
      <c r="N11" s="18"/>
      <c r="S11" s="30"/>
      <c r="T11" s="30"/>
      <c r="U11" s="30"/>
      <c r="V11" s="30"/>
    </row>
    <row r="12" spans="2:22" x14ac:dyDescent="0.25">
      <c r="B12" s="2"/>
      <c r="C12" s="2" t="s">
        <v>63</v>
      </c>
      <c r="D12" s="2"/>
      <c r="E12" s="50" t="e">
        <f>'Données (ne pas toucher)'!#REF!</f>
        <v>#REF!</v>
      </c>
      <c r="F12" s="51" t="e">
        <f t="array" ref="F12">SUM(IF('Suivi des actions Qualite-EHS'!#REF!=E12,1,0))</f>
        <v>#REF!</v>
      </c>
      <c r="G12" s="2"/>
      <c r="H12" s="72" t="e">
        <f t="shared" si="0"/>
        <v>#REF!</v>
      </c>
      <c r="I12" s="30" t="e">
        <f>'Données (ne pas toucher)'!#REF!</f>
        <v>#REF!</v>
      </c>
      <c r="J12" s="66" t="e">
        <f t="shared" si="3"/>
        <v>#REF!</v>
      </c>
      <c r="K12" s="29" t="e">
        <f t="array" ref="K12">SUM(IF('Suivi des actions Qualite-EHS'!$D$14:$D$433=I12,IF('Suivi des actions Qualite-EHS'!#REF!&lt;&gt;"s",IF('Suivi des actions Qualite-EHS'!#REF!&lt;&gt;"e",1,0))))</f>
        <v>#REF!</v>
      </c>
      <c r="L12" s="18" t="e">
        <f t="shared" si="1"/>
        <v>#REF!</v>
      </c>
      <c r="M12" s="30" t="e">
        <f>'Données (ne pas toucher)'!#REF!</f>
        <v>#REF!</v>
      </c>
      <c r="N12" s="18"/>
      <c r="S12" s="30"/>
      <c r="T12" s="30"/>
      <c r="U12" s="30"/>
      <c r="V12" s="30"/>
    </row>
    <row r="13" spans="2:22" x14ac:dyDescent="0.25">
      <c r="B13" s="2"/>
      <c r="C13" s="2" t="s">
        <v>64</v>
      </c>
      <c r="D13" s="2"/>
      <c r="E13" s="50" t="e">
        <f>'Données (ne pas toucher)'!#REF!</f>
        <v>#REF!</v>
      </c>
      <c r="F13" s="51" t="e">
        <f t="array" ref="F13">SUM(IF('Suivi des actions Qualite-EHS'!#REF!=E13,1,0))</f>
        <v>#REF!</v>
      </c>
      <c r="G13" s="2"/>
      <c r="H13" s="12" t="e">
        <f t="shared" si="0"/>
        <v>#REF!</v>
      </c>
      <c r="I13" s="2" t="e">
        <f>'Données (ne pas toucher)'!#REF!</f>
        <v>#REF!</v>
      </c>
      <c r="J13" s="54" t="e">
        <f t="shared" si="3"/>
        <v>#REF!</v>
      </c>
      <c r="K13" s="1" t="e">
        <f t="array" ref="K13">SUM(IF('Suivi des actions Qualite-EHS'!$D$14:$D$433=I13,IF('Suivi des actions Qualite-EHS'!#REF!&lt;&gt;"s",IF('Suivi des actions Qualite-EHS'!#REF!&lt;&gt;"e",1,0))))</f>
        <v>#REF!</v>
      </c>
      <c r="L13" t="e">
        <f t="shared" si="1"/>
        <v>#REF!</v>
      </c>
      <c r="M13" s="2" t="e">
        <f>'Données (ne pas toucher)'!#REF!</f>
        <v>#REF!</v>
      </c>
    </row>
    <row r="14" spans="2:22" ht="25.5" x14ac:dyDescent="0.25">
      <c r="B14" s="2"/>
      <c r="C14" s="2" t="s">
        <v>66</v>
      </c>
      <c r="D14" s="2"/>
      <c r="E14" s="50" t="e">
        <f>'Données (ne pas toucher)'!#REF!</f>
        <v>#REF!</v>
      </c>
      <c r="F14" s="51" t="e">
        <f t="array" ref="F14">SUM(IF('Suivi des actions Qualite-EHS'!#REF!=E14,1,0))</f>
        <v>#REF!</v>
      </c>
      <c r="G14" s="2"/>
      <c r="H14" s="12" t="e">
        <f t="shared" si="0"/>
        <v>#REF!</v>
      </c>
      <c r="I14" s="2" t="e">
        <f>'Données (ne pas toucher)'!#REF!</f>
        <v>#REF!</v>
      </c>
      <c r="J14" s="54" t="e">
        <f t="shared" si="3"/>
        <v>#REF!</v>
      </c>
      <c r="K14" s="1" t="e">
        <f t="array" ref="K14">SUM(IF('Suivi des actions Qualite-EHS'!$D$14:$D$433=I14,IF('Suivi des actions Qualite-EHS'!#REF!&lt;&gt;"s",IF('Suivi des actions Qualite-EHS'!#REF!&lt;&gt;"e",1,0))))</f>
        <v>#REF!</v>
      </c>
      <c r="L14" t="e">
        <f t="shared" si="1"/>
        <v>#REF!</v>
      </c>
      <c r="M14" s="2" t="e">
        <f>'Données (ne pas toucher)'!#REF!</f>
        <v>#REF!</v>
      </c>
    </row>
    <row r="15" spans="2:22" ht="39" thickBot="1" x14ac:dyDescent="0.3">
      <c r="B15" s="2"/>
      <c r="C15" s="2" t="s">
        <v>67</v>
      </c>
      <c r="D15" s="2"/>
      <c r="E15" s="52" t="e">
        <f>'Données (ne pas toucher)'!#REF!</f>
        <v>#REF!</v>
      </c>
      <c r="F15" s="53" t="e">
        <f t="array" ref="F15">SUM(IF('Suivi des actions Qualite-EHS'!#REF!=E15,1,0))</f>
        <v>#REF!</v>
      </c>
      <c r="G15" s="2"/>
      <c r="H15" s="12" t="e">
        <f t="shared" si="0"/>
        <v>#REF!</v>
      </c>
      <c r="I15" s="2" t="e">
        <f>'Données (ne pas toucher)'!#REF!</f>
        <v>#REF!</v>
      </c>
      <c r="J15" s="54" t="e">
        <f t="shared" si="3"/>
        <v>#REF!</v>
      </c>
      <c r="K15" s="1" t="e">
        <f t="array" ref="K15">SUM(IF('Suivi des actions Qualite-EHS'!$D$14:$D$433=I15,IF('Suivi des actions Qualite-EHS'!#REF!&lt;&gt;"s",IF('Suivi des actions Qualite-EHS'!#REF!&lt;&gt;"e",1,0))))</f>
        <v>#REF!</v>
      </c>
      <c r="L15" t="e">
        <f t="shared" si="1"/>
        <v>#REF!</v>
      </c>
      <c r="M15" s="2" t="e">
        <f>'Données (ne pas toucher)'!#REF!</f>
        <v>#REF!</v>
      </c>
    </row>
    <row r="16" spans="2:22" x14ac:dyDescent="0.25">
      <c r="B16" s="2"/>
      <c r="C16" s="2"/>
      <c r="D16" s="2"/>
      <c r="E16" s="2"/>
      <c r="F16" s="2"/>
      <c r="G16" s="2"/>
      <c r="H16" s="12" t="e">
        <f t="shared" si="0"/>
        <v>#REF!</v>
      </c>
      <c r="I16" s="2" t="e">
        <f>'Données (ne pas toucher)'!#REF!</f>
        <v>#REF!</v>
      </c>
      <c r="J16" s="54" t="e">
        <f t="shared" si="3"/>
        <v>#REF!</v>
      </c>
      <c r="K16" s="1" t="e">
        <f t="array" ref="K16">SUM(IF('Suivi des actions Qualite-EHS'!$D$14:$D$433=I16,IF('Suivi des actions Qualite-EHS'!#REF!&lt;&gt;"s",IF('Suivi des actions Qualite-EHS'!#REF!&lt;&gt;"e",1,0))))</f>
        <v>#REF!</v>
      </c>
      <c r="L16" t="e">
        <f t="shared" si="1"/>
        <v>#REF!</v>
      </c>
      <c r="M16" s="2" t="e">
        <f>'Données (ne pas toucher)'!#REF!</f>
        <v>#REF!</v>
      </c>
    </row>
    <row r="17" spans="1:13" ht="15.75" thickBot="1" x14ac:dyDescent="0.3">
      <c r="B17" s="2"/>
      <c r="C17" s="2"/>
      <c r="D17" s="2"/>
      <c r="E17" s="2"/>
      <c r="F17" s="2"/>
      <c r="G17" s="2"/>
      <c r="H17" s="12" t="e">
        <f t="shared" si="0"/>
        <v>#REF!</v>
      </c>
      <c r="I17" s="2" t="e">
        <f>'Données (ne pas toucher)'!#REF!</f>
        <v>#REF!</v>
      </c>
      <c r="J17" s="54" t="e">
        <f t="shared" si="3"/>
        <v>#REF!</v>
      </c>
      <c r="K17" s="1" t="e">
        <f t="array" ref="K17">SUM(IF('Suivi des actions Qualite-EHS'!$D$14:$D$433=I17,IF('Suivi des actions Qualite-EHS'!#REF!&lt;&gt;"s",IF('Suivi des actions Qualite-EHS'!#REF!&lt;&gt;"e",1,0))))</f>
        <v>#REF!</v>
      </c>
      <c r="L17" t="e">
        <f t="shared" si="1"/>
        <v>#REF!</v>
      </c>
      <c r="M17" s="2" t="e">
        <f>'Données (ne pas toucher)'!#REF!</f>
        <v>#REF!</v>
      </c>
    </row>
    <row r="18" spans="1:13" ht="38.25" x14ac:dyDescent="0.25">
      <c r="B18" s="2"/>
      <c r="C18" s="2"/>
      <c r="D18" s="2"/>
      <c r="E18" s="55" t="s">
        <v>70</v>
      </c>
      <c r="F18" s="49">
        <f t="array" ref="F18">SUM(IF('Suivi des actions Qualite-EHS'!$E$14:$E$433&lt;&gt;"",IF('Suivi des actions Qualite-EHS'!#REF!&lt;&gt;"s",IF('Suivi des actions Qualite-EHS'!#REF!&lt;&gt;"e",1,0))))</f>
        <v>0</v>
      </c>
      <c r="G18" s="2"/>
      <c r="H18" s="12" t="e">
        <f t="shared" si="0"/>
        <v>#REF!</v>
      </c>
      <c r="I18" s="2" t="e">
        <f>'Données (ne pas toucher)'!#REF!</f>
        <v>#REF!</v>
      </c>
      <c r="J18" s="54" t="e">
        <f t="shared" si="3"/>
        <v>#REF!</v>
      </c>
      <c r="K18" s="1" t="e">
        <f t="array" ref="K18">SUM(IF('Suivi des actions Qualite-EHS'!$D$14:$D$433=I18,IF('Suivi des actions Qualite-EHS'!#REF!&lt;&gt;"s",IF('Suivi des actions Qualite-EHS'!#REF!&lt;&gt;"e",1,0))))</f>
        <v>#REF!</v>
      </c>
      <c r="L18" t="e">
        <f t="shared" si="1"/>
        <v>#REF!</v>
      </c>
      <c r="M18" s="2" t="e">
        <f>'Données (ne pas toucher)'!#REF!</f>
        <v>#REF!</v>
      </c>
    </row>
    <row r="19" spans="1:13" x14ac:dyDescent="0.25">
      <c r="B19" s="2"/>
      <c r="C19" s="2"/>
      <c r="D19" s="2"/>
      <c r="E19" s="56" t="s">
        <v>51</v>
      </c>
      <c r="F19" s="51">
        <f t="array" ref="F19">SUM(IF('Suivi des actions Qualite-EHS'!$J$14:$J$433&lt;&gt;"",IF('Suivi des actions Qualite-EHS'!#REF!&lt;&gt;"s",IF('Suivi des actions Qualite-EHS'!#REF!&lt;&gt;"e",1,0))))</f>
        <v>0</v>
      </c>
      <c r="G19" s="2"/>
      <c r="H19" s="12" t="e">
        <f t="shared" si="0"/>
        <v>#REF!</v>
      </c>
      <c r="I19" s="2" t="e">
        <f>'Données (ne pas toucher)'!#REF!</f>
        <v>#REF!</v>
      </c>
      <c r="J19" s="54" t="e">
        <f t="shared" si="3"/>
        <v>#REF!</v>
      </c>
      <c r="K19" s="1" t="e">
        <f t="array" ref="K19">SUM(IF('Suivi des actions Qualite-EHS'!$D$14:$D$433=I19,IF('Suivi des actions Qualite-EHS'!#REF!&lt;&gt;"s",IF('Suivi des actions Qualite-EHS'!#REF!&lt;&gt;"e",1,0))))</f>
        <v>#REF!</v>
      </c>
      <c r="L19" t="e">
        <f t="shared" si="1"/>
        <v>#REF!</v>
      </c>
      <c r="M19" s="2" t="e">
        <f>'Données (ne pas toucher)'!#REF!</f>
        <v>#REF!</v>
      </c>
    </row>
    <row r="20" spans="1:13" x14ac:dyDescent="0.25">
      <c r="D20" s="2"/>
      <c r="E20" s="56" t="s">
        <v>52</v>
      </c>
      <c r="F20" s="57" t="e">
        <f>F19*100/F18</f>
        <v>#DIV/0!</v>
      </c>
      <c r="G20" s="2" t="s">
        <v>38</v>
      </c>
      <c r="H20" s="12" t="e">
        <f t="shared" si="0"/>
        <v>#REF!</v>
      </c>
      <c r="I20" s="2" t="e">
        <f>'Données (ne pas toucher)'!#REF!</f>
        <v>#REF!</v>
      </c>
      <c r="J20" s="54" t="e">
        <f t="shared" si="3"/>
        <v>#REF!</v>
      </c>
      <c r="K20" s="1" t="e">
        <f t="array" ref="K20">SUM(IF('Suivi des actions Qualite-EHS'!$D$14:$D$433=I20,IF('Suivi des actions Qualite-EHS'!#REF!&lt;&gt;"s",IF('Suivi des actions Qualite-EHS'!#REF!&lt;&gt;"e",1,0))))</f>
        <v>#REF!</v>
      </c>
      <c r="L20" t="e">
        <f t="shared" si="1"/>
        <v>#REF!</v>
      </c>
      <c r="M20" s="2" t="e">
        <f>'Données (ne pas toucher)'!#REF!</f>
        <v>#REF!</v>
      </c>
    </row>
    <row r="21" spans="1:13" x14ac:dyDescent="0.25">
      <c r="B21" s="2"/>
      <c r="C21" s="2"/>
      <c r="D21" s="2"/>
      <c r="E21" s="56" t="s">
        <v>54</v>
      </c>
      <c r="F21" s="71" t="e">
        <f>SUMIF('Suivi des actions Qualite-EHS'!#REF!,"q*",'Suivi des actions Qualite-EHS'!$N$14:$N$433)*100/F18</f>
        <v>#REF!</v>
      </c>
      <c r="G21" s="2" t="s">
        <v>38</v>
      </c>
      <c r="H21" s="12" t="e">
        <f t="shared" si="0"/>
        <v>#REF!</v>
      </c>
      <c r="I21" s="2" t="e">
        <f>'Données (ne pas toucher)'!#REF!</f>
        <v>#REF!</v>
      </c>
      <c r="J21" s="54" t="e">
        <f t="shared" si="3"/>
        <v>#REF!</v>
      </c>
      <c r="K21" s="1" t="e">
        <f t="array" ref="K21">SUM(IF('Suivi des actions Qualite-EHS'!$D$14:$D$433=I21,IF('Suivi des actions Qualite-EHS'!#REF!&lt;&gt;"s",IF('Suivi des actions Qualite-EHS'!#REF!&lt;&gt;"e",1,0))))</f>
        <v>#REF!</v>
      </c>
      <c r="L21" t="e">
        <f t="shared" si="1"/>
        <v>#REF!</v>
      </c>
      <c r="M21" s="2" t="e">
        <f>'Données (ne pas toucher)'!#REF!</f>
        <v>#REF!</v>
      </c>
    </row>
    <row r="22" spans="1:13" ht="25.5" x14ac:dyDescent="0.25">
      <c r="D22" s="2"/>
      <c r="E22" s="56" t="s">
        <v>55</v>
      </c>
      <c r="F22" s="71" t="e">
        <f>F25/F18*100</f>
        <v>#DIV/0!</v>
      </c>
      <c r="G22" s="2" t="s">
        <v>38</v>
      </c>
      <c r="H22" s="12" t="e">
        <f t="shared" si="0"/>
        <v>#REF!</v>
      </c>
      <c r="I22" s="2" t="e">
        <f>'Données (ne pas toucher)'!#REF!</f>
        <v>#REF!</v>
      </c>
      <c r="J22" s="54" t="e">
        <f t="shared" si="3"/>
        <v>#REF!</v>
      </c>
      <c r="K22" s="1" t="e">
        <f t="array" ref="K22">SUM(IF('Suivi des actions Qualite-EHS'!$D$14:$D$433=I22,IF('Suivi des actions Qualite-EHS'!#REF!&lt;&gt;"s",IF('Suivi des actions Qualite-EHS'!#REF!&lt;&gt;"e",1,0))))</f>
        <v>#REF!</v>
      </c>
      <c r="L22" t="e">
        <f t="shared" si="1"/>
        <v>#REF!</v>
      </c>
      <c r="M22" s="2" t="e">
        <f>'Données (ne pas toucher)'!#REF!</f>
        <v>#REF!</v>
      </c>
    </row>
    <row r="23" spans="1:13" ht="25.5" x14ac:dyDescent="0.25">
      <c r="D23" s="2"/>
      <c r="E23" s="56" t="s">
        <v>56</v>
      </c>
      <c r="F23" s="71" t="e">
        <f>F26*100/F25</f>
        <v>#DIV/0!</v>
      </c>
      <c r="G23" s="2" t="s">
        <v>38</v>
      </c>
      <c r="H23" s="12" t="e">
        <f t="shared" si="0"/>
        <v>#REF!</v>
      </c>
      <c r="I23" s="2" t="e">
        <f>'Données (ne pas toucher)'!#REF!</f>
        <v>#REF!</v>
      </c>
      <c r="J23" s="54" t="e">
        <f t="shared" si="3"/>
        <v>#REF!</v>
      </c>
      <c r="K23" s="1" t="e">
        <f t="array" ref="K23">SUM(IF('Suivi des actions Qualite-EHS'!$D$14:$D$433=I23,IF('Suivi des actions Qualite-EHS'!#REF!&lt;&gt;"s",IF('Suivi des actions Qualite-EHS'!#REF!&lt;&gt;"e",1,0))))</f>
        <v>#REF!</v>
      </c>
      <c r="L23" t="e">
        <f t="shared" si="1"/>
        <v>#REF!</v>
      </c>
      <c r="M23" s="2" t="e">
        <f>'Données (ne pas toucher)'!#REF!</f>
        <v>#REF!</v>
      </c>
    </row>
    <row r="24" spans="1:13" ht="26.25" thickBot="1" x14ac:dyDescent="0.3">
      <c r="A24" s="56"/>
      <c r="D24" s="2"/>
      <c r="E24" s="58" t="s">
        <v>57</v>
      </c>
      <c r="F24" s="70" t="e">
        <f>F26*100/F18</f>
        <v>#DIV/0!</v>
      </c>
      <c r="G24" s="2" t="s">
        <v>38</v>
      </c>
      <c r="H24" s="12" t="e">
        <f t="shared" si="0"/>
        <v>#REF!</v>
      </c>
      <c r="I24" s="2" t="e">
        <f>'Données (ne pas toucher)'!#REF!</f>
        <v>#REF!</v>
      </c>
      <c r="J24" s="54" t="e">
        <f t="shared" si="3"/>
        <v>#REF!</v>
      </c>
      <c r="K24" s="1" t="e">
        <f t="array" ref="K24">SUM(IF('Suivi des actions Qualite-EHS'!$D$14:$D$433=I24,IF('Suivi des actions Qualite-EHS'!#REF!&lt;&gt;"s",IF('Suivi des actions Qualite-EHS'!#REF!&lt;&gt;"e",1,0))))</f>
        <v>#REF!</v>
      </c>
      <c r="L24" t="e">
        <f t="shared" si="1"/>
        <v>#REF!</v>
      </c>
      <c r="M24" s="2" t="e">
        <f>'Données (ne pas toucher)'!#REF!</f>
        <v>#REF!</v>
      </c>
    </row>
    <row r="25" spans="1:13" x14ac:dyDescent="0.25">
      <c r="A25" s="56"/>
      <c r="B25" s="2"/>
      <c r="C25" s="2"/>
      <c r="D25" s="2"/>
      <c r="E25" s="56" t="s">
        <v>58</v>
      </c>
      <c r="F25" s="51">
        <f t="array" ref="F25">SUM(IF('Suivi des actions Qualite-EHS'!$N$14:$N$433=1,IF('Suivi des actions Qualite-EHS'!#REF!&lt;&gt;"s",IF('Suivi des actions Qualite-EHS'!#REF!&lt;&gt;"e",1,0))))</f>
        <v>0</v>
      </c>
      <c r="G25" s="2"/>
      <c r="H25" s="12" t="e">
        <f t="shared" si="0"/>
        <v>#REF!</v>
      </c>
      <c r="I25" s="2" t="e">
        <f>'Données (ne pas toucher)'!#REF!</f>
        <v>#REF!</v>
      </c>
      <c r="J25" s="54" t="e">
        <f t="shared" si="3"/>
        <v>#REF!</v>
      </c>
      <c r="K25" s="1" t="e">
        <f t="array" ref="K25">SUM(IF('Suivi des actions Qualite-EHS'!$D$14:$D$433=I25,IF('Suivi des actions Qualite-EHS'!#REF!&lt;&gt;"s",IF('Suivi des actions Qualite-EHS'!#REF!&lt;&gt;"e",1,0))))</f>
        <v>#REF!</v>
      </c>
      <c r="L25" t="e">
        <f t="shared" si="1"/>
        <v>#REF!</v>
      </c>
      <c r="M25" s="2" t="e">
        <f>'Données (ne pas toucher)'!#REF!</f>
        <v>#REF!</v>
      </c>
    </row>
    <row r="26" spans="1:13" x14ac:dyDescent="0.25">
      <c r="E26" s="56" t="s">
        <v>59</v>
      </c>
      <c r="F26" s="51">
        <f t="array" ref="F26">SUM(IF('Suivi des actions Qualite-EHS'!$N$14:$N$433=1,IF('Suivi des actions Qualite-EHS'!#REF!&lt;&gt;"",IF('Suivi des actions Qualite-EHS'!#REF!&lt;&gt;"s",IF('Suivi des actions Qualite-EHS'!#REF!&lt;&gt;"e",1,0)))))</f>
        <v>0</v>
      </c>
      <c r="H26" s="12" t="e">
        <f t="shared" si="0"/>
        <v>#REF!</v>
      </c>
      <c r="I26" s="2" t="e">
        <f>'Données (ne pas toucher)'!#REF!</f>
        <v>#REF!</v>
      </c>
      <c r="J26" s="54" t="e">
        <f t="shared" si="3"/>
        <v>#REF!</v>
      </c>
      <c r="K26" s="1" t="e">
        <f t="array" ref="K26">SUM(IF('Suivi des actions Qualite-EHS'!$D$14:$D$433=I26,IF('Suivi des actions Qualite-EHS'!#REF!&lt;&gt;"s",IF('Suivi des actions Qualite-EHS'!#REF!&lt;&gt;"e",1,0))))</f>
        <v>#REF!</v>
      </c>
      <c r="L26" t="e">
        <f t="shared" si="1"/>
        <v>#REF!</v>
      </c>
      <c r="M26" s="2" t="e">
        <f>'Données (ne pas toucher)'!#REF!</f>
        <v>#REF!</v>
      </c>
    </row>
    <row r="27" spans="1:13" x14ac:dyDescent="0.25">
      <c r="H27" s="12" t="e">
        <f t="shared" si="0"/>
        <v>#REF!</v>
      </c>
      <c r="I27" s="2" t="e">
        <f>'Données (ne pas toucher)'!#REF!</f>
        <v>#REF!</v>
      </c>
      <c r="J27" s="54" t="e">
        <f t="shared" si="3"/>
        <v>#REF!</v>
      </c>
      <c r="K27" s="1" t="e">
        <f t="array" ref="K27">SUM(IF('Suivi des actions Qualite-EHS'!$D$14:$D$433=I27,IF('Suivi des actions Qualite-EHS'!#REF!&lt;&gt;"s",IF('Suivi des actions Qualite-EHS'!#REF!&lt;&gt;"e",1,0))))</f>
        <v>#REF!</v>
      </c>
      <c r="L27" t="e">
        <f t="shared" si="1"/>
        <v>#REF!</v>
      </c>
      <c r="M27" s="2" t="e">
        <f>'Données (ne pas toucher)'!#REF!</f>
        <v>#REF!</v>
      </c>
    </row>
    <row r="28" spans="1:13" x14ac:dyDescent="0.25">
      <c r="H28" s="12" t="e">
        <f t="shared" si="0"/>
        <v>#REF!</v>
      </c>
      <c r="I28" s="2" t="e">
        <f>'Données (ne pas toucher)'!#REF!</f>
        <v>#REF!</v>
      </c>
      <c r="J28" s="54" t="e">
        <f t="shared" si="3"/>
        <v>#REF!</v>
      </c>
      <c r="K28" s="1" t="e">
        <f t="array" ref="K28">SUM(IF('Suivi des actions Qualite-EHS'!$D$14:$D$433=I28,IF('Suivi des actions Qualite-EHS'!#REF!&lt;&gt;"s",IF('Suivi des actions Qualite-EHS'!#REF!&lt;&gt;"e",1,0))))</f>
        <v>#REF!</v>
      </c>
      <c r="L28" t="e">
        <f t="shared" si="1"/>
        <v>#REF!</v>
      </c>
      <c r="M28" s="2" t="e">
        <f>'Données (ne pas toucher)'!#REF!</f>
        <v>#REF!</v>
      </c>
    </row>
    <row r="29" spans="1:13" x14ac:dyDescent="0.25">
      <c r="I29" s="2"/>
      <c r="K29" s="1"/>
      <c r="M29" s="2"/>
    </row>
  </sheetData>
  <sheetProtection password="90E1" sheet="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W43"/>
  <sheetViews>
    <sheetView topLeftCell="E1" workbookViewId="0">
      <selection activeCell="R11" sqref="R11"/>
    </sheetView>
  </sheetViews>
  <sheetFormatPr baseColWidth="10" defaultRowHeight="15" x14ac:dyDescent="0.25"/>
  <cols>
    <col min="1" max="1" width="19.5703125" style="110" bestFit="1" customWidth="1"/>
    <col min="2" max="2" width="20" style="110" bestFit="1" customWidth="1"/>
    <col min="3" max="3" width="17.42578125" style="110" bestFit="1" customWidth="1"/>
    <col min="4" max="4" width="7.7109375" style="110" bestFit="1" customWidth="1"/>
    <col min="5" max="5" width="18.140625" style="110" bestFit="1" customWidth="1"/>
    <col min="6" max="6" width="12.5703125" style="110" bestFit="1" customWidth="1"/>
    <col min="7" max="7" width="11.28515625" style="110" bestFit="1" customWidth="1"/>
    <col min="8" max="8" width="13.7109375" style="110" bestFit="1" customWidth="1"/>
    <col min="9" max="9" width="25.5703125" style="110" bestFit="1" customWidth="1"/>
    <col min="10" max="10" width="9" style="110" bestFit="1" customWidth="1"/>
    <col min="11" max="11" width="10.7109375" style="110" bestFit="1" customWidth="1"/>
    <col min="12" max="12" width="10.42578125" style="110" bestFit="1" customWidth="1"/>
    <col min="13" max="13" width="20.42578125" style="110" customWidth="1"/>
    <col min="14" max="14" width="15.28515625" style="110" customWidth="1"/>
    <col min="15" max="15" width="13" style="110" bestFit="1" customWidth="1"/>
    <col min="16" max="16" width="23.140625" style="110" bestFit="1" customWidth="1"/>
    <col min="17" max="17" width="23.140625" style="318" bestFit="1" customWidth="1"/>
    <col min="18" max="18" width="22.140625" style="318" customWidth="1"/>
    <col min="19" max="19" width="22.28515625" style="110" bestFit="1" customWidth="1"/>
    <col min="20" max="20" width="12.7109375" style="110" customWidth="1"/>
    <col min="21" max="21" width="11.42578125" style="110"/>
    <col min="23" max="23" width="11.42578125" style="110"/>
    <col min="25" max="25" width="18.85546875" bestFit="1" customWidth="1"/>
    <col min="28" max="28" width="13.28515625" bestFit="1" customWidth="1"/>
    <col min="36" max="36" width="24.140625" customWidth="1"/>
  </cols>
  <sheetData>
    <row r="1" spans="1:23" x14ac:dyDescent="0.25">
      <c r="O1" s="314" t="s">
        <v>418</v>
      </c>
      <c r="P1" s="315" t="s">
        <v>22</v>
      </c>
      <c r="Q1" s="319" t="s">
        <v>3</v>
      </c>
      <c r="R1" s="319" t="s">
        <v>463</v>
      </c>
      <c r="W1" s="315"/>
    </row>
    <row r="2" spans="1:23" x14ac:dyDescent="0.25">
      <c r="A2" s="232" t="s">
        <v>277</v>
      </c>
      <c r="B2" s="110" t="s">
        <v>125</v>
      </c>
      <c r="C2" s="110" t="s">
        <v>304</v>
      </c>
      <c r="F2" s="110" t="s">
        <v>312</v>
      </c>
      <c r="G2" s="110" t="s">
        <v>317</v>
      </c>
      <c r="H2" s="110" t="s">
        <v>74</v>
      </c>
      <c r="I2" s="110" t="s">
        <v>10</v>
      </c>
      <c r="J2" s="110" t="s">
        <v>324</v>
      </c>
      <c r="L2" s="110" t="s">
        <v>10</v>
      </c>
      <c r="M2" s="110" t="s">
        <v>244</v>
      </c>
      <c r="N2" s="232" t="s">
        <v>248</v>
      </c>
      <c r="O2" s="232" t="s">
        <v>419</v>
      </c>
      <c r="P2" s="232" t="s">
        <v>176</v>
      </c>
      <c r="Q2" s="318" t="s">
        <v>461</v>
      </c>
      <c r="R2" s="357" t="s">
        <v>448</v>
      </c>
      <c r="W2" s="232"/>
    </row>
    <row r="3" spans="1:23" x14ac:dyDescent="0.25">
      <c r="A3" s="232" t="s">
        <v>278</v>
      </c>
      <c r="B3" s="110" t="s">
        <v>286</v>
      </c>
      <c r="C3" s="110" t="s">
        <v>305</v>
      </c>
      <c r="F3" s="110" t="s">
        <v>313</v>
      </c>
      <c r="G3" s="110" t="s">
        <v>318</v>
      </c>
      <c r="H3" s="110" t="s">
        <v>75</v>
      </c>
      <c r="I3" s="110" t="s">
        <v>11</v>
      </c>
      <c r="J3" s="110" t="s">
        <v>325</v>
      </c>
      <c r="L3" s="110" t="s">
        <v>11</v>
      </c>
      <c r="M3" s="110" t="s">
        <v>245</v>
      </c>
      <c r="N3" s="232" t="s">
        <v>249</v>
      </c>
      <c r="O3" s="233" t="s">
        <v>420</v>
      </c>
      <c r="P3" s="232" t="s">
        <v>32</v>
      </c>
      <c r="Q3" s="318" t="s">
        <v>462</v>
      </c>
      <c r="R3" s="318" t="s">
        <v>449</v>
      </c>
      <c r="W3" s="232"/>
    </row>
    <row r="4" spans="1:23" ht="22.5" x14ac:dyDescent="0.25">
      <c r="A4" s="232" t="s">
        <v>279</v>
      </c>
      <c r="B4" s="110" t="s">
        <v>296</v>
      </c>
      <c r="C4" s="110" t="s">
        <v>306</v>
      </c>
      <c r="G4" s="110" t="s">
        <v>319</v>
      </c>
      <c r="H4" s="110" t="s">
        <v>76</v>
      </c>
      <c r="I4" s="110" t="s">
        <v>322</v>
      </c>
      <c r="J4" s="110" t="s">
        <v>326</v>
      </c>
      <c r="L4" s="110" t="s">
        <v>452</v>
      </c>
      <c r="M4" s="110" t="s">
        <v>246</v>
      </c>
      <c r="N4" s="108" t="s">
        <v>250</v>
      </c>
      <c r="O4" s="232" t="s">
        <v>421</v>
      </c>
      <c r="P4" s="232" t="s">
        <v>440</v>
      </c>
      <c r="R4" s="318" t="s">
        <v>447</v>
      </c>
      <c r="W4" s="232"/>
    </row>
    <row r="5" spans="1:23" ht="22.5" x14ac:dyDescent="0.25">
      <c r="A5" s="232" t="s">
        <v>280</v>
      </c>
      <c r="B5" s="110" t="s">
        <v>287</v>
      </c>
      <c r="C5" s="110" t="s">
        <v>307</v>
      </c>
      <c r="G5" s="110" t="s">
        <v>320</v>
      </c>
      <c r="H5" s="110" t="s">
        <v>77</v>
      </c>
      <c r="J5" s="110" t="s">
        <v>327</v>
      </c>
      <c r="M5" s="110" t="s">
        <v>247</v>
      </c>
      <c r="N5" s="232" t="s">
        <v>251</v>
      </c>
      <c r="O5" s="232" t="s">
        <v>422</v>
      </c>
      <c r="P5" s="316" t="s">
        <v>441</v>
      </c>
      <c r="R5" s="318" t="s">
        <v>450</v>
      </c>
      <c r="W5" s="316"/>
    </row>
    <row r="6" spans="1:23" x14ac:dyDescent="0.25">
      <c r="A6" s="232" t="s">
        <v>265</v>
      </c>
      <c r="B6" s="110" t="s">
        <v>288</v>
      </c>
      <c r="C6" s="110" t="s">
        <v>308</v>
      </c>
      <c r="G6" s="110" t="s">
        <v>321</v>
      </c>
      <c r="H6" s="110" t="s">
        <v>337</v>
      </c>
      <c r="J6" s="110" t="s">
        <v>328</v>
      </c>
      <c r="N6" s="108" t="s">
        <v>252</v>
      </c>
      <c r="O6" s="232" t="s">
        <v>423</v>
      </c>
      <c r="P6" s="232" t="s">
        <v>442</v>
      </c>
      <c r="R6" s="318" t="s">
        <v>465</v>
      </c>
      <c r="W6" s="232"/>
    </row>
    <row r="7" spans="1:23" x14ac:dyDescent="0.25">
      <c r="A7" s="232" t="s">
        <v>281</v>
      </c>
      <c r="B7" s="110" t="s">
        <v>289</v>
      </c>
      <c r="C7" s="110" t="s">
        <v>309</v>
      </c>
      <c r="N7" s="108" t="s">
        <v>253</v>
      </c>
      <c r="O7" s="232" t="s">
        <v>424</v>
      </c>
      <c r="P7" s="232" t="s">
        <v>443</v>
      </c>
      <c r="W7" s="232"/>
    </row>
    <row r="8" spans="1:23" x14ac:dyDescent="0.25">
      <c r="A8" s="233" t="s">
        <v>282</v>
      </c>
      <c r="B8" s="110" t="s">
        <v>290</v>
      </c>
      <c r="C8" s="110" t="s">
        <v>310</v>
      </c>
      <c r="N8" s="108" t="s">
        <v>254</v>
      </c>
      <c r="O8" s="232" t="s">
        <v>361</v>
      </c>
      <c r="P8" s="232" t="s">
        <v>444</v>
      </c>
      <c r="W8" s="232"/>
    </row>
    <row r="9" spans="1:23" ht="22.5" x14ac:dyDescent="0.25">
      <c r="A9" s="233" t="s">
        <v>283</v>
      </c>
      <c r="B9" s="110" t="s">
        <v>291</v>
      </c>
      <c r="C9" s="110" t="s">
        <v>311</v>
      </c>
      <c r="N9" s="108" t="s">
        <v>255</v>
      </c>
      <c r="O9" s="232" t="s">
        <v>359</v>
      </c>
      <c r="P9" s="232" t="s">
        <v>445</v>
      </c>
      <c r="W9" s="232"/>
    </row>
    <row r="10" spans="1:23" x14ac:dyDescent="0.25">
      <c r="A10" s="232" t="s">
        <v>284</v>
      </c>
      <c r="B10" s="110" t="s">
        <v>292</v>
      </c>
      <c r="N10" s="108" t="s">
        <v>256</v>
      </c>
      <c r="O10" s="232" t="s">
        <v>425</v>
      </c>
      <c r="P10" s="316" t="s">
        <v>446</v>
      </c>
      <c r="W10" s="316"/>
    </row>
    <row r="11" spans="1:23" x14ac:dyDescent="0.25">
      <c r="A11" s="232" t="s">
        <v>285</v>
      </c>
      <c r="B11" s="110" t="s">
        <v>280</v>
      </c>
      <c r="N11" s="108" t="s">
        <v>257</v>
      </c>
      <c r="O11" s="233" t="s">
        <v>426</v>
      </c>
    </row>
    <row r="12" spans="1:23" ht="22.5" x14ac:dyDescent="0.25">
      <c r="B12" s="110" t="s">
        <v>283</v>
      </c>
      <c r="N12" s="108" t="s">
        <v>258</v>
      </c>
      <c r="O12" s="232" t="s">
        <v>427</v>
      </c>
    </row>
    <row r="13" spans="1:23" x14ac:dyDescent="0.25">
      <c r="B13" s="110" t="s">
        <v>293</v>
      </c>
      <c r="N13" s="232" t="s">
        <v>259</v>
      </c>
      <c r="O13" s="232" t="s">
        <v>428</v>
      </c>
    </row>
    <row r="14" spans="1:23" ht="22.5" x14ac:dyDescent="0.25">
      <c r="A14" s="110" t="s">
        <v>176</v>
      </c>
      <c r="B14" s="110" t="s">
        <v>297</v>
      </c>
      <c r="H14" s="107" t="s">
        <v>223</v>
      </c>
      <c r="I14" s="107" t="s">
        <v>230</v>
      </c>
      <c r="J14" s="107"/>
      <c r="N14" s="108" t="s">
        <v>260</v>
      </c>
      <c r="O14" s="232" t="s">
        <v>429</v>
      </c>
    </row>
    <row r="15" spans="1:23" x14ac:dyDescent="0.25">
      <c r="A15" s="110" t="s">
        <v>358</v>
      </c>
      <c r="B15" s="110" t="s">
        <v>294</v>
      </c>
      <c r="C15" s="247"/>
      <c r="D15" s="247"/>
      <c r="E15" s="232" t="s">
        <v>329</v>
      </c>
      <c r="F15" s="232" t="s">
        <v>330</v>
      </c>
      <c r="G15" s="247"/>
      <c r="H15" s="107" t="s">
        <v>224</v>
      </c>
      <c r="I15" s="107" t="s">
        <v>346</v>
      </c>
      <c r="J15" s="107"/>
      <c r="N15" s="108" t="s">
        <v>261</v>
      </c>
      <c r="O15" s="232" t="s">
        <v>430</v>
      </c>
    </row>
    <row r="16" spans="1:23" ht="22.5" x14ac:dyDescent="0.25">
      <c r="A16" s="110" t="s">
        <v>359</v>
      </c>
      <c r="B16" s="110" t="s">
        <v>277</v>
      </c>
      <c r="C16" s="247"/>
      <c r="D16" s="247"/>
      <c r="E16" s="232" t="s">
        <v>331</v>
      </c>
      <c r="F16" s="232" t="s">
        <v>332</v>
      </c>
      <c r="G16" s="247"/>
      <c r="H16" s="107" t="s">
        <v>225</v>
      </c>
      <c r="I16" s="107"/>
      <c r="J16" s="107"/>
      <c r="N16" s="108" t="s">
        <v>262</v>
      </c>
      <c r="O16" s="232" t="s">
        <v>431</v>
      </c>
    </row>
    <row r="17" spans="1:15" ht="22.5" x14ac:dyDescent="0.25">
      <c r="A17" s="110" t="s">
        <v>360</v>
      </c>
      <c r="B17" s="110" t="s">
        <v>298</v>
      </c>
      <c r="E17" s="232" t="s">
        <v>333</v>
      </c>
      <c r="F17" s="232" t="s">
        <v>334</v>
      </c>
      <c r="H17" s="107"/>
      <c r="I17" s="107"/>
      <c r="J17" s="107"/>
      <c r="N17" s="108" t="s">
        <v>263</v>
      </c>
      <c r="O17" s="232" t="s">
        <v>432</v>
      </c>
    </row>
    <row r="18" spans="1:15" ht="22.5" x14ac:dyDescent="0.25">
      <c r="A18" s="110" t="s">
        <v>361</v>
      </c>
      <c r="B18" s="110" t="s">
        <v>299</v>
      </c>
      <c r="E18" s="232" t="s">
        <v>335</v>
      </c>
      <c r="F18" s="232" t="s">
        <v>336</v>
      </c>
      <c r="H18" s="107"/>
      <c r="I18" s="107"/>
      <c r="J18" s="107"/>
      <c r="N18" s="108" t="s">
        <v>264</v>
      </c>
      <c r="O18" s="232" t="s">
        <v>433</v>
      </c>
    </row>
    <row r="19" spans="1:15" x14ac:dyDescent="0.25">
      <c r="A19" s="110" t="s">
        <v>201</v>
      </c>
      <c r="B19" s="110" t="s">
        <v>300</v>
      </c>
      <c r="E19" s="232" t="s">
        <v>337</v>
      </c>
      <c r="F19" s="232" t="s">
        <v>338</v>
      </c>
      <c r="H19" s="107"/>
      <c r="I19" s="107"/>
      <c r="J19" s="107"/>
      <c r="N19" s="232" t="s">
        <v>265</v>
      </c>
      <c r="O19" s="232" t="s">
        <v>434</v>
      </c>
    </row>
    <row r="20" spans="1:15" ht="102" x14ac:dyDescent="0.25">
      <c r="B20" s="110" t="s">
        <v>301</v>
      </c>
      <c r="E20" s="250"/>
      <c r="F20" s="232" t="s">
        <v>339</v>
      </c>
      <c r="H20" s="107"/>
      <c r="I20" s="107" t="s">
        <v>64</v>
      </c>
      <c r="J20" s="251" t="s">
        <v>347</v>
      </c>
      <c r="N20" s="232" t="s">
        <v>266</v>
      </c>
      <c r="O20" s="232" t="s">
        <v>435</v>
      </c>
    </row>
    <row r="21" spans="1:15" ht="102" x14ac:dyDescent="0.25">
      <c r="B21" s="110" t="s">
        <v>302</v>
      </c>
      <c r="E21" s="250"/>
      <c r="F21" s="232" t="s">
        <v>340</v>
      </c>
      <c r="H21" s="107"/>
      <c r="I21" s="107" t="s">
        <v>346</v>
      </c>
      <c r="J21" s="251" t="s">
        <v>348</v>
      </c>
      <c r="N21" s="232" t="s">
        <v>267</v>
      </c>
      <c r="O21" s="232" t="s">
        <v>436</v>
      </c>
    </row>
    <row r="22" spans="1:15" ht="22.5" x14ac:dyDescent="0.25">
      <c r="B22" s="110" t="s">
        <v>295</v>
      </c>
      <c r="E22" s="250"/>
      <c r="F22" s="232" t="s">
        <v>341</v>
      </c>
      <c r="N22" s="232" t="s">
        <v>268</v>
      </c>
      <c r="O22" s="232" t="s">
        <v>437</v>
      </c>
    </row>
    <row r="23" spans="1:15" ht="22.5" x14ac:dyDescent="0.25">
      <c r="B23" s="110" t="s">
        <v>73</v>
      </c>
      <c r="E23" s="250"/>
      <c r="F23" s="232" t="s">
        <v>342</v>
      </c>
      <c r="N23" s="232" t="s">
        <v>269</v>
      </c>
      <c r="O23" s="232" t="s">
        <v>438</v>
      </c>
    </row>
    <row r="24" spans="1:15" x14ac:dyDescent="0.25">
      <c r="E24" s="250"/>
      <c r="F24" s="232" t="s">
        <v>335</v>
      </c>
      <c r="N24" s="232" t="s">
        <v>270</v>
      </c>
      <c r="O24" s="232" t="s">
        <v>439</v>
      </c>
    </row>
    <row r="25" spans="1:15" ht="22.5" x14ac:dyDescent="0.25">
      <c r="E25" s="250"/>
      <c r="F25" s="232" t="s">
        <v>343</v>
      </c>
      <c r="N25" s="232" t="s">
        <v>271</v>
      </c>
      <c r="O25" s="232" t="s">
        <v>313</v>
      </c>
    </row>
    <row r="26" spans="1:15" x14ac:dyDescent="0.25">
      <c r="A26" s="232" t="s">
        <v>399</v>
      </c>
      <c r="B26" s="232" t="s">
        <v>16</v>
      </c>
      <c r="C26" s="232" t="s">
        <v>12</v>
      </c>
      <c r="E26" s="250"/>
      <c r="F26" s="232" t="s">
        <v>344</v>
      </c>
      <c r="N26" s="232" t="s">
        <v>272</v>
      </c>
    </row>
    <row r="27" spans="1:15" ht="22.5" x14ac:dyDescent="0.25">
      <c r="A27" s="232" t="s">
        <v>400</v>
      </c>
      <c r="B27" s="233" t="s">
        <v>17</v>
      </c>
      <c r="C27" s="232" t="s">
        <v>13</v>
      </c>
      <c r="E27" s="250"/>
      <c r="F27" s="232" t="s">
        <v>345</v>
      </c>
      <c r="N27" s="232" t="s">
        <v>273</v>
      </c>
    </row>
    <row r="28" spans="1:15" x14ac:dyDescent="0.25">
      <c r="A28" s="232" t="s">
        <v>401</v>
      </c>
      <c r="B28" s="232" t="s">
        <v>14</v>
      </c>
      <c r="C28" s="232" t="s">
        <v>407</v>
      </c>
      <c r="N28" s="232" t="s">
        <v>274</v>
      </c>
    </row>
    <row r="29" spans="1:15" ht="22.5" x14ac:dyDescent="0.25">
      <c r="A29" s="232" t="s">
        <v>402</v>
      </c>
      <c r="B29" s="232" t="s">
        <v>15</v>
      </c>
      <c r="N29" s="232" t="s">
        <v>275</v>
      </c>
    </row>
    <row r="30" spans="1:15" x14ac:dyDescent="0.25">
      <c r="A30" s="232" t="s">
        <v>403</v>
      </c>
      <c r="B30" s="232" t="s">
        <v>19</v>
      </c>
      <c r="N30" s="232" t="s">
        <v>276</v>
      </c>
    </row>
    <row r="31" spans="1:15" x14ac:dyDescent="0.25">
      <c r="A31" s="232" t="s">
        <v>404</v>
      </c>
      <c r="B31" s="232" t="s">
        <v>18</v>
      </c>
    </row>
    <row r="32" spans="1:15" x14ac:dyDescent="0.25">
      <c r="A32" s="232" t="s">
        <v>405</v>
      </c>
    </row>
    <row r="33" spans="1:1" x14ac:dyDescent="0.25">
      <c r="A33" s="232" t="s">
        <v>406</v>
      </c>
    </row>
    <row r="35" spans="1:1" x14ac:dyDescent="0.25">
      <c r="A35" s="232" t="s">
        <v>408</v>
      </c>
    </row>
    <row r="36" spans="1:1" x14ac:dyDescent="0.25">
      <c r="A36" s="232" t="s">
        <v>409</v>
      </c>
    </row>
    <row r="37" spans="1:1" ht="22.5" x14ac:dyDescent="0.25">
      <c r="A37" s="232" t="s">
        <v>410</v>
      </c>
    </row>
    <row r="38" spans="1:1" x14ac:dyDescent="0.25">
      <c r="A38" s="232" t="s">
        <v>411</v>
      </c>
    </row>
    <row r="39" spans="1:1" ht="22.5" x14ac:dyDescent="0.25">
      <c r="A39" s="232" t="s">
        <v>412</v>
      </c>
    </row>
    <row r="40" spans="1:1" ht="22.5" x14ac:dyDescent="0.25">
      <c r="A40" s="232" t="s">
        <v>413</v>
      </c>
    </row>
    <row r="41" spans="1:1" x14ac:dyDescent="0.25">
      <c r="A41" s="232" t="s">
        <v>414</v>
      </c>
    </row>
    <row r="42" spans="1:1" ht="33.75" x14ac:dyDescent="0.25">
      <c r="A42" s="232" t="s">
        <v>415</v>
      </c>
    </row>
    <row r="43" spans="1:1" x14ac:dyDescent="0.25">
      <c r="A43" s="232" t="s">
        <v>416</v>
      </c>
    </row>
  </sheetData>
  <sortState ref="M7:M51">
    <sortCondition ref="M7"/>
  </sortState>
  <phoneticPr fontId="0"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J29"/>
  <sheetViews>
    <sheetView workbookViewId="0">
      <selection activeCell="D12" sqref="D12"/>
    </sheetView>
  </sheetViews>
  <sheetFormatPr baseColWidth="10" defaultRowHeight="15" x14ac:dyDescent="0.25"/>
  <cols>
    <col min="7" max="7" width="11.42578125" style="13"/>
  </cols>
  <sheetData>
    <row r="1" spans="1:10" x14ac:dyDescent="0.25">
      <c r="A1" s="1" t="s">
        <v>12</v>
      </c>
      <c r="B1" s="1" t="e">
        <f>COUNTIF('Suivi des actions Qualite-EHS'!#REF!,"AC")</f>
        <v>#REF!</v>
      </c>
      <c r="C1" s="1"/>
      <c r="D1" s="1" t="s">
        <v>18</v>
      </c>
      <c r="E1" s="1" t="e">
        <f>COUNTIF('Suivi des actions Qualite-EHS'!#REF!,D1)</f>
        <v>#REF!</v>
      </c>
      <c r="F1" s="1"/>
      <c r="G1" s="2" t="e">
        <f>'Données (ne pas toucher)'!#REF!</f>
        <v>#REF!</v>
      </c>
      <c r="H1" s="1" t="e">
        <f>COUNTIF('Suivi des actions Qualite-EHS'!#REF!,G1)</f>
        <v>#REF!</v>
      </c>
      <c r="I1" s="14" t="e">
        <f t="shared" ref="I1:I26" si="0">H1/SUM($H$1:$H$26)</f>
        <v>#REF!</v>
      </c>
      <c r="J1" s="1" t="e">
        <f t="shared" ref="J1:J26" si="1">RANK(H1,$H$1:$H$26)</f>
        <v>#REF!</v>
      </c>
    </row>
    <row r="2" spans="1:10" x14ac:dyDescent="0.25">
      <c r="A2" s="1" t="s">
        <v>13</v>
      </c>
      <c r="B2" s="1" t="e">
        <f>COUNTIF('Suivi des actions Qualite-EHS'!#REF!,"AP")</f>
        <v>#REF!</v>
      </c>
      <c r="C2" s="1"/>
      <c r="D2" s="1" t="s">
        <v>14</v>
      </c>
      <c r="E2" s="1">
        <f>COUNTIF($I$7:$I$403,D2)</f>
        <v>0</v>
      </c>
      <c r="F2" s="1"/>
      <c r="G2" s="2" t="e">
        <f>'Données (ne pas toucher)'!#REF!</f>
        <v>#REF!</v>
      </c>
      <c r="H2" s="1" t="e">
        <f>COUNTIF('Suivi des actions Qualite-EHS'!#REF!,G2)</f>
        <v>#REF!</v>
      </c>
      <c r="I2" s="14" t="e">
        <f t="shared" si="0"/>
        <v>#REF!</v>
      </c>
      <c r="J2" s="1" t="e">
        <f t="shared" si="1"/>
        <v>#REF!</v>
      </c>
    </row>
    <row r="3" spans="1:10" ht="30" x14ac:dyDescent="0.25">
      <c r="A3" s="1"/>
      <c r="B3" s="1"/>
      <c r="C3" s="1"/>
      <c r="D3" s="1" t="s">
        <v>17</v>
      </c>
      <c r="E3" s="1" t="e">
        <f>COUNTIF('Suivi des actions Qualite-EHS'!#REF!,D3)</f>
        <v>#REF!</v>
      </c>
      <c r="F3" s="1"/>
      <c r="G3" s="2" t="e">
        <f>'Données (ne pas toucher)'!#REF!</f>
        <v>#REF!</v>
      </c>
      <c r="H3" s="1" t="e">
        <f>COUNTIF('Suivi des actions Qualite-EHS'!#REF!,G3)</f>
        <v>#REF!</v>
      </c>
      <c r="I3" s="14" t="e">
        <f t="shared" si="0"/>
        <v>#REF!</v>
      </c>
      <c r="J3" s="1" t="e">
        <f t="shared" si="1"/>
        <v>#REF!</v>
      </c>
    </row>
    <row r="4" spans="1:10" ht="30" x14ac:dyDescent="0.25">
      <c r="A4" s="1"/>
      <c r="B4" s="1"/>
      <c r="C4" s="1"/>
      <c r="D4" s="1" t="s">
        <v>16</v>
      </c>
      <c r="E4" s="1" t="e">
        <f>COUNTIF('Suivi des actions Qualite-EHS'!#REF!,D4)</f>
        <v>#REF!</v>
      </c>
      <c r="F4" s="1"/>
      <c r="G4" s="2" t="e">
        <f>'Données (ne pas toucher)'!#REF!</f>
        <v>#REF!</v>
      </c>
      <c r="H4" s="1" t="e">
        <f>COUNTIF('Suivi des actions Qualite-EHS'!#REF!,G4)</f>
        <v>#REF!</v>
      </c>
      <c r="I4" s="14" t="e">
        <f t="shared" si="0"/>
        <v>#REF!</v>
      </c>
      <c r="J4" s="1" t="e">
        <f t="shared" si="1"/>
        <v>#REF!</v>
      </c>
    </row>
    <row r="5" spans="1:10" x14ac:dyDescent="0.25">
      <c r="A5" s="1"/>
      <c r="B5" s="1"/>
      <c r="C5" s="1"/>
      <c r="D5" s="1" t="s">
        <v>15</v>
      </c>
      <c r="E5" s="1" t="e">
        <f>COUNTIF('Suivi des actions Qualite-EHS'!#REF!,D5)</f>
        <v>#REF!</v>
      </c>
      <c r="F5" s="1"/>
      <c r="G5" s="2" t="e">
        <f>'Données (ne pas toucher)'!#REF!</f>
        <v>#REF!</v>
      </c>
      <c r="H5" s="1" t="e">
        <f>COUNTIF('Suivi des actions Qualite-EHS'!#REF!,G5)</f>
        <v>#REF!</v>
      </c>
      <c r="I5" s="14" t="e">
        <f t="shared" si="0"/>
        <v>#REF!</v>
      </c>
      <c r="J5" s="1" t="e">
        <f t="shared" si="1"/>
        <v>#REF!</v>
      </c>
    </row>
    <row r="6" spans="1:10" x14ac:dyDescent="0.25">
      <c r="A6" s="1"/>
      <c r="B6" s="1"/>
      <c r="C6" s="1"/>
      <c r="D6" s="1" t="s">
        <v>19</v>
      </c>
      <c r="E6" s="1" t="e">
        <f>COUNTIF('Suivi des actions Qualite-EHS'!#REF!,D6)</f>
        <v>#REF!</v>
      </c>
      <c r="F6" s="1"/>
      <c r="G6" s="2" t="e">
        <f>'Données (ne pas toucher)'!#REF!</f>
        <v>#REF!</v>
      </c>
      <c r="H6" s="1" t="e">
        <f>COUNTIF('Suivi des actions Qualite-EHS'!#REF!,G6)</f>
        <v>#REF!</v>
      </c>
      <c r="I6" s="14" t="e">
        <f t="shared" si="0"/>
        <v>#REF!</v>
      </c>
      <c r="J6" s="1" t="e">
        <f t="shared" si="1"/>
        <v>#REF!</v>
      </c>
    </row>
    <row r="7" spans="1:10" x14ac:dyDescent="0.25">
      <c r="A7" s="2"/>
      <c r="B7" s="2"/>
      <c r="C7" s="2"/>
      <c r="D7" s="2"/>
      <c r="E7" s="2"/>
      <c r="F7" s="2"/>
      <c r="G7" s="2" t="e">
        <f>'Données (ne pas toucher)'!#REF!</f>
        <v>#REF!</v>
      </c>
      <c r="H7" s="1" t="e">
        <f>COUNTIF('Suivi des actions Qualite-EHS'!#REF!,G7)</f>
        <v>#REF!</v>
      </c>
      <c r="I7" s="14" t="e">
        <f t="shared" si="0"/>
        <v>#REF!</v>
      </c>
      <c r="J7" s="1" t="e">
        <f t="shared" si="1"/>
        <v>#REF!</v>
      </c>
    </row>
    <row r="8" spans="1:10" x14ac:dyDescent="0.25">
      <c r="A8" s="2"/>
      <c r="B8" s="2"/>
      <c r="C8" s="2"/>
      <c r="D8" s="2"/>
      <c r="E8" s="2"/>
      <c r="F8" s="2"/>
      <c r="G8" s="2" t="e">
        <f>'Données (ne pas toucher)'!#REF!</f>
        <v>#REF!</v>
      </c>
      <c r="H8" s="1" t="e">
        <f>COUNTIF('Suivi des actions Qualite-EHS'!#REF!,G8)</f>
        <v>#REF!</v>
      </c>
      <c r="I8" s="14" t="e">
        <f t="shared" si="0"/>
        <v>#REF!</v>
      </c>
      <c r="J8" s="1" t="e">
        <f t="shared" si="1"/>
        <v>#REF!</v>
      </c>
    </row>
    <row r="9" spans="1:10" x14ac:dyDescent="0.25">
      <c r="A9" s="2"/>
      <c r="B9" s="2"/>
      <c r="C9" s="2"/>
      <c r="D9" s="2"/>
      <c r="E9" s="2"/>
      <c r="F9" s="2"/>
      <c r="G9" s="2" t="e">
        <f>'Données (ne pas toucher)'!#REF!</f>
        <v>#REF!</v>
      </c>
      <c r="H9" s="1" t="e">
        <f>COUNTIF('Suivi des actions Qualite-EHS'!#REF!,G9)</f>
        <v>#REF!</v>
      </c>
      <c r="I9" s="14" t="e">
        <f t="shared" si="0"/>
        <v>#REF!</v>
      </c>
      <c r="J9" s="1" t="e">
        <f t="shared" si="1"/>
        <v>#REF!</v>
      </c>
    </row>
    <row r="10" spans="1:10" x14ac:dyDescent="0.25">
      <c r="A10" s="2"/>
      <c r="B10" s="2"/>
      <c r="C10" s="2"/>
      <c r="D10" s="2"/>
      <c r="E10" s="2"/>
      <c r="F10" s="2"/>
      <c r="G10" s="2" t="e">
        <f>'Données (ne pas toucher)'!#REF!</f>
        <v>#REF!</v>
      </c>
      <c r="H10" s="1" t="e">
        <f>COUNTIF('Suivi des actions Qualite-EHS'!#REF!,G10)</f>
        <v>#REF!</v>
      </c>
      <c r="I10" s="14" t="e">
        <f t="shared" si="0"/>
        <v>#REF!</v>
      </c>
      <c r="J10" s="1" t="e">
        <f t="shared" si="1"/>
        <v>#REF!</v>
      </c>
    </row>
    <row r="11" spans="1:10" x14ac:dyDescent="0.25">
      <c r="A11" s="2"/>
      <c r="B11" s="2"/>
      <c r="C11" s="2"/>
      <c r="D11" s="2"/>
      <c r="E11" s="2"/>
      <c r="F11" s="2"/>
      <c r="G11" s="2" t="e">
        <f>'Données (ne pas toucher)'!#REF!</f>
        <v>#REF!</v>
      </c>
      <c r="H11" s="1" t="e">
        <f>COUNTIF('Suivi des actions Qualite-EHS'!#REF!,G11)</f>
        <v>#REF!</v>
      </c>
      <c r="I11" s="14" t="e">
        <f t="shared" si="0"/>
        <v>#REF!</v>
      </c>
      <c r="J11" s="1" t="e">
        <f t="shared" si="1"/>
        <v>#REF!</v>
      </c>
    </row>
    <row r="12" spans="1:10" x14ac:dyDescent="0.25">
      <c r="A12" s="2"/>
      <c r="B12" s="2"/>
      <c r="C12" s="2"/>
      <c r="D12" s="2"/>
      <c r="E12" s="2"/>
      <c r="F12" s="2"/>
      <c r="G12" s="2" t="e">
        <f>'Données (ne pas toucher)'!#REF!</f>
        <v>#REF!</v>
      </c>
      <c r="H12" s="1" t="e">
        <f>COUNTIF('Suivi des actions Qualite-EHS'!#REF!,G12)</f>
        <v>#REF!</v>
      </c>
      <c r="I12" s="14" t="e">
        <f t="shared" si="0"/>
        <v>#REF!</v>
      </c>
      <c r="J12" s="1" t="e">
        <f t="shared" si="1"/>
        <v>#REF!</v>
      </c>
    </row>
    <row r="13" spans="1:10" x14ac:dyDescent="0.25">
      <c r="A13" s="2"/>
      <c r="B13" s="2"/>
      <c r="C13" s="2"/>
      <c r="D13" s="2"/>
      <c r="E13" s="2"/>
      <c r="F13" s="2"/>
      <c r="G13" s="2" t="e">
        <f>'Données (ne pas toucher)'!#REF!</f>
        <v>#REF!</v>
      </c>
      <c r="H13" s="1" t="e">
        <f>COUNTIF('Suivi des actions Qualite-EHS'!#REF!,G13)</f>
        <v>#REF!</v>
      </c>
      <c r="I13" s="14" t="e">
        <f t="shared" si="0"/>
        <v>#REF!</v>
      </c>
      <c r="J13" s="1" t="e">
        <f t="shared" si="1"/>
        <v>#REF!</v>
      </c>
    </row>
    <row r="14" spans="1:10" x14ac:dyDescent="0.25">
      <c r="A14" s="2"/>
      <c r="B14" s="2"/>
      <c r="C14" s="2"/>
      <c r="D14" s="2"/>
      <c r="E14" s="2"/>
      <c r="F14" s="2"/>
      <c r="G14" s="2" t="e">
        <f>'Données (ne pas toucher)'!#REF!</f>
        <v>#REF!</v>
      </c>
      <c r="H14" s="1" t="e">
        <f>COUNTIF('Suivi des actions Qualite-EHS'!#REF!,G14)</f>
        <v>#REF!</v>
      </c>
      <c r="I14" s="14" t="e">
        <f t="shared" si="0"/>
        <v>#REF!</v>
      </c>
      <c r="J14" s="1" t="e">
        <f t="shared" si="1"/>
        <v>#REF!</v>
      </c>
    </row>
    <row r="15" spans="1:10" x14ac:dyDescent="0.25">
      <c r="A15" s="2"/>
      <c r="B15" s="2"/>
      <c r="C15" s="2"/>
      <c r="D15" s="2"/>
      <c r="E15" s="2"/>
      <c r="F15" s="2"/>
      <c r="G15" s="2" t="e">
        <f>'Données (ne pas toucher)'!#REF!</f>
        <v>#REF!</v>
      </c>
      <c r="H15" s="1" t="e">
        <f>COUNTIF('Suivi des actions Qualite-EHS'!#REF!,G15)</f>
        <v>#REF!</v>
      </c>
      <c r="I15" s="14" t="e">
        <f t="shared" si="0"/>
        <v>#REF!</v>
      </c>
      <c r="J15" s="1" t="e">
        <f t="shared" si="1"/>
        <v>#REF!</v>
      </c>
    </row>
    <row r="16" spans="1:10" x14ac:dyDescent="0.25">
      <c r="A16" s="2"/>
      <c r="B16" s="2"/>
      <c r="C16" s="2"/>
      <c r="D16" s="2"/>
      <c r="E16" s="2"/>
      <c r="F16" s="2"/>
      <c r="G16" s="2" t="e">
        <f>'Données (ne pas toucher)'!#REF!</f>
        <v>#REF!</v>
      </c>
      <c r="H16" s="1" t="e">
        <f>COUNTIF('Suivi des actions Qualite-EHS'!#REF!,G16)</f>
        <v>#REF!</v>
      </c>
      <c r="I16" s="14" t="e">
        <f t="shared" si="0"/>
        <v>#REF!</v>
      </c>
      <c r="J16" s="1" t="e">
        <f t="shared" si="1"/>
        <v>#REF!</v>
      </c>
    </row>
    <row r="17" spans="1:10" x14ac:dyDescent="0.25">
      <c r="A17" s="2"/>
      <c r="B17" s="2"/>
      <c r="C17" s="2"/>
      <c r="D17" s="2"/>
      <c r="E17" s="2"/>
      <c r="F17" s="2"/>
      <c r="G17" s="2" t="e">
        <f>'Données (ne pas toucher)'!#REF!</f>
        <v>#REF!</v>
      </c>
      <c r="H17" s="1" t="e">
        <f>COUNTIF('Suivi des actions Qualite-EHS'!#REF!,G17)</f>
        <v>#REF!</v>
      </c>
      <c r="I17" s="14" t="e">
        <f t="shared" si="0"/>
        <v>#REF!</v>
      </c>
      <c r="J17" s="1" t="e">
        <f t="shared" si="1"/>
        <v>#REF!</v>
      </c>
    </row>
    <row r="18" spans="1:10" x14ac:dyDescent="0.25">
      <c r="A18" s="2"/>
      <c r="B18" s="2"/>
      <c r="C18" s="2"/>
      <c r="D18" s="2"/>
      <c r="E18" s="2"/>
      <c r="F18" s="2"/>
      <c r="G18" s="2" t="e">
        <f>'Données (ne pas toucher)'!#REF!</f>
        <v>#REF!</v>
      </c>
      <c r="H18" s="1" t="e">
        <f>COUNTIF('Suivi des actions Qualite-EHS'!#REF!,G18)</f>
        <v>#REF!</v>
      </c>
      <c r="I18" s="14" t="e">
        <f t="shared" si="0"/>
        <v>#REF!</v>
      </c>
      <c r="J18" s="1" t="e">
        <f t="shared" si="1"/>
        <v>#REF!</v>
      </c>
    </row>
    <row r="19" spans="1:10" x14ac:dyDescent="0.25">
      <c r="A19" s="2"/>
      <c r="B19" s="2"/>
      <c r="C19" s="2"/>
      <c r="D19" s="2"/>
      <c r="E19" s="2"/>
      <c r="F19" s="2"/>
      <c r="G19" s="2" t="e">
        <f>'Données (ne pas toucher)'!#REF!</f>
        <v>#REF!</v>
      </c>
      <c r="H19" s="1" t="e">
        <f>COUNTIF('Suivi des actions Qualite-EHS'!#REF!,G19)</f>
        <v>#REF!</v>
      </c>
      <c r="I19" s="14" t="e">
        <f t="shared" si="0"/>
        <v>#REF!</v>
      </c>
      <c r="J19" s="1" t="e">
        <f t="shared" si="1"/>
        <v>#REF!</v>
      </c>
    </row>
    <row r="20" spans="1:10" x14ac:dyDescent="0.25">
      <c r="A20" s="2"/>
      <c r="B20" s="2"/>
      <c r="C20" s="2"/>
      <c r="D20" s="2"/>
      <c r="E20" s="2"/>
      <c r="F20" s="2"/>
      <c r="G20" s="2" t="e">
        <f>'Données (ne pas toucher)'!#REF!</f>
        <v>#REF!</v>
      </c>
      <c r="H20" s="1" t="e">
        <f>COUNTIF('Suivi des actions Qualite-EHS'!#REF!,G20)</f>
        <v>#REF!</v>
      </c>
      <c r="I20" s="14" t="e">
        <f t="shared" si="0"/>
        <v>#REF!</v>
      </c>
      <c r="J20" s="1" t="e">
        <f t="shared" si="1"/>
        <v>#REF!</v>
      </c>
    </row>
    <row r="21" spans="1:10" x14ac:dyDescent="0.25">
      <c r="A21" s="2"/>
      <c r="B21" s="2"/>
      <c r="C21" s="2"/>
      <c r="D21" s="2"/>
      <c r="E21" s="2"/>
      <c r="F21" s="2"/>
      <c r="G21" s="2" t="e">
        <f>'Données (ne pas toucher)'!#REF!</f>
        <v>#REF!</v>
      </c>
      <c r="H21" s="1" t="e">
        <f>COUNTIF('Suivi des actions Qualite-EHS'!#REF!,G21)</f>
        <v>#REF!</v>
      </c>
      <c r="I21" s="14" t="e">
        <f t="shared" si="0"/>
        <v>#REF!</v>
      </c>
      <c r="J21" s="1" t="e">
        <f t="shared" si="1"/>
        <v>#REF!</v>
      </c>
    </row>
    <row r="22" spans="1:10" x14ac:dyDescent="0.25">
      <c r="A22" s="2"/>
      <c r="B22" s="2"/>
      <c r="C22" s="2"/>
      <c r="D22" s="2"/>
      <c r="E22" s="2"/>
      <c r="F22" s="2"/>
      <c r="G22" s="2" t="e">
        <f>'Données (ne pas toucher)'!#REF!</f>
        <v>#REF!</v>
      </c>
      <c r="H22" s="1" t="e">
        <f>COUNTIF('Suivi des actions Qualite-EHS'!#REF!,G22)</f>
        <v>#REF!</v>
      </c>
      <c r="I22" s="14" t="e">
        <f t="shared" si="0"/>
        <v>#REF!</v>
      </c>
      <c r="J22" s="1" t="e">
        <f t="shared" si="1"/>
        <v>#REF!</v>
      </c>
    </row>
    <row r="23" spans="1:10" x14ac:dyDescent="0.25">
      <c r="A23" s="2"/>
      <c r="B23" s="2"/>
      <c r="C23" s="2"/>
      <c r="D23" s="2"/>
      <c r="E23" s="2"/>
      <c r="F23" s="2"/>
      <c r="G23" s="2" t="e">
        <f>'Données (ne pas toucher)'!#REF!</f>
        <v>#REF!</v>
      </c>
      <c r="H23" s="1" t="e">
        <f>COUNTIF('Suivi des actions Qualite-EHS'!#REF!,G23)</f>
        <v>#REF!</v>
      </c>
      <c r="I23" s="14" t="e">
        <f t="shared" si="0"/>
        <v>#REF!</v>
      </c>
      <c r="J23" s="1" t="e">
        <f t="shared" si="1"/>
        <v>#REF!</v>
      </c>
    </row>
    <row r="24" spans="1:10" x14ac:dyDescent="0.25">
      <c r="A24" s="2"/>
      <c r="B24" s="2"/>
      <c r="C24" s="2"/>
      <c r="D24" s="2"/>
      <c r="E24" s="2"/>
      <c r="F24" s="2"/>
      <c r="G24" s="2" t="e">
        <f>'Données (ne pas toucher)'!#REF!</f>
        <v>#REF!</v>
      </c>
      <c r="H24" s="1" t="e">
        <f>COUNTIF('Suivi des actions Qualite-EHS'!#REF!,G24)</f>
        <v>#REF!</v>
      </c>
      <c r="I24" s="14" t="e">
        <f t="shared" si="0"/>
        <v>#REF!</v>
      </c>
      <c r="J24" s="1" t="e">
        <f t="shared" si="1"/>
        <v>#REF!</v>
      </c>
    </row>
    <row r="25" spans="1:10" x14ac:dyDescent="0.25">
      <c r="G25" s="2" t="e">
        <f>'Données (ne pas toucher)'!#REF!</f>
        <v>#REF!</v>
      </c>
      <c r="H25" s="1" t="e">
        <f>COUNTIF('Suivi des actions Qualite-EHS'!#REF!,G25)</f>
        <v>#REF!</v>
      </c>
      <c r="I25" s="14" t="e">
        <f t="shared" si="0"/>
        <v>#REF!</v>
      </c>
      <c r="J25" s="1" t="e">
        <f t="shared" si="1"/>
        <v>#REF!</v>
      </c>
    </row>
    <row r="26" spans="1:10" x14ac:dyDescent="0.25">
      <c r="G26" s="2" t="e">
        <f>'Données (ne pas toucher)'!#REF!</f>
        <v>#REF!</v>
      </c>
      <c r="H26" s="1" t="e">
        <f>COUNTIF('Suivi des actions Qualite-EHS'!#REF!,G26)</f>
        <v>#REF!</v>
      </c>
      <c r="I26" s="14" t="e">
        <f t="shared" si="0"/>
        <v>#REF!</v>
      </c>
      <c r="J26" s="1" t="e">
        <f t="shared" si="1"/>
        <v>#REF!</v>
      </c>
    </row>
    <row r="27" spans="1:10" x14ac:dyDescent="0.25">
      <c r="G27" s="2" t="e">
        <f>'Données (ne pas toucher)'!#REF!</f>
        <v>#REF!</v>
      </c>
    </row>
    <row r="28" spans="1:10" x14ac:dyDescent="0.25">
      <c r="G28" s="2" t="e">
        <f>'Données (ne pas toucher)'!#REF!</f>
        <v>#REF!</v>
      </c>
    </row>
    <row r="29" spans="1:10" x14ac:dyDescent="0.25">
      <c r="G29" s="2" t="e">
        <f>'Données (ne pas toucher)'!#REF!</f>
        <v>#REF!</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
  <sheetViews>
    <sheetView topLeftCell="A20" workbookViewId="0">
      <selection activeCell="B41" sqref="B41"/>
    </sheetView>
  </sheetViews>
  <sheetFormatPr baseColWidth="10" defaultRowHeight="15" x14ac:dyDescent="0.25"/>
  <sheetData/>
  <pageMargins left="0" right="0" top="0" bottom="0"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Synthèses et indicateurs EHS</vt:lpstr>
      <vt:lpstr>Objectifs annuels</vt:lpstr>
      <vt:lpstr>Gestion EHS</vt:lpstr>
      <vt:lpstr>Suivi des actions Qualite-EHS</vt:lpstr>
      <vt:lpstr>Suivi des AT</vt:lpstr>
      <vt:lpstr>Suivi des Sinistres Auto</vt:lpstr>
      <vt:lpstr>Contrôles réglementaires</vt:lpstr>
      <vt:lpstr>Gestion nouveaux</vt:lpstr>
      <vt:lpstr>Gestion Sous-traitants</vt:lpstr>
      <vt:lpstr>Audit Eqpt Pression</vt:lpstr>
      <vt:lpstr>Indicateurs Qualité</vt:lpstr>
      <vt:lpstr>Calcul qualite (ne pas toucher)</vt:lpstr>
      <vt:lpstr>Données (ne pas toucher)</vt:lpstr>
      <vt:lpstr>Calcul base</vt:lpstr>
      <vt:lpstr>Feuil1</vt:lpstr>
    </vt:vector>
  </TitlesOfParts>
  <Company>EAU ET FEU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dc:creator>
  <cp:lastModifiedBy>Benoit Marthoud</cp:lastModifiedBy>
  <cp:lastPrinted>2019-01-28T09:05:52Z</cp:lastPrinted>
  <dcterms:created xsi:type="dcterms:W3CDTF">2013-06-06T13:06:18Z</dcterms:created>
  <dcterms:modified xsi:type="dcterms:W3CDTF">2019-02-07T10:59:56Z</dcterms:modified>
</cp:coreProperties>
</file>